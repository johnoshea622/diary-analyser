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480" yWindow="2580" windowWidth="17540" windowHeight="22580" tabRatio="600" firstSheet="16" activeTab="24" autoFilterDateGrouping="1"/>
  </bookViews>
  <sheets>
    <sheet name="120" sheetId="1" state="visible" r:id="rId1"/>
    <sheet name="121" sheetId="2" state="visible" r:id="rId2"/>
    <sheet name="122" sheetId="3" state="visible" r:id="rId3"/>
    <sheet name="123" sheetId="4" state="visible" r:id="rId4"/>
    <sheet name="124" sheetId="5" state="visible" r:id="rId5"/>
    <sheet name="125" sheetId="6" state="visible" r:id="rId6"/>
    <sheet name="126" sheetId="7" state="visible" r:id="rId7"/>
    <sheet name="127" sheetId="8" state="visible" r:id="rId8"/>
    <sheet name="128" sheetId="9" state="visible" r:id="rId9"/>
    <sheet name="129" sheetId="10" state="visible" r:id="rId10"/>
    <sheet name="130" sheetId="11" state="visible" r:id="rId11"/>
    <sheet name="131" sheetId="12" state="visible" r:id="rId12"/>
    <sheet name="132" sheetId="13" state="visible" r:id="rId13"/>
    <sheet name="133" sheetId="14" state="visible" r:id="rId14"/>
    <sheet name="134" sheetId="15" state="visible" r:id="rId15"/>
    <sheet name="135" sheetId="16" state="visible" r:id="rId16"/>
    <sheet name="136" sheetId="17" state="visible" r:id="rId17"/>
    <sheet name="137" sheetId="18" state="visible" r:id="rId18"/>
    <sheet name="138" sheetId="19" state="visible" r:id="rId19"/>
    <sheet name="139" sheetId="20" state="visible" r:id="rId20"/>
    <sheet name="140" sheetId="21" state="visible" r:id="rId21"/>
    <sheet name="141" sheetId="22" state="visible" r:id="rId22"/>
    <sheet name="142" sheetId="23" state="visible" r:id="rId23"/>
    <sheet name="143" sheetId="24" state="visible" r:id="rId24"/>
    <sheet name="144" sheetId="25" state="visible" r:id="rId25"/>
    <sheet name="145" sheetId="26" state="visible" r:id="rId26"/>
    <sheet name="146" sheetId="27" state="visible" r:id="rId27"/>
  </sheets>
  <definedNames>
    <definedName name="_xlnm.Print_Area" localSheetId="0">'120'!$A$1:$I$184</definedName>
    <definedName name="_xlnm.Print_Area" localSheetId="1">'121'!$A$1:$I$190</definedName>
    <definedName name="_xlnm.Print_Area" localSheetId="2">'122'!$A$1:$I$187</definedName>
    <definedName name="_xlnm.Print_Area" localSheetId="3">'123'!$A$1:$I$153</definedName>
    <definedName name="_xlnm.Print_Area" localSheetId="4">'124'!$A$1:$I$177</definedName>
    <definedName name="_xlnm.Print_Area" localSheetId="5">'125'!$A$1:$I$181</definedName>
    <definedName name="_xlnm.Print_Area" localSheetId="6">'126'!$A$1:$I$187</definedName>
    <definedName name="_xlnm.Print_Area" localSheetId="7">'127'!$A$1:$I$183</definedName>
    <definedName name="_xlnm.Print_Area" localSheetId="8">'128'!$A$1:$I$145</definedName>
    <definedName name="_xlnm.Print_Area" localSheetId="9">'129'!$A$1:$I$147</definedName>
    <definedName name="_xlnm.Print_Area" localSheetId="10">'130'!$A$1:$I$148</definedName>
    <definedName name="_xlnm.Print_Area" localSheetId="11">'131'!$A$1:$I$189</definedName>
    <definedName name="_xlnm.Print_Area" localSheetId="12">'132'!$A$1:$I$182</definedName>
    <definedName name="_xlnm.Print_Area" localSheetId="13">'133'!$A$1:$I$186</definedName>
    <definedName name="_xlnm.Print_Area" localSheetId="14">'134'!$A$1:$I$186</definedName>
    <definedName name="_xlnm.Print_Area" localSheetId="15">'135'!$A$1:$I$144</definedName>
    <definedName name="_xlnm.Print_Area" localSheetId="16">'136'!$A$1:$I$190</definedName>
    <definedName name="_xlnm.Print_Area" localSheetId="17">'137'!$A$1:$I$188</definedName>
    <definedName name="_xlnm.Print_Area" localSheetId="18">'138'!$A$1:$I$195</definedName>
    <definedName name="_xlnm.Print_Area" localSheetId="19">'139'!$A$1:$I$149</definedName>
    <definedName name="_xlnm.Print_Area" localSheetId="20">'140'!$A$1:$I$195</definedName>
    <definedName name="_xlnm.Print_Area" localSheetId="21">'141'!$A$1:$I$105</definedName>
    <definedName name="_xlnm.Print_Area" localSheetId="22">'142'!$A$1:$I$147</definedName>
    <definedName name="_xlnm.Print_Area" localSheetId="23">'143'!$A$1:$I$176</definedName>
    <definedName name="_xlnm.Print_Area" localSheetId="24">'144'!$A$1:$I$147</definedName>
    <definedName name="_xlnm.Print_Area" localSheetId="25">'145'!$A$1:$I$207</definedName>
    <definedName name="_xlnm.Print_Area" localSheetId="26">'146'!$A$1:$I$175</definedName>
  </definedNames>
  <calcPr calcId="191028" fullCalcOnLoad="1"/>
</workbook>
</file>

<file path=xl/styles.xml><?xml version="1.0" encoding="utf-8"?>
<styleSheet xmlns="http://schemas.openxmlformats.org/spreadsheetml/2006/main">
  <numFmts count="2">
    <numFmt numFmtId="164" formatCode="dddd"/>
    <numFmt numFmtId="165" formatCode="[$-F400]h:mm:ss\ AM/PM"/>
  </numFmts>
  <fonts count="26">
    <font>
      <name val="Aptos Narrow"/>
      <family val="2"/>
      <color theme="1"/>
      <sz val="11"/>
      <scheme val="minor"/>
    </font>
    <font>
      <name val="Arial"/>
      <family val="2"/>
      <b val="1"/>
      <color theme="1"/>
      <sz val="26"/>
    </font>
    <font>
      <name val="Arial"/>
      <family val="2"/>
      <b val="1"/>
      <color theme="0"/>
      <sz val="20"/>
    </font>
    <font>
      <name val="Arial"/>
      <family val="2"/>
      <b val="1"/>
      <color theme="1"/>
      <sz val="18"/>
    </font>
    <font>
      <name val="Arial"/>
      <family val="2"/>
      <color theme="1"/>
      <sz val="18"/>
    </font>
    <font>
      <name val="Arial"/>
      <family val="2"/>
      <sz val="18"/>
    </font>
    <font>
      <name val="Arial"/>
      <family val="2"/>
      <color theme="1"/>
      <sz val="18"/>
    </font>
    <font>
      <name val="Arial"/>
      <family val="2"/>
      <color rgb="FF000000"/>
      <sz val="18"/>
    </font>
    <font>
      <name val="Arial"/>
      <family val="2"/>
      <b val="1"/>
      <color theme="1"/>
      <sz val="16"/>
    </font>
    <font>
      <name val="Aptos Narrow"/>
      <family val="2"/>
      <color theme="1"/>
      <sz val="18"/>
      <scheme val="minor"/>
    </font>
    <font>
      <name val="Arial"/>
      <family val="2"/>
      <sz val="16"/>
    </font>
    <font>
      <name val="Arial"/>
      <family val="2"/>
      <b val="1"/>
      <sz val="18"/>
    </font>
    <font>
      <name val="Arial"/>
      <family val="2"/>
      <sz val="16"/>
    </font>
    <font>
      <name val="Arial"/>
      <family val="2"/>
      <color theme="1"/>
      <sz val="12"/>
    </font>
    <font>
      <name val="Arial"/>
      <family val="2"/>
      <sz val="14"/>
    </font>
    <font>
      <name val="Aptos"/>
      <family val="2"/>
      <color rgb="FF000000"/>
      <sz val="12"/>
    </font>
    <font>
      <name val="Arial"/>
      <family val="2"/>
      <b val="1"/>
      <color theme="1"/>
      <sz val="14"/>
    </font>
    <font>
      <name val="Aptos Narrow"/>
      <family val="2"/>
      <color theme="1"/>
      <sz val="14"/>
      <scheme val="minor"/>
    </font>
    <font>
      <name val="Arial"/>
      <family val="2"/>
      <b val="1"/>
      <color theme="0"/>
      <sz val="14"/>
    </font>
    <font>
      <name val="Arial"/>
      <family val="2"/>
      <color theme="1"/>
      <sz val="14"/>
    </font>
    <font>
      <name val="Arial"/>
      <family val="2"/>
      <color rgb="FF000000"/>
      <sz val="14"/>
    </font>
    <font>
      <name val="Arial"/>
      <family val="2"/>
      <b val="1"/>
      <sz val="14"/>
    </font>
    <font>
      <name val="Aptos Narrow"/>
      <family val="2"/>
      <b val="1"/>
      <color theme="1"/>
      <sz val="14"/>
      <scheme val="minor"/>
    </font>
    <font>
      <name val="Arial"/>
      <family val="2"/>
      <sz val="14"/>
      <vertAlign val="superscript"/>
    </font>
    <font>
      <name val="Arial"/>
      <family val="2"/>
      <sz val="14"/>
    </font>
    <font>
      <name val="Aptos Narrow"/>
      <family val="2"/>
      <sz val="8"/>
      <scheme val="minor"/>
    </font>
  </fonts>
  <fills count="7">
    <fill>
      <patternFill/>
    </fill>
    <fill>
      <patternFill patternType="gray125"/>
    </fill>
    <fill>
      <patternFill patternType="solid">
        <fgColor rgb="FF0080FD"/>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s>
  <borders count="85">
    <border>
      <left/>
      <right/>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double">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medium">
        <color indexed="64"/>
      </right>
      <top style="double">
        <color indexed="64"/>
      </top>
      <bottom/>
      <diagonal/>
    </border>
    <border>
      <left/>
      <right style="thin">
        <color indexed="64"/>
      </right>
      <top/>
      <bottom/>
      <diagonal/>
    </border>
    <border>
      <left/>
      <right style="double">
        <color indexed="64"/>
      </right>
      <top style="double">
        <color indexed="64"/>
      </top>
      <bottom/>
      <diagonal/>
    </border>
  </borders>
  <cellStyleXfs count="1">
    <xf numFmtId="0" fontId="0" fillId="0" borderId="0"/>
  </cellStyleXfs>
  <cellXfs count="375">
    <xf numFmtId="0" fontId="0" fillId="0" borderId="0" pivotButton="0" quotePrefix="0" xfId="0"/>
    <xf numFmtId="0" fontId="0" fillId="0" borderId="0" applyAlignment="1" pivotButton="0" quotePrefix="0" xfId="0">
      <alignment vertical="center"/>
    </xf>
    <xf numFmtId="0" fontId="3" fillId="0" borderId="4"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14" fontId="4" fillId="0" borderId="0" applyAlignment="1" pivotButton="0" quotePrefix="0" xfId="0">
      <alignment horizontal="right" vertical="center"/>
    </xf>
    <xf numFmtId="14" fontId="4" fillId="0" borderId="5" applyAlignment="1" pivotButton="0" quotePrefix="0" xfId="0">
      <alignment horizontal="right" vertical="center"/>
    </xf>
    <xf numFmtId="0" fontId="4" fillId="0" borderId="0" applyAlignment="1" pivotButton="0" quotePrefix="0" xfId="0">
      <alignment horizontal="right" vertical="center"/>
    </xf>
    <xf numFmtId="164" fontId="4" fillId="0" borderId="5" applyAlignment="1" pivotButton="0" quotePrefix="0" xfId="0">
      <alignment horizontal="right" vertical="center"/>
    </xf>
    <xf numFmtId="165" fontId="4" fillId="0" borderId="5" applyAlignment="1" pivotButton="0" quotePrefix="0" xfId="0">
      <alignment horizontal="right" vertical="center"/>
    </xf>
    <xf numFmtId="0" fontId="4" fillId="0" borderId="7" applyAlignment="1" pivotButton="0" quotePrefix="0" xfId="0">
      <alignment horizontal="left" vertical="center"/>
    </xf>
    <xf numFmtId="0" fontId="4" fillId="0" borderId="7" applyAlignment="1" pivotButton="0" quotePrefix="0" xfId="0">
      <alignment horizontal="center" vertical="center"/>
    </xf>
    <xf numFmtId="20" fontId="4" fillId="0" borderId="5" applyAlignment="1" pivotButton="0" quotePrefix="0" xfId="0">
      <alignment horizontal="right" vertical="center"/>
    </xf>
    <xf numFmtId="0" fontId="3" fillId="0" borderId="9" applyAlignment="1" pivotButton="0" quotePrefix="0" xfId="0">
      <alignment horizontal="center" vertical="center"/>
    </xf>
    <xf numFmtId="0" fontId="3" fillId="0" borderId="17" applyAlignment="1" pivotButton="0" quotePrefix="0" xfId="0">
      <alignment horizontal="center" vertical="center"/>
    </xf>
    <xf numFmtId="0" fontId="3" fillId="4" borderId="17" applyAlignment="1" pivotButton="0" quotePrefix="0" xfId="0">
      <alignment horizontal="center" vertical="center" wrapText="1"/>
    </xf>
    <xf numFmtId="0" fontId="3" fillId="0" borderId="18" applyAlignment="1" pivotButton="0" quotePrefix="0" xfId="0">
      <alignment horizontal="center" vertical="center"/>
    </xf>
    <xf numFmtId="0" fontId="4" fillId="0" borderId="9" applyAlignment="1" pivotButton="0" quotePrefix="0" xfId="0">
      <alignment horizontal="center" vertical="center"/>
    </xf>
    <xf numFmtId="0" fontId="4" fillId="0" borderId="17" applyAlignment="1" pivotButton="0" quotePrefix="0" xfId="0">
      <alignment horizontal="center" vertical="center"/>
    </xf>
    <xf numFmtId="0" fontId="4" fillId="0" borderId="17" applyAlignment="1" pivotButton="0" quotePrefix="0" xfId="0">
      <alignment horizontal="center" vertical="center" wrapText="1"/>
    </xf>
    <xf numFmtId="0" fontId="4" fillId="0" borderId="11" applyAlignment="1" pivotButton="0" quotePrefix="0" xfId="0">
      <alignment horizontal="center" vertical="center"/>
    </xf>
    <xf numFmtId="0" fontId="5" fillId="0" borderId="18" applyAlignment="1" pivotButton="0" quotePrefix="0" xfId="0">
      <alignment horizontal="center" vertical="center"/>
    </xf>
    <xf numFmtId="0" fontId="5" fillId="0" borderId="17" applyAlignment="1" pivotButton="0" quotePrefix="0" xfId="0">
      <alignment horizontal="center" vertical="center"/>
    </xf>
    <xf numFmtId="0" fontId="4" fillId="0" borderId="17" applyAlignment="1" pivotButton="0" quotePrefix="0" xfId="0">
      <alignment vertical="center"/>
    </xf>
    <xf numFmtId="0" fontId="6" fillId="0" borderId="9" applyAlignment="1" pivotButton="0" quotePrefix="0" xfId="0">
      <alignment horizontal="center" vertical="center"/>
    </xf>
    <xf numFmtId="0" fontId="3" fillId="0" borderId="9" applyAlignment="1" pivotButton="0" quotePrefix="0" xfId="0">
      <alignment horizontal="left" vertical="center"/>
    </xf>
    <xf numFmtId="0" fontId="3" fillId="0" borderId="17" applyAlignment="1" pivotButton="0" quotePrefix="0" xfId="0">
      <alignment horizontal="left" vertical="center"/>
    </xf>
    <xf numFmtId="0" fontId="7" fillId="0" borderId="11" applyAlignment="1" pivotButton="0" quotePrefix="0" xfId="0">
      <alignment horizontal="left" vertical="center"/>
    </xf>
    <xf numFmtId="0" fontId="7" fillId="0" borderId="17" applyAlignment="1" pivotButton="0" quotePrefix="0" xfId="0">
      <alignment vertical="center"/>
    </xf>
    <xf numFmtId="0" fontId="3" fillId="0" borderId="11" applyAlignment="1" pivotButton="0" quotePrefix="0" xfId="0">
      <alignment horizontal="left" vertical="center"/>
    </xf>
    <xf numFmtId="0" fontId="3" fillId="0" borderId="17" applyAlignment="1" pivotButton="0" quotePrefix="0" xfId="0">
      <alignment vertical="center"/>
    </xf>
    <xf numFmtId="0" fontId="4" fillId="4" borderId="17" applyAlignment="1" pivotButton="0" quotePrefix="0" xfId="0">
      <alignment horizontal="center" vertical="center"/>
    </xf>
    <xf numFmtId="0" fontId="3" fillId="0" borderId="18" applyAlignment="1" pivotButton="0" quotePrefix="0" xfId="0">
      <alignment horizontal="left" vertical="center"/>
    </xf>
    <xf numFmtId="0" fontId="2" fillId="2" borderId="6" applyAlignment="1" pivotButton="0" quotePrefix="0" xfId="0">
      <alignment horizontal="left" vertical="center"/>
    </xf>
    <xf numFmtId="0" fontId="8" fillId="2" borderId="7" applyAlignment="1" pivotButton="0" quotePrefix="0" xfId="0">
      <alignment horizontal="center" vertical="center"/>
    </xf>
    <xf numFmtId="0" fontId="8" fillId="2" borderId="8" applyAlignment="1" pivotButton="0" quotePrefix="0" xfId="0">
      <alignment horizontal="center" vertical="center"/>
    </xf>
    <xf numFmtId="0" fontId="3" fillId="0" borderId="17" applyAlignment="1" pivotButton="0" quotePrefix="0" xfId="0">
      <alignment horizontal="center" vertical="center" wrapText="1"/>
    </xf>
    <xf numFmtId="0" fontId="3" fillId="0" borderId="18" applyAlignment="1" pivotButton="0" quotePrefix="0" xfId="0">
      <alignment horizontal="center" vertical="center" wrapText="1"/>
    </xf>
    <xf numFmtId="0" fontId="5" fillId="0" borderId="9" applyAlignment="1" pivotButton="0" quotePrefix="0" xfId="0">
      <alignment horizontal="center" vertical="center"/>
    </xf>
    <xf numFmtId="0" fontId="5" fillId="4" borderId="17" applyAlignment="1" pivotButton="0" quotePrefix="0" xfId="0">
      <alignment horizontal="center" vertical="center"/>
    </xf>
    <xf numFmtId="0" fontId="5" fillId="0" borderId="11" applyAlignment="1" pivotButton="0" quotePrefix="0" xfId="0">
      <alignment horizontal="center" vertical="center"/>
    </xf>
    <xf numFmtId="0" fontId="9" fillId="0" borderId="17" applyAlignment="1" pivotButton="0" quotePrefix="0" xfId="0">
      <alignment vertical="center"/>
    </xf>
    <xf numFmtId="0" fontId="9" fillId="0" borderId="18" applyAlignment="1" pivotButton="0" quotePrefix="0" xfId="0">
      <alignment vertical="center"/>
    </xf>
    <xf numFmtId="0" fontId="5" fillId="5" borderId="9" applyAlignment="1" pivotButton="0" quotePrefix="0" xfId="0">
      <alignment horizontal="center" vertical="center"/>
    </xf>
    <xf numFmtId="0" fontId="5" fillId="3" borderId="9" applyAlignment="1" pivotButton="0" quotePrefix="0" xfId="0">
      <alignment horizontal="center" vertical="center"/>
    </xf>
    <xf numFmtId="0" fontId="5" fillId="6" borderId="9" applyAlignment="1" pivotButton="0" quotePrefix="0" xfId="0">
      <alignment horizontal="center" vertical="center"/>
    </xf>
    <xf numFmtId="0" fontId="3" fillId="0" borderId="19" applyAlignment="1" pivotButton="0" quotePrefix="0" xfId="0">
      <alignment horizontal="center" vertical="center"/>
    </xf>
    <xf numFmtId="0" fontId="3" fillId="0" borderId="9" applyAlignment="1" pivotButton="0" quotePrefix="0" xfId="0">
      <alignment vertical="center" wrapText="1"/>
    </xf>
    <xf numFmtId="0" fontId="3" fillId="0" borderId="9" applyAlignment="1" pivotButton="0" quotePrefix="0" xfId="0">
      <alignment vertical="center"/>
    </xf>
    <xf numFmtId="0" fontId="11" fillId="0" borderId="17" applyAlignment="1" pivotButton="0" quotePrefix="0" xfId="0">
      <alignment horizontal="left" vertical="center" wrapText="1"/>
    </xf>
    <xf numFmtId="0" fontId="3" fillId="0" borderId="26" applyAlignment="1" pivotButton="0" quotePrefix="0" xfId="0">
      <alignment vertical="center"/>
    </xf>
    <xf numFmtId="0" fontId="4" fillId="0" borderId="9" applyAlignment="1" pivotButton="0" quotePrefix="0" xfId="0">
      <alignment vertical="center"/>
    </xf>
    <xf numFmtId="0" fontId="3" fillId="0" borderId="9" applyAlignment="1" pivotButton="0" quotePrefix="0" xfId="0">
      <alignment horizontal="right" vertical="center"/>
    </xf>
    <xf numFmtId="0" fontId="3" fillId="0" borderId="26" applyAlignment="1" pivotButton="0" quotePrefix="0" xfId="0">
      <alignment horizontal="right" vertical="center"/>
    </xf>
    <xf numFmtId="0" fontId="3" fillId="0" borderId="28" applyAlignment="1" pivotButton="0" quotePrefix="0" xfId="0">
      <alignment horizontal="center" vertical="center"/>
    </xf>
    <xf numFmtId="0" fontId="3" fillId="0" borderId="29" applyAlignment="1" pivotButton="0" quotePrefix="0" xfId="0">
      <alignment horizontal="right" vertical="center"/>
    </xf>
    <xf numFmtId="0" fontId="3" fillId="0" borderId="30" applyAlignment="1" pivotButton="0" quotePrefix="0" xfId="0">
      <alignment horizontal="center" vertical="center"/>
    </xf>
    <xf numFmtId="0" fontId="6" fillId="0" borderId="34" applyAlignment="1" pivotButton="0" quotePrefix="0" xfId="0">
      <alignment horizontal="left" vertical="center"/>
    </xf>
    <xf numFmtId="0" fontId="3" fillId="0" borderId="15" applyAlignment="1" pivotButton="0" quotePrefix="0" xfId="0">
      <alignment horizontal="left" vertical="center"/>
    </xf>
    <xf numFmtId="0" fontId="7" fillId="0" borderId="15" applyAlignment="1" pivotButton="0" quotePrefix="0" xfId="0">
      <alignment horizontal="left" vertical="center"/>
    </xf>
    <xf numFmtId="0" fontId="3" fillId="0" borderId="16" applyAlignment="1" pivotButton="0" quotePrefix="0" xfId="0">
      <alignment horizontal="left" vertical="center"/>
    </xf>
    <xf numFmtId="0" fontId="5" fillId="4" borderId="35" applyAlignment="1" pivotButton="0" quotePrefix="0" xfId="0">
      <alignment vertical="center" wrapText="1"/>
    </xf>
    <xf numFmtId="0" fontId="5" fillId="4" borderId="2" applyAlignment="1" pivotButton="0" quotePrefix="0" xfId="0">
      <alignment vertical="center" wrapText="1"/>
    </xf>
    <xf numFmtId="0" fontId="5" fillId="4" borderId="3" applyAlignment="1" pivotButton="0" quotePrefix="0" xfId="0">
      <alignment vertical="center" wrapText="1"/>
    </xf>
    <xf numFmtId="0" fontId="5" fillId="4" borderId="4" applyAlignment="1" pivotButton="0" quotePrefix="0" xfId="0">
      <alignment vertical="center" wrapText="1"/>
    </xf>
    <xf numFmtId="0" fontId="5" fillId="4" borderId="0" applyAlignment="1" pivotButton="0" quotePrefix="0" xfId="0">
      <alignment vertical="center" wrapText="1"/>
    </xf>
    <xf numFmtId="0" fontId="5" fillId="4" borderId="5" applyAlignment="1" pivotButton="0" quotePrefix="0" xfId="0">
      <alignment vertical="center" wrapText="1"/>
    </xf>
    <xf numFmtId="0" fontId="13" fillId="0" borderId="0" applyAlignment="1" pivotButton="0" quotePrefix="0" xfId="0">
      <alignment vertical="center"/>
    </xf>
    <xf numFmtId="0" fontId="5" fillId="4" borderId="21" applyAlignment="1" pivotButton="0" quotePrefix="0" xfId="0">
      <alignment vertical="center" wrapText="1"/>
    </xf>
    <xf numFmtId="0" fontId="5" fillId="4" borderId="22" applyAlignment="1" pivotButton="0" quotePrefix="0" xfId="0">
      <alignment vertical="center" wrapText="1"/>
    </xf>
    <xf numFmtId="0" fontId="5" fillId="4" borderId="23" applyAlignment="1" pivotButton="0" quotePrefix="0" xfId="0">
      <alignment vertical="center" wrapText="1"/>
    </xf>
    <xf numFmtId="0" fontId="14" fillId="0" borderId="22" applyAlignment="1" pivotButton="0" quotePrefix="0" xfId="0">
      <alignment vertical="center" wrapText="1"/>
    </xf>
    <xf numFmtId="0" fontId="0" fillId="0" borderId="4" applyAlignment="1" pivotButton="0" quotePrefix="0" xfId="0">
      <alignment vertical="center"/>
    </xf>
    <xf numFmtId="0" fontId="0" fillId="0" borderId="5" applyAlignment="1" pivotButton="0" quotePrefix="0" xfId="0">
      <alignment vertical="center"/>
    </xf>
    <xf numFmtId="0" fontId="0" fillId="0" borderId="21" applyAlignment="1" pivotButton="0" quotePrefix="0" xfId="0">
      <alignment vertical="center"/>
    </xf>
    <xf numFmtId="0" fontId="0" fillId="0" borderId="22" applyAlignment="1" pivotButton="0" quotePrefix="0" xfId="0">
      <alignment vertical="center"/>
    </xf>
    <xf numFmtId="0" fontId="0" fillId="0" borderId="23" applyAlignment="1" pivotButton="0" quotePrefix="0" xfId="0">
      <alignment vertical="center"/>
    </xf>
    <xf numFmtId="0" fontId="4" fillId="0" borderId="34" applyAlignment="1" pivotButton="0" quotePrefix="0" xfId="0">
      <alignment horizontal="left" vertical="center"/>
    </xf>
    <xf numFmtId="0" fontId="15" fillId="0" borderId="36" applyAlignment="1" pivotButton="0" quotePrefix="0" xfId="0">
      <alignment horizontal="right" vertical="center" wrapText="1"/>
    </xf>
    <xf numFmtId="0" fontId="17" fillId="0" borderId="0" applyAlignment="1" pivotButton="0" quotePrefix="0" xfId="0">
      <alignment vertical="center"/>
    </xf>
    <xf numFmtId="0" fontId="16" fillId="0" borderId="4" applyAlignment="1" pivotButton="0" quotePrefix="0" xfId="0">
      <alignment vertical="center"/>
    </xf>
    <xf numFmtId="0" fontId="19" fillId="0" borderId="0" applyAlignment="1" pivotButton="0" quotePrefix="0" xfId="0">
      <alignment horizontal="left" vertical="center"/>
    </xf>
    <xf numFmtId="0" fontId="19" fillId="0" borderId="0" applyAlignment="1" pivotButton="0" quotePrefix="0" xfId="0">
      <alignment horizontal="center" vertical="center"/>
    </xf>
    <xf numFmtId="14" fontId="19" fillId="0" borderId="5" applyAlignment="1" pivotButton="0" quotePrefix="0" xfId="0">
      <alignment horizontal="right" vertical="center"/>
    </xf>
    <xf numFmtId="164" fontId="19" fillId="0" borderId="5" applyAlignment="1" pivotButton="0" quotePrefix="0" xfId="0">
      <alignment horizontal="right" vertical="center"/>
    </xf>
    <xf numFmtId="165" fontId="19" fillId="0" borderId="5" applyAlignment="1" pivotButton="0" quotePrefix="0" xfId="0">
      <alignment horizontal="right" vertical="center"/>
    </xf>
    <xf numFmtId="0" fontId="19" fillId="0" borderId="7" applyAlignment="1" pivotButton="0" quotePrefix="0" xfId="0">
      <alignment horizontal="left" vertical="center"/>
    </xf>
    <xf numFmtId="0" fontId="19" fillId="0" borderId="7" applyAlignment="1" pivotButton="0" quotePrefix="0" xfId="0">
      <alignment horizontal="center" vertical="center"/>
    </xf>
    <xf numFmtId="20" fontId="19" fillId="0" borderId="5" applyAlignment="1" pivotButton="0" quotePrefix="0" xfId="0">
      <alignment horizontal="right" vertical="center"/>
    </xf>
    <xf numFmtId="0" fontId="17" fillId="0" borderId="0" pivotButton="0" quotePrefix="0" xfId="0"/>
    <xf numFmtId="0" fontId="16" fillId="0" borderId="58" applyAlignment="1" pivotButton="0" quotePrefix="0" xfId="0">
      <alignment horizontal="center" vertical="center"/>
    </xf>
    <xf numFmtId="0" fontId="16" fillId="0" borderId="59" applyAlignment="1" pivotButton="0" quotePrefix="0" xfId="0">
      <alignment horizontal="center" vertical="center"/>
    </xf>
    <xf numFmtId="0" fontId="16" fillId="4" borderId="60" applyAlignment="1" pivotButton="0" quotePrefix="0" xfId="0">
      <alignment horizontal="center" vertical="center" wrapText="1"/>
    </xf>
    <xf numFmtId="0" fontId="16" fillId="0" borderId="61" applyAlignment="1" pivotButton="0" quotePrefix="0" xfId="0">
      <alignment horizontal="center" vertical="center"/>
    </xf>
    <xf numFmtId="0" fontId="16" fillId="4" borderId="62" applyAlignment="1" pivotButton="0" quotePrefix="0" xfId="0">
      <alignment horizontal="center" vertical="center" wrapText="1"/>
    </xf>
    <xf numFmtId="0" fontId="16" fillId="0" borderId="63" applyAlignment="1" pivotButton="0" quotePrefix="0" xfId="0">
      <alignment horizontal="center" vertical="center"/>
    </xf>
    <xf numFmtId="0" fontId="16" fillId="0" borderId="64" applyAlignment="1" pivotButton="0" quotePrefix="0" xfId="0">
      <alignment horizontal="center" vertical="center"/>
    </xf>
    <xf numFmtId="0" fontId="19" fillId="0" borderId="51" applyAlignment="1" pivotButton="0" quotePrefix="0" xfId="0">
      <alignment horizontal="center" vertical="center"/>
    </xf>
    <xf numFmtId="0" fontId="19" fillId="0" borderId="52" applyAlignment="1" pivotButton="0" quotePrefix="0" xfId="0">
      <alignment horizontal="center" vertical="center"/>
    </xf>
    <xf numFmtId="0" fontId="19" fillId="0" borderId="53" applyAlignment="1" pivotButton="0" quotePrefix="0" xfId="0">
      <alignment horizontal="center" vertical="center" wrapText="1"/>
    </xf>
    <xf numFmtId="0" fontId="19" fillId="0" borderId="54" applyAlignment="1" pivotButton="0" quotePrefix="0" xfId="0">
      <alignment horizontal="center" vertical="center"/>
    </xf>
    <xf numFmtId="0" fontId="19" fillId="0" borderId="55" applyAlignment="1" pivotButton="0" quotePrefix="0" xfId="0">
      <alignment horizontal="center" vertical="center"/>
    </xf>
    <xf numFmtId="0" fontId="19" fillId="0" borderId="56" applyAlignment="1" pivotButton="0" quotePrefix="0" xfId="0">
      <alignment horizontal="center" vertical="center"/>
    </xf>
    <xf numFmtId="0" fontId="14" fillId="0" borderId="57" applyAlignment="1" pivotButton="0" quotePrefix="0" xfId="0">
      <alignment horizontal="center" vertical="center"/>
    </xf>
    <xf numFmtId="0" fontId="19" fillId="0" borderId="9" applyAlignment="1" pivotButton="0" quotePrefix="0" xfId="0">
      <alignment horizontal="center" vertical="center"/>
    </xf>
    <xf numFmtId="0" fontId="19" fillId="0" borderId="17" applyAlignment="1" pivotButton="0" quotePrefix="0" xfId="0">
      <alignment horizontal="center" vertical="center"/>
    </xf>
    <xf numFmtId="0" fontId="14" fillId="0" borderId="19" applyAlignment="1" pivotButton="0" quotePrefix="0" xfId="0">
      <alignment horizontal="center" vertical="center"/>
    </xf>
    <xf numFmtId="0" fontId="19" fillId="0" borderId="37" applyAlignment="1" pivotButton="0" quotePrefix="0" xfId="0">
      <alignment horizontal="center" vertical="center"/>
    </xf>
    <xf numFmtId="0" fontId="19" fillId="0" borderId="38" applyAlignment="1" pivotButton="0" quotePrefix="0" xfId="0">
      <alignment horizontal="center" vertical="center"/>
    </xf>
    <xf numFmtId="0" fontId="19" fillId="0" borderId="11" applyAlignment="1" pivotButton="0" quotePrefix="0" xfId="0">
      <alignment horizontal="center" vertical="center"/>
    </xf>
    <xf numFmtId="0" fontId="14" fillId="0" borderId="18" applyAlignment="1" pivotButton="0" quotePrefix="0" xfId="0">
      <alignment horizontal="center" vertical="center"/>
    </xf>
    <xf numFmtId="0" fontId="19" fillId="0" borderId="37" applyAlignment="1" pivotButton="0" quotePrefix="0" xfId="0">
      <alignment vertical="center"/>
    </xf>
    <xf numFmtId="0" fontId="19" fillId="0" borderId="17" applyAlignment="1" pivotButton="0" quotePrefix="0" xfId="0">
      <alignment vertical="center"/>
    </xf>
    <xf numFmtId="0" fontId="19" fillId="0" borderId="26" applyAlignment="1" pivotButton="0" quotePrefix="0" xfId="0">
      <alignment horizontal="center" vertical="center"/>
    </xf>
    <xf numFmtId="0" fontId="19" fillId="0" borderId="28" applyAlignment="1" pivotButton="0" quotePrefix="0" xfId="0">
      <alignment horizontal="center" vertical="center"/>
    </xf>
    <xf numFmtId="0" fontId="14" fillId="0" borderId="39" applyAlignment="1" pivotButton="0" quotePrefix="0" xfId="0">
      <alignment horizontal="center" vertical="center"/>
    </xf>
    <xf numFmtId="0" fontId="19" fillId="0" borderId="40" applyAlignment="1" pivotButton="0" quotePrefix="0" xfId="0">
      <alignment vertical="center"/>
    </xf>
    <xf numFmtId="0" fontId="19" fillId="0" borderId="28" applyAlignment="1" pivotButton="0" quotePrefix="0" xfId="0">
      <alignment vertical="center"/>
    </xf>
    <xf numFmtId="0" fontId="19" fillId="0" borderId="41" applyAlignment="1" pivotButton="0" quotePrefix="0" xfId="0">
      <alignment horizontal="center" vertical="center"/>
    </xf>
    <xf numFmtId="0" fontId="19" fillId="0" borderId="42" applyAlignment="1" pivotButton="0" quotePrefix="0" xfId="0">
      <alignment horizontal="center" vertical="center"/>
    </xf>
    <xf numFmtId="0" fontId="14" fillId="0" borderId="27" applyAlignment="1" pivotButton="0" quotePrefix="0" xfId="0">
      <alignment horizontal="center" vertical="center"/>
    </xf>
    <xf numFmtId="0" fontId="17" fillId="0" borderId="43" applyAlignment="1" pivotButton="0" quotePrefix="0" xfId="0">
      <alignment vertical="center"/>
    </xf>
    <xf numFmtId="0" fontId="17" fillId="0" borderId="44" applyAlignment="1" pivotButton="0" quotePrefix="0" xfId="0">
      <alignment vertical="center"/>
    </xf>
    <xf numFmtId="0" fontId="19" fillId="0" borderId="45" applyAlignment="1" pivotButton="0" quotePrefix="0" xfId="0">
      <alignment vertical="center"/>
    </xf>
    <xf numFmtId="0" fontId="19" fillId="0" borderId="46" applyAlignment="1" pivotButton="0" quotePrefix="0" xfId="0">
      <alignment vertical="center"/>
    </xf>
    <xf numFmtId="0" fontId="19" fillId="0" borderId="44" applyAlignment="1" pivotButton="0" quotePrefix="0" xfId="0">
      <alignment vertical="center"/>
    </xf>
    <xf numFmtId="0" fontId="19" fillId="0" borderId="47" applyAlignment="1" pivotButton="0" quotePrefix="0" xfId="0">
      <alignment horizontal="center" vertical="center"/>
    </xf>
    <xf numFmtId="0" fontId="20" fillId="0" borderId="48" applyAlignment="1" pivotButton="0" quotePrefix="0" xfId="0">
      <alignment horizontal="left" vertical="center"/>
    </xf>
    <xf numFmtId="0" fontId="20" fillId="0" borderId="44" applyAlignment="1" pivotButton="0" quotePrefix="0" xfId="0">
      <alignment vertical="center"/>
    </xf>
    <xf numFmtId="0" fontId="14" fillId="0" borderId="49" applyAlignment="1" pivotButton="0" quotePrefix="0" xfId="0">
      <alignment horizontal="center" vertical="center"/>
    </xf>
    <xf numFmtId="0" fontId="16" fillId="0" borderId="9" applyAlignment="1" pivotButton="0" quotePrefix="0" xfId="0">
      <alignment horizontal="left" vertical="center"/>
    </xf>
    <xf numFmtId="0" fontId="16" fillId="0" borderId="17" applyAlignment="1" pivotButton="0" quotePrefix="0" xfId="0">
      <alignment horizontal="left" vertical="center"/>
    </xf>
    <xf numFmtId="0" fontId="16" fillId="0" borderId="37" applyAlignment="1" pivotButton="0" quotePrefix="0" xfId="0">
      <alignment horizontal="left" vertical="center"/>
    </xf>
    <xf numFmtId="0" fontId="16" fillId="0" borderId="11" applyAlignment="1" pivotButton="0" quotePrefix="0" xfId="0">
      <alignment horizontal="left" vertical="center"/>
    </xf>
    <xf numFmtId="0" fontId="16" fillId="0" borderId="19" applyAlignment="1" pivotButton="0" quotePrefix="0" xfId="0">
      <alignment horizontal="left" vertical="center"/>
    </xf>
    <xf numFmtId="0" fontId="19" fillId="4" borderId="38" applyAlignment="1" pivotButton="0" quotePrefix="0" xfId="0">
      <alignment horizontal="center" vertical="center"/>
    </xf>
    <xf numFmtId="0" fontId="16" fillId="0" borderId="18" applyAlignment="1" pivotButton="0" quotePrefix="0" xfId="0">
      <alignment horizontal="left" vertical="center"/>
    </xf>
    <xf numFmtId="0" fontId="16" fillId="0" borderId="38" applyAlignment="1" pivotButton="0" quotePrefix="0" xfId="0">
      <alignment horizontal="left" vertical="center"/>
    </xf>
    <xf numFmtId="0" fontId="18" fillId="2" borderId="6" applyAlignment="1" pivotButton="0" quotePrefix="0" xfId="0">
      <alignment horizontal="left" vertical="center"/>
    </xf>
    <xf numFmtId="0" fontId="16" fillId="2" borderId="7" applyAlignment="1" pivotButton="0" quotePrefix="0" xfId="0">
      <alignment horizontal="center" vertical="center"/>
    </xf>
    <xf numFmtId="0" fontId="16" fillId="2" borderId="8" applyAlignment="1" pivotButton="0" quotePrefix="0" xfId="0">
      <alignment horizontal="center" vertical="center"/>
    </xf>
    <xf numFmtId="0" fontId="16" fillId="0" borderId="67" applyAlignment="1" pivotButton="0" quotePrefix="0" xfId="0">
      <alignment horizontal="center" vertical="center"/>
    </xf>
    <xf numFmtId="0" fontId="16" fillId="0" borderId="68" applyAlignment="1" pivotButton="0" quotePrefix="0" xfId="0">
      <alignment horizontal="center" vertical="center"/>
    </xf>
    <xf numFmtId="0" fontId="16" fillId="0" borderId="73" applyAlignment="1" pivotButton="0" quotePrefix="0" xfId="0">
      <alignment horizontal="center" vertical="center"/>
    </xf>
    <xf numFmtId="0" fontId="16" fillId="0" borderId="74" applyAlignment="1" pivotButton="0" quotePrefix="0" xfId="0">
      <alignment horizontal="center" vertical="center"/>
    </xf>
    <xf numFmtId="0" fontId="16" fillId="0" borderId="75" applyAlignment="1" pivotButton="0" quotePrefix="0" xfId="0">
      <alignment horizontal="center" vertical="center"/>
    </xf>
    <xf numFmtId="0" fontId="16" fillId="0" borderId="69" applyAlignment="1" pivotButton="0" quotePrefix="0" xfId="0">
      <alignment horizontal="center" vertical="center" wrapText="1"/>
    </xf>
    <xf numFmtId="0" fontId="16" fillId="0" borderId="68" applyAlignment="1" pivotButton="0" quotePrefix="0" xfId="0">
      <alignment horizontal="center" vertical="center" wrapText="1"/>
    </xf>
    <xf numFmtId="0" fontId="16" fillId="0" borderId="70" applyAlignment="1" pivotButton="0" quotePrefix="0" xfId="0">
      <alignment horizontal="center" vertical="center" wrapText="1"/>
    </xf>
    <xf numFmtId="0" fontId="19" fillId="0" borderId="53" applyAlignment="1" pivotButton="0" quotePrefix="0" xfId="0">
      <alignment horizontal="center" vertical="center"/>
    </xf>
    <xf numFmtId="0" fontId="14" fillId="0" borderId="54" applyAlignment="1" pivotButton="0" quotePrefix="0" xfId="0">
      <alignment horizontal="center" vertical="center"/>
    </xf>
    <xf numFmtId="0" fontId="14" fillId="0" borderId="52" applyAlignment="1" pivotButton="0" quotePrefix="0" xfId="0">
      <alignment horizontal="center" vertical="center"/>
    </xf>
    <xf numFmtId="0" fontId="14" fillId="0" borderId="55" applyAlignment="1" pivotButton="0" quotePrefix="0" xfId="0">
      <alignment horizontal="center" vertical="center"/>
    </xf>
    <xf numFmtId="0" fontId="14" fillId="0" borderId="56" applyAlignment="1" pivotButton="0" quotePrefix="0" xfId="0">
      <alignment horizontal="center" vertical="center"/>
    </xf>
    <xf numFmtId="0" fontId="19" fillId="0" borderId="19" applyAlignment="1" pivotButton="0" quotePrefix="0" xfId="0">
      <alignment horizontal="center" vertical="center"/>
    </xf>
    <xf numFmtId="0" fontId="14" fillId="0" borderId="37" applyAlignment="1" pivotButton="0" quotePrefix="0" xfId="0">
      <alignment horizontal="center" vertical="center"/>
    </xf>
    <xf numFmtId="0" fontId="14" fillId="0" borderId="17" applyAlignment="1" pivotButton="0" quotePrefix="0" xfId="0">
      <alignment horizontal="center" vertical="center"/>
    </xf>
    <xf numFmtId="0" fontId="14" fillId="0" borderId="38" applyAlignment="1" pivotButton="0" quotePrefix="0" xfId="0">
      <alignment horizontal="center" vertical="center"/>
    </xf>
    <xf numFmtId="0" fontId="14" fillId="0" borderId="11" applyAlignment="1" pivotButton="0" quotePrefix="0" xfId="0">
      <alignment horizontal="center" vertical="center"/>
    </xf>
    <xf numFmtId="0" fontId="14" fillId="0" borderId="9" applyAlignment="1" pivotButton="0" quotePrefix="0" xfId="0">
      <alignment horizontal="center" vertical="center"/>
    </xf>
    <xf numFmtId="0" fontId="14" fillId="4" borderId="17" applyAlignment="1" pivotButton="0" quotePrefix="0" xfId="0">
      <alignment horizontal="center" vertical="center"/>
    </xf>
    <xf numFmtId="0" fontId="17" fillId="0" borderId="11" applyAlignment="1" pivotButton="0" quotePrefix="0" xfId="0">
      <alignment vertical="center"/>
    </xf>
    <xf numFmtId="0" fontId="17" fillId="0" borderId="17" applyAlignment="1" pivotButton="0" quotePrefix="0" xfId="0">
      <alignment vertical="center"/>
    </xf>
    <xf numFmtId="0" fontId="17" fillId="0" borderId="18" applyAlignment="1" pivotButton="0" quotePrefix="0" xfId="0">
      <alignment vertical="center"/>
    </xf>
    <xf numFmtId="0" fontId="14" fillId="0" borderId="26" applyAlignment="1" pivotButton="0" quotePrefix="0" xfId="0">
      <alignment horizontal="center" vertical="center"/>
    </xf>
    <xf numFmtId="0" fontId="14" fillId="0" borderId="28" applyAlignment="1" pivotButton="0" quotePrefix="0" xfId="0">
      <alignment horizontal="center" vertical="center"/>
    </xf>
    <xf numFmtId="0" fontId="19" fillId="0" borderId="39" applyAlignment="1" pivotButton="0" quotePrefix="0" xfId="0">
      <alignment horizontal="center" vertical="center"/>
    </xf>
    <xf numFmtId="0" fontId="17" fillId="0" borderId="40" applyAlignment="1" pivotButton="0" quotePrefix="0" xfId="0">
      <alignment vertical="center"/>
    </xf>
    <xf numFmtId="0" fontId="17" fillId="0" borderId="28" applyAlignment="1" pivotButton="0" quotePrefix="0" xfId="0">
      <alignment vertical="center"/>
    </xf>
    <xf numFmtId="0" fontId="17" fillId="0" borderId="41" applyAlignment="1" pivotButton="0" quotePrefix="0" xfId="0">
      <alignment vertical="center"/>
    </xf>
    <xf numFmtId="0" fontId="17" fillId="0" borderId="42" applyAlignment="1" pivotButton="0" quotePrefix="0" xfId="0">
      <alignment vertical="center"/>
    </xf>
    <xf numFmtId="0" fontId="17" fillId="0" borderId="27" applyAlignment="1" pivotButton="0" quotePrefix="0" xfId="0">
      <alignment vertical="center"/>
    </xf>
    <xf numFmtId="0" fontId="14" fillId="5" borderId="43" applyAlignment="1" pivotButton="0" quotePrefix="0" xfId="0">
      <alignment horizontal="center" vertical="center"/>
    </xf>
    <xf numFmtId="0" fontId="14" fillId="3" borderId="9" applyAlignment="1" pivotButton="0" quotePrefix="0" xfId="0">
      <alignment horizontal="center" vertical="center"/>
    </xf>
    <xf numFmtId="0" fontId="14" fillId="6" borderId="67" applyAlignment="1" pivotButton="0" quotePrefix="0" xfId="0">
      <alignment horizontal="center" vertical="center"/>
    </xf>
    <xf numFmtId="0" fontId="16" fillId="0" borderId="53" applyAlignment="1" pivotButton="0" quotePrefix="0" xfId="0">
      <alignment horizontal="center" vertical="center"/>
    </xf>
    <xf numFmtId="0" fontId="16" fillId="0" borderId="9" applyAlignment="1" pivotButton="0" quotePrefix="0" xfId="0">
      <alignment vertical="center" wrapText="1"/>
    </xf>
    <xf numFmtId="0" fontId="16" fillId="0" borderId="9" applyAlignment="1" pivotButton="0" quotePrefix="0" xfId="0">
      <alignment vertical="center"/>
    </xf>
    <xf numFmtId="0" fontId="16" fillId="0" borderId="26" applyAlignment="1" pivotButton="0" quotePrefix="0" xfId="0">
      <alignment vertical="center"/>
    </xf>
    <xf numFmtId="0" fontId="19" fillId="0" borderId="9" applyAlignment="1" pivotButton="0" quotePrefix="0" xfId="0">
      <alignment vertical="center"/>
    </xf>
    <xf numFmtId="0" fontId="16" fillId="0" borderId="17" applyAlignment="1" pivotButton="0" quotePrefix="0" xfId="0">
      <alignment horizontal="center" vertical="center"/>
    </xf>
    <xf numFmtId="0" fontId="14" fillId="4" borderId="35" applyAlignment="1" pivotButton="0" quotePrefix="0" xfId="0">
      <alignment vertical="center" wrapText="1"/>
    </xf>
    <xf numFmtId="0" fontId="14" fillId="4" borderId="2" applyAlignment="1" pivotButton="0" quotePrefix="0" xfId="0">
      <alignment vertical="center" wrapText="1"/>
    </xf>
    <xf numFmtId="0" fontId="14" fillId="4" borderId="3" applyAlignment="1" pivotButton="0" quotePrefix="0" xfId="0">
      <alignment vertical="center" wrapText="1"/>
    </xf>
    <xf numFmtId="0" fontId="14" fillId="4" borderId="4" applyAlignment="1" pivotButton="0" quotePrefix="0" xfId="0">
      <alignment vertical="center" wrapText="1"/>
    </xf>
    <xf numFmtId="0" fontId="14" fillId="4" borderId="0" applyAlignment="1" pivotButton="0" quotePrefix="0" xfId="0">
      <alignment vertical="center" wrapText="1"/>
    </xf>
    <xf numFmtId="0" fontId="14" fillId="4" borderId="5" applyAlignment="1" pivotButton="0" quotePrefix="0" xfId="0">
      <alignment vertical="center" wrapText="1"/>
    </xf>
    <xf numFmtId="0" fontId="19" fillId="0" borderId="0" applyAlignment="1" pivotButton="0" quotePrefix="0" xfId="0">
      <alignment vertical="center"/>
    </xf>
    <xf numFmtId="0" fontId="14" fillId="4" borderId="21" applyAlignment="1" pivotButton="0" quotePrefix="0" xfId="0">
      <alignment vertical="center" wrapText="1"/>
    </xf>
    <xf numFmtId="0" fontId="14" fillId="4" borderId="22" applyAlignment="1" pivotButton="0" quotePrefix="0" xfId="0">
      <alignment vertical="center" wrapText="1"/>
    </xf>
    <xf numFmtId="0" fontId="14" fillId="4" borderId="23" applyAlignment="1" pivotButton="0" quotePrefix="0" xfId="0">
      <alignment vertical="center" wrapText="1"/>
    </xf>
    <xf numFmtId="0" fontId="17" fillId="0" borderId="4" applyAlignment="1" pivotButton="0" quotePrefix="0" xfId="0">
      <alignment vertical="center"/>
    </xf>
    <xf numFmtId="0" fontId="17" fillId="0" borderId="5" applyAlignment="1" pivotButton="0" quotePrefix="0" xfId="0">
      <alignment vertical="center"/>
    </xf>
    <xf numFmtId="0" fontId="17" fillId="0" borderId="21" applyAlignment="1" pivotButton="0" quotePrefix="0" xfId="0">
      <alignment vertical="center"/>
    </xf>
    <xf numFmtId="0" fontId="17" fillId="0" borderId="22" applyAlignment="1" pivotButton="0" quotePrefix="0" xfId="0">
      <alignment vertical="center"/>
    </xf>
    <xf numFmtId="0" fontId="17" fillId="0" borderId="23" applyAlignment="1" pivotButton="0" quotePrefix="0" xfId="0">
      <alignment vertical="center"/>
    </xf>
    <xf numFmtId="0" fontId="16" fillId="0" borderId="26" applyAlignment="1" pivotButton="0" quotePrefix="0" xfId="0">
      <alignment horizontal="left" vertical="center"/>
    </xf>
    <xf numFmtId="0" fontId="16" fillId="0" borderId="29" applyAlignment="1" pivotButton="0" quotePrefix="0" xfId="0">
      <alignment horizontal="left" vertical="center"/>
    </xf>
    <xf numFmtId="0" fontId="19" fillId="0" borderId="30" applyAlignment="1" pivotButton="0" quotePrefix="0" xfId="0">
      <alignment horizontal="center" vertical="center"/>
    </xf>
    <xf numFmtId="14" fontId="16" fillId="0" borderId="0" applyAlignment="1" pivotButton="0" quotePrefix="0" xfId="0">
      <alignment horizontal="right" vertical="center"/>
    </xf>
    <xf numFmtId="0" fontId="16" fillId="0" borderId="0" applyAlignment="1" pivotButton="0" quotePrefix="0" xfId="0">
      <alignment horizontal="right" vertical="center"/>
    </xf>
    <xf numFmtId="0" fontId="14" fillId="0" borderId="76" applyAlignment="1" pivotButton="0" quotePrefix="0" xfId="0">
      <alignment horizontal="left" vertical="center"/>
    </xf>
    <xf numFmtId="0" fontId="14" fillId="0" borderId="10" applyAlignment="1" pivotButton="0" quotePrefix="0" xfId="0">
      <alignment horizontal="left" vertical="center"/>
    </xf>
    <xf numFmtId="0" fontId="21" fillId="4" borderId="4" applyAlignment="1" pivotButton="0" quotePrefix="0" xfId="0">
      <alignment vertical="center" wrapText="1"/>
    </xf>
    <xf numFmtId="0" fontId="16" fillId="0" borderId="43" applyAlignment="1" pivotButton="0" quotePrefix="0" xfId="0">
      <alignment horizontal="left" vertical="center"/>
    </xf>
    <xf numFmtId="0" fontId="16" fillId="0" borderId="46" applyAlignment="1" pivotButton="0" quotePrefix="0" xfId="0">
      <alignment horizontal="left" vertical="center"/>
    </xf>
    <xf numFmtId="0" fontId="16" fillId="0" borderId="48" applyAlignment="1" pivotButton="0" quotePrefix="0" xfId="0">
      <alignment horizontal="left" vertical="center"/>
    </xf>
    <xf numFmtId="0" fontId="4" fillId="0" borderId="7" applyAlignment="1" pivotButton="0" quotePrefix="0" xfId="0">
      <alignment horizontal="left" vertical="center"/>
    </xf>
    <xf numFmtId="0" fontId="0" fillId="0" borderId="7"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0" applyAlignment="1" pivotButton="0" quotePrefix="0" xfId="0">
      <alignment vertical="center"/>
    </xf>
    <xf numFmtId="0" fontId="0" fillId="0" borderId="5" pivotButton="0" quotePrefix="0" xfId="0"/>
    <xf numFmtId="0" fontId="0" fillId="0" borderId="6" pivotButton="0" quotePrefix="0" xfId="0"/>
    <xf numFmtId="0" fontId="0" fillId="0" borderId="8" pivotButton="0" quotePrefix="0" xfId="0"/>
    <xf numFmtId="0" fontId="2" fillId="2" borderId="9" applyAlignment="1" pivotButton="0" quotePrefix="0" xfId="0">
      <alignment horizontal="left" vertical="center"/>
    </xf>
    <xf numFmtId="0" fontId="0" fillId="0" borderId="10" pivotButton="0" quotePrefix="0" xfId="0"/>
    <xf numFmtId="0" fontId="0" fillId="0" borderId="11" pivotButton="0" quotePrefix="0" xfId="0"/>
    <xf numFmtId="0" fontId="4" fillId="0" borderId="0" applyAlignment="1" pivotButton="0" quotePrefix="0" xfId="0">
      <alignment horizontal="left" vertical="center"/>
    </xf>
    <xf numFmtId="0" fontId="2" fillId="2" borderId="12" applyAlignment="1" pivotButton="0" quotePrefix="0" xfId="0">
      <alignment horizontal="left" vertical="center"/>
    </xf>
    <xf numFmtId="0" fontId="0" fillId="0" borderId="13" pivotButton="0" quotePrefix="0" xfId="0"/>
    <xf numFmtId="0" fontId="5" fillId="0" borderId="12" applyAlignment="1" pivotButton="0" quotePrefix="0" xfId="0">
      <alignment horizontal="left" vertical="center" wrapText="1"/>
    </xf>
    <xf numFmtId="0" fontId="2" fillId="2" borderId="14" applyAlignment="1" pivotButton="0" quotePrefix="0" xfId="0">
      <alignment horizontal="left" vertical="center"/>
    </xf>
    <xf numFmtId="0" fontId="0" fillId="0" borderId="15" pivotButton="0" quotePrefix="0" xfId="0"/>
    <xf numFmtId="0" fontId="0" fillId="0" borderId="16" pivotButton="0" quotePrefix="0" xfId="0"/>
    <xf numFmtId="0" fontId="3" fillId="0" borderId="9" applyAlignment="1" pivotButton="0" quotePrefix="0" xfId="0">
      <alignment horizontal="center" vertical="center"/>
    </xf>
    <xf numFmtId="0" fontId="3" fillId="0" borderId="17" applyAlignment="1" pivotButton="0" quotePrefix="0" xfId="0">
      <alignment horizontal="center" vertical="center"/>
    </xf>
    <xf numFmtId="0" fontId="5" fillId="0" borderId="17" applyAlignment="1" pivotButton="0" quotePrefix="0" xfId="0">
      <alignment horizontal="left" vertical="center"/>
    </xf>
    <xf numFmtId="0" fontId="4" fillId="0" borderId="18" applyAlignment="1" pivotButton="0" quotePrefix="0" xfId="0">
      <alignment horizontal="left" vertical="center"/>
    </xf>
    <xf numFmtId="0" fontId="3" fillId="0" borderId="18" applyAlignment="1" pivotButton="0" quotePrefix="0" xfId="0">
      <alignment horizontal="left" vertical="center"/>
    </xf>
    <xf numFmtId="0" fontId="3" fillId="0" borderId="9" applyAlignment="1" pivotButton="0" quotePrefix="0" xfId="0">
      <alignment horizontal="left" vertical="center"/>
    </xf>
    <xf numFmtId="0" fontId="3" fillId="0" borderId="18" applyAlignment="1" pivotButton="0" quotePrefix="0" xfId="0">
      <alignment horizontal="center" vertical="center"/>
    </xf>
    <xf numFmtId="0" fontId="10" fillId="0" borderId="20"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2" fillId="2" borderId="1" applyAlignment="1" pivotButton="0" quotePrefix="0" xfId="0">
      <alignment horizontal="left" vertical="center"/>
    </xf>
    <xf numFmtId="0" fontId="0" fillId="0" borderId="24" pivotButton="0" quotePrefix="0" xfId="0"/>
    <xf numFmtId="0" fontId="0" fillId="0" borderId="25" pivotButton="0" quotePrefix="0" xfId="0"/>
    <xf numFmtId="0" fontId="5" fillId="0" borderId="17" applyAlignment="1" pivotButton="0" quotePrefix="0" xfId="0">
      <alignment horizontal="left" vertical="center" wrapText="1"/>
    </xf>
    <xf numFmtId="0" fontId="5" fillId="0" borderId="18" applyAlignment="1" pivotButton="0" quotePrefix="0" xfId="0">
      <alignment horizontal="left" vertical="center" wrapText="1"/>
    </xf>
    <xf numFmtId="0" fontId="5" fillId="0" borderId="27" applyAlignment="1" pivotButton="0" quotePrefix="0" xfId="0">
      <alignment horizontal="left" vertical="center" wrapText="1"/>
    </xf>
    <xf numFmtId="0" fontId="14" fillId="0" borderId="4" applyAlignment="1" pivotButton="0" quotePrefix="0" xfId="0">
      <alignment horizontal="center" vertical="center" wrapText="1"/>
    </xf>
    <xf numFmtId="0" fontId="14" fillId="0" borderId="5" applyAlignment="1" pivotButton="0" quotePrefix="0" xfId="0">
      <alignment horizontal="center" vertical="center" wrapText="1"/>
    </xf>
    <xf numFmtId="0" fontId="4" fillId="0" borderId="27" applyAlignment="1" pivotButton="0" quotePrefix="0" xfId="0">
      <alignment horizontal="left" vertical="center"/>
    </xf>
    <xf numFmtId="0" fontId="4" fillId="0" borderId="31" applyAlignment="1" pivotButton="0" quotePrefix="0" xfId="0">
      <alignment horizontal="left" vertical="center"/>
    </xf>
    <xf numFmtId="0" fontId="0" fillId="0" borderId="32" pivotButton="0" quotePrefix="0" xfId="0"/>
    <xf numFmtId="0" fontId="0" fillId="0" borderId="33" pivotButton="0" quotePrefix="0" xfId="0"/>
    <xf numFmtId="0" fontId="12" fillId="0" borderId="12" applyAlignment="1" pivotButton="0" quotePrefix="0" xfId="0">
      <alignment horizontal="left" vertical="center"/>
    </xf>
    <xf numFmtId="0" fontId="18" fillId="2" borderId="12" applyAlignment="1" pivotButton="0" quotePrefix="0" xfId="0">
      <alignment horizontal="left" vertical="center"/>
    </xf>
    <xf numFmtId="0" fontId="17" fillId="0" borderId="10" pivotButton="0" quotePrefix="0" xfId="0"/>
    <xf numFmtId="0" fontId="17" fillId="0" borderId="13" pivotButton="0" quotePrefix="0" xfId="0"/>
    <xf numFmtId="0" fontId="19" fillId="0" borderId="27" applyAlignment="1" pivotButton="0" quotePrefix="0" xfId="0">
      <alignment horizontal="center" vertical="center"/>
    </xf>
    <xf numFmtId="0" fontId="17" fillId="0" borderId="15" applyAlignment="1" pivotButton="0" quotePrefix="0" xfId="0">
      <alignment horizontal="center"/>
    </xf>
    <xf numFmtId="0" fontId="17" fillId="0" borderId="16" applyAlignment="1" pivotButton="0" quotePrefix="0" xfId="0">
      <alignment horizontal="center"/>
    </xf>
    <xf numFmtId="0" fontId="19" fillId="0" borderId="31" applyAlignment="1" pivotButton="0" quotePrefix="0" xfId="0">
      <alignment horizontal="center" vertical="center"/>
    </xf>
    <xf numFmtId="0" fontId="17" fillId="0" borderId="32" applyAlignment="1" pivotButton="0" quotePrefix="0" xfId="0">
      <alignment horizontal="center"/>
    </xf>
    <xf numFmtId="0" fontId="17" fillId="0" borderId="33" applyAlignment="1" pivotButton="0" quotePrefix="0" xfId="0">
      <alignment horizontal="center"/>
    </xf>
    <xf numFmtId="0" fontId="18" fillId="2" borderId="1" applyAlignment="1" pivotButton="0" quotePrefix="0" xfId="0">
      <alignment horizontal="left" vertical="center"/>
    </xf>
    <xf numFmtId="0" fontId="17" fillId="0" borderId="24" pivotButton="0" quotePrefix="0" xfId="0"/>
    <xf numFmtId="0" fontId="17" fillId="0" borderId="25" pivotButton="0" quotePrefix="0" xfId="0"/>
    <xf numFmtId="0" fontId="14" fillId="0" borderId="12" applyAlignment="1" pivotButton="0" quotePrefix="0" xfId="0">
      <alignment horizontal="left" vertical="center"/>
    </xf>
    <xf numFmtId="0" fontId="18" fillId="2" borderId="14" applyAlignment="1" pivotButton="0" quotePrefix="0" xfId="0">
      <alignment horizontal="left" vertical="center"/>
    </xf>
    <xf numFmtId="0" fontId="17" fillId="0" borderId="15" pivotButton="0" quotePrefix="0" xfId="0"/>
    <xf numFmtId="0" fontId="17" fillId="0" borderId="16" pivotButton="0" quotePrefix="0" xfId="0"/>
    <xf numFmtId="0" fontId="19" fillId="0" borderId="76" applyAlignment="1" pivotButton="0" quotePrefix="0" xfId="0">
      <alignment horizontal="left" vertical="center"/>
    </xf>
    <xf numFmtId="0" fontId="19" fillId="0" borderId="10" applyAlignment="1" pivotButton="0" quotePrefix="0" xfId="0">
      <alignment horizontal="left" vertical="center"/>
    </xf>
    <xf numFmtId="0" fontId="19" fillId="0" borderId="13" applyAlignment="1" pivotButton="0" quotePrefix="0" xfId="0">
      <alignment horizontal="left" vertical="center"/>
    </xf>
    <xf numFmtId="0" fontId="14" fillId="0" borderId="18" applyAlignment="1" pivotButton="0" quotePrefix="0" xfId="0">
      <alignment horizontal="left" vertical="center" wrapText="1"/>
    </xf>
    <xf numFmtId="0" fontId="14" fillId="0" borderId="27" applyAlignment="1" pivotButton="0" quotePrefix="0" xfId="0">
      <alignment horizontal="left" vertical="center" wrapText="1"/>
    </xf>
    <xf numFmtId="0" fontId="16" fillId="0" borderId="18" applyAlignment="1" pivotButton="0" quotePrefix="0" xfId="0">
      <alignment horizontal="left" vertical="center"/>
    </xf>
    <xf numFmtId="0" fontId="16" fillId="0" borderId="51" applyAlignment="1" pivotButton="0" quotePrefix="0" xfId="0">
      <alignment horizontal="left" vertical="center"/>
    </xf>
    <xf numFmtId="0" fontId="17" fillId="0" borderId="56" pivotButton="0" quotePrefix="0" xfId="0"/>
    <xf numFmtId="0" fontId="16" fillId="0" borderId="57" applyAlignment="1" pivotButton="0" quotePrefix="0" xfId="0">
      <alignment horizontal="center" vertical="center"/>
    </xf>
    <xf numFmtId="0" fontId="17" fillId="0" borderId="7" pivotButton="0" quotePrefix="0" xfId="0"/>
    <xf numFmtId="0" fontId="17" fillId="0" borderId="8" pivotButton="0" quotePrefix="0" xfId="0"/>
    <xf numFmtId="0" fontId="14" fillId="0" borderId="20" applyAlignment="1" pivotButton="0" quotePrefix="0" xfId="0">
      <alignment horizontal="left" vertical="center" wrapText="1"/>
    </xf>
    <xf numFmtId="0" fontId="17" fillId="0" borderId="4" pivotButton="0" quotePrefix="0" xfId="0"/>
    <xf numFmtId="0" fontId="17" fillId="0" borderId="0" applyAlignment="1" pivotButton="0" quotePrefix="0" xfId="0">
      <alignment vertical="center"/>
    </xf>
    <xf numFmtId="0" fontId="17" fillId="0" borderId="5" pivotButton="0" quotePrefix="0" xfId="0"/>
    <xf numFmtId="0" fontId="17" fillId="0" borderId="21" pivotButton="0" quotePrefix="0" xfId="0"/>
    <xf numFmtId="0" fontId="17" fillId="0" borderId="22" pivotButton="0" quotePrefix="0" xfId="0"/>
    <xf numFmtId="0" fontId="17" fillId="0" borderId="23" pivotButton="0" quotePrefix="0" xfId="0"/>
    <xf numFmtId="0" fontId="21" fillId="0" borderId="17" applyAlignment="1" pivotButton="0" quotePrefix="0" xfId="0">
      <alignment horizontal="left" vertical="center" wrapText="1"/>
    </xf>
    <xf numFmtId="0" fontId="22" fillId="0" borderId="10" pivotButton="0" quotePrefix="0" xfId="0"/>
    <xf numFmtId="0" fontId="22" fillId="0" borderId="13" pivotButton="0" quotePrefix="0" xfId="0"/>
    <xf numFmtId="0" fontId="14" fillId="0" borderId="19" applyAlignment="1" pivotButton="0" quotePrefix="0" xfId="0">
      <alignment horizontal="left" vertical="center" wrapText="1"/>
    </xf>
    <xf numFmtId="0" fontId="14" fillId="0" borderId="10" applyAlignment="1" pivotButton="0" quotePrefix="0" xfId="0">
      <alignment horizontal="left" vertical="center" wrapText="1"/>
    </xf>
    <xf numFmtId="0" fontId="14" fillId="0" borderId="13" applyAlignment="1" pivotButton="0" quotePrefix="0" xfId="0">
      <alignment horizontal="left" vertical="center" wrapText="1"/>
    </xf>
    <xf numFmtId="0" fontId="21" fillId="0" borderId="19" applyAlignment="1" pivotButton="0" quotePrefix="0" xfId="0">
      <alignment horizontal="left" vertical="center" wrapText="1"/>
    </xf>
    <xf numFmtId="0" fontId="21" fillId="0" borderId="10" applyAlignment="1" pivotButton="0" quotePrefix="0" xfId="0">
      <alignment horizontal="left" vertical="center" wrapText="1"/>
    </xf>
    <xf numFmtId="0" fontId="21" fillId="0" borderId="13" applyAlignment="1" pivotButton="0" quotePrefix="0" xfId="0">
      <alignment horizontal="left" vertical="center" wrapText="1"/>
    </xf>
    <xf numFmtId="0" fontId="14" fillId="0" borderId="44" applyAlignment="1" pivotButton="0" quotePrefix="0" xfId="0">
      <alignment horizontal="left" vertical="center"/>
    </xf>
    <xf numFmtId="0" fontId="17" fillId="0" borderId="48" pivotButton="0" quotePrefix="0" xfId="0"/>
    <xf numFmtId="0" fontId="19" fillId="0" borderId="49" applyAlignment="1" pivotButton="0" quotePrefix="0" xfId="0">
      <alignment horizontal="left" vertical="center"/>
    </xf>
    <xf numFmtId="0" fontId="17" fillId="0" borderId="65" pivotButton="0" quotePrefix="0" xfId="0"/>
    <xf numFmtId="0" fontId="17" fillId="0" borderId="66" pivotButton="0" quotePrefix="0" xfId="0"/>
    <xf numFmtId="0" fontId="14" fillId="0" borderId="17" applyAlignment="1" pivotButton="0" quotePrefix="0" xfId="0">
      <alignment horizontal="left" vertical="center"/>
    </xf>
    <xf numFmtId="0" fontId="17" fillId="0" borderId="11" pivotButton="0" quotePrefix="0" xfId="0"/>
    <xf numFmtId="0" fontId="19" fillId="0" borderId="18" applyAlignment="1" pivotButton="0" quotePrefix="0" xfId="0">
      <alignment horizontal="left" vertical="center"/>
    </xf>
    <xf numFmtId="0" fontId="14" fillId="0" borderId="68" applyAlignment="1" pivotButton="0" quotePrefix="0" xfId="0">
      <alignment horizontal="left" vertical="center"/>
    </xf>
    <xf numFmtId="0" fontId="17" fillId="0" borderId="69" pivotButton="0" quotePrefix="0" xfId="0"/>
    <xf numFmtId="0" fontId="19" fillId="0" borderId="70" applyAlignment="1" pivotButton="0" quotePrefix="0" xfId="0">
      <alignment horizontal="left" vertical="center"/>
    </xf>
    <xf numFmtId="0" fontId="17" fillId="0" borderId="71" pivotButton="0" quotePrefix="0" xfId="0"/>
    <xf numFmtId="0" fontId="17" fillId="0" borderId="72" pivotButton="0" quotePrefix="0" xfId="0"/>
    <xf numFmtId="0" fontId="14" fillId="0" borderId="12" applyAlignment="1" pivotButton="0" quotePrefix="0" xfId="0">
      <alignment horizontal="left" vertical="center" wrapText="1"/>
    </xf>
    <xf numFmtId="0" fontId="16" fillId="0" borderId="26" applyAlignment="1" pivotButton="0" quotePrefix="0" xfId="0">
      <alignment horizontal="center" vertical="center"/>
    </xf>
    <xf numFmtId="0" fontId="16" fillId="0" borderId="40" applyAlignment="1" pivotButton="0" quotePrefix="0" xfId="0">
      <alignment horizontal="center" vertical="center"/>
    </xf>
    <xf numFmtId="0" fontId="17" fillId="0" borderId="50" pivotButton="0" quotePrefix="0" xfId="0"/>
    <xf numFmtId="0" fontId="16" fillId="0" borderId="42" applyAlignment="1" pivotButton="0" quotePrefix="0" xfId="0">
      <alignment horizontal="center" vertical="center"/>
    </xf>
    <xf numFmtId="0" fontId="19" fillId="0" borderId="7" applyAlignment="1" pivotButton="0" quotePrefix="0" xfId="0">
      <alignment horizontal="left" vertical="center"/>
    </xf>
    <xf numFmtId="0" fontId="16" fillId="0" borderId="1" applyAlignment="1" pivotButton="0" quotePrefix="0" xfId="0">
      <alignment horizontal="center" vertical="center" wrapText="1"/>
    </xf>
    <xf numFmtId="0" fontId="17" fillId="0" borderId="2" pivotButton="0" quotePrefix="0" xfId="0"/>
    <xf numFmtId="0" fontId="17" fillId="0" borderId="3" pivotButton="0" quotePrefix="0" xfId="0"/>
    <xf numFmtId="0" fontId="17" fillId="0" borderId="6" pivotButton="0" quotePrefix="0" xfId="0"/>
    <xf numFmtId="0" fontId="18" fillId="2" borderId="9" applyAlignment="1" pivotButton="0" quotePrefix="0" xfId="0">
      <alignment horizontal="left" vertical="center"/>
    </xf>
    <xf numFmtId="0" fontId="19" fillId="0" borderId="0" applyAlignment="1" pivotButton="0" quotePrefix="0" xfId="0">
      <alignment horizontal="left" vertical="center"/>
    </xf>
    <xf numFmtId="0" fontId="14" fillId="0" borderId="76" applyAlignment="1" pivotButton="0" quotePrefix="0" xfId="0">
      <alignment horizontal="left" vertical="center"/>
    </xf>
    <xf numFmtId="0" fontId="14" fillId="0" borderId="10" applyAlignment="1" pivotButton="0" quotePrefix="0" xfId="0">
      <alignment horizontal="left" vertical="center"/>
    </xf>
    <xf numFmtId="0" fontId="14" fillId="0" borderId="13" applyAlignment="1" pivotButton="0" quotePrefix="0" xfId="0">
      <alignment horizontal="left" vertical="center"/>
    </xf>
    <xf numFmtId="0" fontId="24" fillId="0" borderId="12" applyAlignment="1" pivotButton="0" quotePrefix="0" xfId="0">
      <alignment horizontal="left" vertical="center"/>
    </xf>
    <xf numFmtId="0" fontId="19" fillId="0" borderId="49" applyAlignment="1" pivotButton="0" quotePrefix="0" xfId="0">
      <alignment horizontal="center" vertical="center"/>
    </xf>
    <xf numFmtId="0" fontId="17" fillId="0" borderId="65" applyAlignment="1" pivotButton="0" quotePrefix="0" xfId="0">
      <alignment horizontal="center"/>
    </xf>
    <xf numFmtId="0" fontId="17" fillId="0" borderId="66" applyAlignment="1" pivotButton="0" quotePrefix="0" xfId="0">
      <alignment horizontal="center"/>
    </xf>
    <xf numFmtId="0" fontId="19" fillId="0" borderId="18" applyAlignment="1" pivotButton="0" quotePrefix="0" xfId="0">
      <alignment horizontal="center" vertical="center"/>
    </xf>
    <xf numFmtId="0" fontId="17" fillId="0" borderId="10" applyAlignment="1" pivotButton="0" quotePrefix="0" xfId="0">
      <alignment horizontal="center"/>
    </xf>
    <xf numFmtId="0" fontId="17" fillId="0" borderId="13" applyAlignment="1" pivotButton="0" quotePrefix="0" xfId="0">
      <alignment horizontal="center"/>
    </xf>
    <xf numFmtId="0" fontId="19" fillId="0" borderId="70" applyAlignment="1" pivotButton="0" quotePrefix="0" xfId="0">
      <alignment horizontal="center" vertical="center"/>
    </xf>
    <xf numFmtId="0" fontId="17" fillId="0" borderId="71" applyAlignment="1" pivotButton="0" quotePrefix="0" xfId="0">
      <alignment horizontal="center"/>
    </xf>
    <xf numFmtId="0" fontId="17" fillId="0" borderId="72" applyAlignment="1" pivotButton="0" quotePrefix="0" xfId="0">
      <alignment horizontal="center"/>
    </xf>
    <xf numFmtId="0" fontId="17" fillId="0" borderId="10" applyAlignment="1" pivotButton="0" quotePrefix="0" xfId="0">
      <alignment horizontal="left"/>
    </xf>
    <xf numFmtId="0" fontId="17" fillId="0" borderId="13" applyAlignment="1" pivotButton="0" quotePrefix="0" xfId="0">
      <alignment horizontal="left"/>
    </xf>
    <xf numFmtId="0" fontId="17" fillId="0" borderId="15" applyAlignment="1" pivotButton="0" quotePrefix="0" xfId="0">
      <alignment horizontal="left"/>
    </xf>
    <xf numFmtId="0" fontId="17" fillId="0" borderId="16" applyAlignment="1" pivotButton="0" quotePrefix="0" xfId="0">
      <alignment horizontal="left"/>
    </xf>
    <xf numFmtId="0" fontId="24" fillId="0" borderId="77" applyAlignment="1" pivotButton="0" quotePrefix="0" xfId="0">
      <alignment horizontal="left" vertical="center"/>
    </xf>
    <xf numFmtId="0" fontId="14" fillId="0" borderId="20" applyAlignment="1" pivotButton="0" quotePrefix="0" xfId="0">
      <alignment horizontal="left" wrapText="1"/>
    </xf>
    <xf numFmtId="0" fontId="17" fillId="0" borderId="4" applyAlignment="1" pivotButton="0" quotePrefix="0" xfId="0">
      <alignment horizontal="left"/>
    </xf>
    <xf numFmtId="0" fontId="17" fillId="0" borderId="0" applyAlignment="1" pivotButton="0" quotePrefix="0" xfId="0">
      <alignment horizontal="left"/>
    </xf>
    <xf numFmtId="0" fontId="17" fillId="0" borderId="5" applyAlignment="1" pivotButton="0" quotePrefix="0" xfId="0">
      <alignment horizontal="left"/>
    </xf>
    <xf numFmtId="0" fontId="17" fillId="0" borderId="21" applyAlignment="1" pivotButton="0" quotePrefix="0" xfId="0">
      <alignment horizontal="left"/>
    </xf>
    <xf numFmtId="0" fontId="17" fillId="0" borderId="22" applyAlignment="1" pivotButton="0" quotePrefix="0" xfId="0">
      <alignment horizontal="left"/>
    </xf>
    <xf numFmtId="0" fontId="17" fillId="0" borderId="23" applyAlignment="1" pivotButton="0" quotePrefix="0" xfId="0">
      <alignment horizontal="left"/>
    </xf>
    <xf numFmtId="0" fontId="19" fillId="0" borderId="27" applyAlignment="1" pivotButton="0" quotePrefix="0" xfId="0">
      <alignment horizontal="left" vertical="center"/>
    </xf>
    <xf numFmtId="0" fontId="17" fillId="0" borderId="15" applyAlignment="1" pivotButton="0" quotePrefix="0" xfId="0">
      <alignment horizontal="left" vertical="center"/>
    </xf>
    <xf numFmtId="0" fontId="17" fillId="0" borderId="16" applyAlignment="1" pivotButton="0" quotePrefix="0" xfId="0">
      <alignment horizontal="left" vertical="center"/>
    </xf>
    <xf numFmtId="0" fontId="17" fillId="0" borderId="4" applyAlignment="1" pivotButton="0" quotePrefix="0" xfId="0">
      <alignment horizontal="left" vertical="center"/>
    </xf>
    <xf numFmtId="0" fontId="17" fillId="0" borderId="0" applyAlignment="1" pivotButton="0" quotePrefix="0" xfId="0">
      <alignment horizontal="left" vertical="center"/>
    </xf>
    <xf numFmtId="0" fontId="17" fillId="0" borderId="5" applyAlignment="1" pivotButton="0" quotePrefix="0" xfId="0">
      <alignment horizontal="left" vertical="center"/>
    </xf>
    <xf numFmtId="0" fontId="17" fillId="0" borderId="21" applyAlignment="1" pivotButton="0" quotePrefix="0" xfId="0">
      <alignment horizontal="left" vertical="center"/>
    </xf>
    <xf numFmtId="0" fontId="17" fillId="0" borderId="22" applyAlignment="1" pivotButton="0" quotePrefix="0" xfId="0">
      <alignment horizontal="left" vertical="center"/>
    </xf>
    <xf numFmtId="0" fontId="17" fillId="0" borderId="23" applyAlignment="1" pivotButton="0" quotePrefix="0" xfId="0">
      <alignment horizontal="left" vertical="center"/>
    </xf>
    <xf numFmtId="0" fontId="16" fillId="0" borderId="45" applyAlignment="1" pivotButton="0" quotePrefix="0" xfId="0">
      <alignment horizontal="center" vertical="center"/>
    </xf>
    <xf numFmtId="0" fontId="16" fillId="0" borderId="78" applyAlignment="1" pivotButton="0" quotePrefix="0" xfId="0">
      <alignment horizontal="center" vertical="center"/>
    </xf>
    <xf numFmtId="0" fontId="16" fillId="0" borderId="19" applyAlignment="1" pivotButton="0" quotePrefix="0" xfId="0">
      <alignment horizontal="center" vertical="center"/>
    </xf>
    <xf numFmtId="0" fontId="16" fillId="0" borderId="79" applyAlignment="1" pivotButton="0" quotePrefix="0" xfId="0">
      <alignment horizontal="center" vertical="center"/>
    </xf>
    <xf numFmtId="0" fontId="16" fillId="0" borderId="66" applyAlignment="1" pivotButton="0" quotePrefix="0" xfId="0">
      <alignment horizontal="center" vertical="center"/>
    </xf>
    <xf numFmtId="0" fontId="16" fillId="0" borderId="13" applyAlignment="1" pivotButton="0" quotePrefix="0" xfId="0">
      <alignment horizontal="center" vertical="center"/>
    </xf>
    <xf numFmtId="0" fontId="0" fillId="0" borderId="42" pivotButton="0" quotePrefix="0" xfId="0"/>
    <xf numFmtId="0" fontId="0" fillId="0" borderId="48" pivotButton="0" quotePrefix="0" xfId="0"/>
    <xf numFmtId="0" fontId="0" fillId="0" borderId="65" pivotButton="0" quotePrefix="0" xfId="0"/>
    <xf numFmtId="0" fontId="0" fillId="0" borderId="66" pivotButton="0" quotePrefix="0" xfId="0"/>
    <xf numFmtId="0" fontId="0" fillId="0" borderId="69" pivotButton="0" quotePrefix="0" xfId="0"/>
    <xf numFmtId="0" fontId="0" fillId="0" borderId="71" pivotButton="0" quotePrefix="0" xfId="0"/>
    <xf numFmtId="0" fontId="0" fillId="0" borderId="72" pivotButton="0" quotePrefix="0" xfId="0"/>
    <xf numFmtId="0" fontId="0" fillId="0" borderId="56" pivotButton="0" quotePrefix="0" xfId="0"/>
    <xf numFmtId="0" fontId="21" fillId="0" borderId="18" applyAlignment="1" pivotButton="0" quotePrefix="0" xfId="0">
      <alignment horizontal="left" vertical="center" wrapText="1"/>
    </xf>
    <xf numFmtId="0" fontId="19" fillId="0" borderId="12" applyAlignment="1" pivotButton="0" quotePrefix="0" xfId="0">
      <alignment horizontal="left" vertical="center"/>
    </xf>
    <xf numFmtId="0" fontId="16" fillId="0" borderId="47" applyAlignment="1" pivotButton="0" quotePrefix="0" xfId="0">
      <alignment horizontal="center" vertical="center"/>
    </xf>
    <xf numFmtId="0" fontId="0" fillId="0" borderId="78" pivotButton="0" quotePrefix="0" xfId="0"/>
    <xf numFmtId="0" fontId="16" fillId="0" borderId="49" applyAlignment="1" pivotButton="0" quotePrefix="0" xfId="0">
      <alignment horizontal="center" vertical="center"/>
    </xf>
    <xf numFmtId="0" fontId="16" fillId="0" borderId="38" applyAlignment="1" pivotButton="0" quotePrefix="0" xfId="0">
      <alignment horizontal="center" vertical="center"/>
    </xf>
    <xf numFmtId="0" fontId="0" fillId="0" borderId="79" pivotButton="0" quotePrefix="0" xfId="0"/>
    <xf numFmtId="0" fontId="16" fillId="0" borderId="18"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J204"/>
  <sheetViews>
    <sheetView view="pageBreakPreview" topLeftCell="A32" zoomScale="70" zoomScaleNormal="55" zoomScaleSheetLayoutView="70" workbookViewId="0">
      <selection activeCell="A67" sqref="A67:A70"/>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45931</v>
      </c>
    </row>
    <row r="7" ht="23.25" customHeight="1">
      <c r="A7" s="2" t="inlineStr">
        <is>
          <t>Project Location:</t>
        </is>
      </c>
      <c r="B7" s="220" t="inlineStr">
        <is>
          <t>Geraldton</t>
        </is>
      </c>
      <c r="E7" s="220" t="n"/>
      <c r="F7" s="4" t="n"/>
      <c r="G7" s="4" t="n"/>
      <c r="H7" s="7" t="inlineStr">
        <is>
          <t>Day:</t>
        </is>
      </c>
      <c r="I7" s="8" t="inlineStr">
        <is>
          <t>Wednesday</t>
        </is>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120</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25 degrees  Wind:  44km/h S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c r="G15" s="20" t="inlineStr">
        <is>
          <t>McAuffile,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c r="G16" s="20" t="inlineStr">
        <is>
          <t>Mosley,Joshua</t>
        </is>
      </c>
      <c r="H16" s="18" t="inlineStr">
        <is>
          <t>Surveyor</t>
        </is>
      </c>
      <c r="I16" s="21" t="n">
        <v>6</v>
      </c>
    </row>
    <row r="17" ht="23.25" customHeight="1">
      <c r="A17" s="17" t="inlineStr">
        <is>
          <t>O"SHEA, John</t>
        </is>
      </c>
      <c r="B17" s="18" t="inlineStr">
        <is>
          <t>Senior Project Engineer</t>
        </is>
      </c>
      <c r="C17" s="22" t="n">
        <v>12</v>
      </c>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Geraldton Natural Limestone</t>
        </is>
      </c>
      <c r="H19" s="18" t="inlineStr">
        <is>
          <t>Labourers</t>
        </is>
      </c>
      <c r="I19" s="21" t="n">
        <v>20</v>
      </c>
    </row>
    <row r="20" ht="23.25" customHeight="1">
      <c r="A20" s="17" t="inlineStr">
        <is>
          <t>SKINNER,Jamie</t>
        </is>
      </c>
      <c r="B20" s="18" t="inlineStr">
        <is>
          <t>Supervisor</t>
        </is>
      </c>
      <c r="C20" s="22" t="n"/>
      <c r="D20" s="23" t="n"/>
      <c r="E20" s="23" t="n"/>
      <c r="F20" s="18" t="n"/>
      <c r="G20" s="20" t="inlineStr">
        <is>
          <t>Superstruct</t>
        </is>
      </c>
      <c r="H20" s="18" t="inlineStr">
        <is>
          <t>Concreters</t>
        </is>
      </c>
      <c r="I20" s="21" t="n">
        <v>40</v>
      </c>
    </row>
    <row r="21" ht="23.25" customHeight="1">
      <c r="A21" s="24" t="inlineStr">
        <is>
          <t>TONER, Ultan</t>
        </is>
      </c>
      <c r="B21" s="18" t="inlineStr">
        <is>
          <t>Supervisor</t>
        </is>
      </c>
      <c r="C21" s="22" t="n">
        <v>12</v>
      </c>
      <c r="D21" s="23" t="n"/>
      <c r="E21" s="23" t="n"/>
      <c r="F21" s="18" t="n"/>
      <c r="G21" s="20" t="inlineStr">
        <is>
          <t>Ivac</t>
        </is>
      </c>
      <c r="H21" s="18" t="inlineStr">
        <is>
          <t>Vac Truck</t>
        </is>
      </c>
      <c r="I21" s="21" t="n">
        <v>20</v>
      </c>
    </row>
    <row r="22" ht="23.25" customHeight="1">
      <c r="A22" s="17" t="n"/>
      <c r="B22" s="18" t="n"/>
      <c r="C22" s="22" t="n"/>
      <c r="D22" s="23" t="n"/>
      <c r="E22" s="23" t="n"/>
      <c r="F22" s="18" t="n"/>
      <c r="G22" s="20" t="n"/>
      <c r="H22" s="18" t="n"/>
      <c r="I22" s="21" t="n"/>
    </row>
    <row r="23" ht="23.25" customHeight="1">
      <c r="A23" s="232" t="inlineStr">
        <is>
          <t xml:space="preserve">Total Indirect Personnel onsite: </t>
        </is>
      </c>
      <c r="B23" s="26">
        <f>COUNT(C15:C23)</f>
        <v/>
      </c>
      <c r="C23" s="23" t="n"/>
      <c r="D23" s="23" t="n"/>
      <c r="E23" s="23" t="n"/>
      <c r="F23" s="18" t="n"/>
      <c r="G23" s="27" t="n"/>
      <c r="H23" s="28" t="n"/>
      <c r="I23" s="21" t="n"/>
    </row>
    <row r="24" ht="23.25" customHeight="1">
      <c r="A24" s="232" t="inlineStr">
        <is>
          <t xml:space="preserve">Total Indirect Personnel hours: </t>
        </is>
      </c>
      <c r="B24" s="26">
        <f>SUM(C15:C22)</f>
        <v/>
      </c>
      <c r="C24" s="22" t="n"/>
      <c r="D24" s="23" t="n"/>
      <c r="E24" s="23" t="n"/>
      <c r="F24" s="18" t="n"/>
      <c r="G24" s="29" t="inlineStr">
        <is>
          <t>Total Subcontractor on-site:</t>
        </is>
      </c>
      <c r="H24" s="30" t="n">
        <v>13</v>
      </c>
      <c r="I24" s="21" t="n"/>
    </row>
    <row r="25" ht="23.25" customHeight="1">
      <c r="A25" s="232" t="inlineStr">
        <is>
          <t xml:space="preserve">Total Direct Personnel onsite:  </t>
        </is>
      </c>
      <c r="B25" s="26">
        <f>COUNTIF(F15:F26,"&gt;0")</f>
        <v/>
      </c>
      <c r="C25" s="26" t="n"/>
      <c r="D25" s="23" t="n"/>
      <c r="E25" s="23" t="n"/>
      <c r="F25" s="31" t="n"/>
      <c r="G25" s="29" t="inlineStr">
        <is>
          <t>Total Subcontractor hours:</t>
        </is>
      </c>
      <c r="H25" s="30">
        <f>SUM(I11:I22)</f>
        <v/>
      </c>
      <c r="I25" s="231" t="n"/>
    </row>
    <row r="26" ht="23.25" customHeight="1">
      <c r="A26" s="232" t="inlineStr">
        <is>
          <t xml:space="preserve">Total Direct Personnel hours: </t>
        </is>
      </c>
      <c r="B26" s="26">
        <f>SUM(F15:F26)</f>
        <v/>
      </c>
      <c r="C26" s="26" t="n"/>
      <c r="D26" s="26" t="n"/>
      <c r="E26" s="26" t="n"/>
      <c r="F26" s="26" t="n"/>
      <c r="G26" s="26" t="n"/>
      <c r="H26" s="26" t="n"/>
      <c r="I26" s="231" t="n"/>
    </row>
    <row r="27" ht="25" customHeight="1">
      <c r="A27" s="33" t="inlineStr">
        <is>
          <t>PLANT &amp; EQUIPMENT</t>
        </is>
      </c>
      <c r="B27" s="34" t="n"/>
      <c r="C27" s="34" t="n"/>
      <c r="D27" s="34" t="n"/>
      <c r="E27" s="34" t="n"/>
      <c r="F27" s="34" t="n"/>
      <c r="G27" s="34" t="n"/>
      <c r="H27" s="34" t="n"/>
      <c r="I27" s="35" t="n"/>
    </row>
    <row r="28" ht="24" customHeight="1">
      <c r="A28" s="227" t="inlineStr">
        <is>
          <t>Plant</t>
        </is>
      </c>
      <c r="B28" s="228" t="inlineStr">
        <is>
          <t>ID</t>
        </is>
      </c>
      <c r="C28" s="228" t="inlineStr">
        <is>
          <t>Hours</t>
        </is>
      </c>
      <c r="D28" s="228" t="inlineStr">
        <is>
          <t xml:space="preserve"> Vehicles</t>
        </is>
      </c>
      <c r="E28" s="228" t="inlineStr">
        <is>
          <t>ID</t>
        </is>
      </c>
      <c r="F28" s="228" t="inlineStr">
        <is>
          <t>QTY</t>
        </is>
      </c>
      <c r="G28" s="36" t="inlineStr">
        <is>
          <t>Site Facilities</t>
        </is>
      </c>
      <c r="H28" s="36" t="inlineStr">
        <is>
          <t>ID</t>
        </is>
      </c>
      <c r="I28" s="37" t="inlineStr">
        <is>
          <t>Qty</t>
        </is>
      </c>
    </row>
    <row r="29" ht="23.25" customHeight="1">
      <c r="A29" s="17" t="inlineStr">
        <is>
          <t>Komatsu WA320</t>
        </is>
      </c>
      <c r="B29" s="18" t="inlineStr">
        <is>
          <t>FWL18</t>
        </is>
      </c>
      <c r="C29" s="18" t="n">
        <v>5</v>
      </c>
      <c r="D29" s="22" t="inlineStr">
        <is>
          <t>Hilux</t>
        </is>
      </c>
      <c r="E29" s="22" t="inlineStr">
        <is>
          <t>DLV90</t>
        </is>
      </c>
      <c r="F29" s="22" t="n">
        <v>1</v>
      </c>
      <c r="G29" s="22" t="inlineStr">
        <is>
          <t>Office 40ft</t>
        </is>
      </c>
      <c r="H29" s="22" t="n">
        <v>9255540</v>
      </c>
      <c r="I29" s="21" t="n">
        <v>1</v>
      </c>
    </row>
    <row r="30" ht="23.25" customHeight="1">
      <c r="A30" s="17" t="inlineStr">
        <is>
          <t>Wacker Neuson DPU</t>
        </is>
      </c>
      <c r="B30" s="18" t="inlineStr">
        <is>
          <t>DPC15</t>
        </is>
      </c>
      <c r="C30" s="18" t="n"/>
      <c r="D30" s="22" t="inlineStr">
        <is>
          <t>Hilux</t>
        </is>
      </c>
      <c r="E30" s="22" t="inlineStr">
        <is>
          <t>1DLV04</t>
        </is>
      </c>
      <c r="F30" s="22" t="n">
        <v>1</v>
      </c>
      <c r="G30" s="22" t="inlineStr">
        <is>
          <t>Sea Container 20ft</t>
        </is>
      </c>
      <c r="H30" s="18" t="n">
        <v>951200</v>
      </c>
      <c r="I30" s="21" t="n">
        <v>1</v>
      </c>
    </row>
    <row r="31" ht="23.25" customHeight="1">
      <c r="A31" s="38" t="inlineStr">
        <is>
          <t>Watercart</t>
        </is>
      </c>
      <c r="B31" s="22" t="inlineStr">
        <is>
          <t>WC04</t>
        </is>
      </c>
      <c r="C31" s="18" t="n">
        <v>5</v>
      </c>
      <c r="D31" s="22" t="n"/>
      <c r="E31" s="18" t="n"/>
      <c r="F31" s="22" t="n"/>
      <c r="G31" s="22" t="inlineStr">
        <is>
          <t>Site Sentry Tower</t>
        </is>
      </c>
      <c r="H31" s="22" t="n"/>
      <c r="I31" s="21" t="n">
        <v>2</v>
      </c>
    </row>
    <row r="32" ht="23.25" customHeight="1">
      <c r="A32" s="38" t="inlineStr">
        <is>
          <t>8T Excavator</t>
        </is>
      </c>
      <c r="B32" s="39" t="inlineStr">
        <is>
          <t>AMG 014</t>
        </is>
      </c>
      <c r="C32" s="18" t="n">
        <v>8</v>
      </c>
      <c r="D32" s="22" t="n"/>
      <c r="E32" s="22" t="n"/>
      <c r="F32" s="22" t="n"/>
      <c r="G32" s="22" t="inlineStr">
        <is>
          <t>Skip Bin</t>
        </is>
      </c>
      <c r="H32" s="22" t="n"/>
      <c r="I32" s="21" t="n">
        <v>1</v>
      </c>
    </row>
    <row r="33" ht="23.25" customHeight="1">
      <c r="A33" s="22" t="inlineStr">
        <is>
          <t>Mini Tipper</t>
        </is>
      </c>
      <c r="B33" s="22" t="inlineStr">
        <is>
          <t>SLS05</t>
        </is>
      </c>
      <c r="C33" s="22" t="n">
        <v>1</v>
      </c>
      <c r="D33" s="22" t="n"/>
      <c r="E33" s="22" t="n"/>
      <c r="F33" s="22" t="n"/>
      <c r="G33" s="22" t="inlineStr">
        <is>
          <t>Hydrocarbon Bund</t>
        </is>
      </c>
      <c r="H33" s="22" t="n"/>
      <c r="I33" s="21" t="n">
        <v>1</v>
      </c>
    </row>
    <row r="34" ht="23.25" customHeight="1">
      <c r="A34" s="40" t="inlineStr">
        <is>
          <t>1 t Excavator</t>
        </is>
      </c>
      <c r="B34" s="22" t="inlineStr">
        <is>
          <t>SLS03</t>
        </is>
      </c>
      <c r="C34" s="22" t="n">
        <v>2</v>
      </c>
      <c r="D34" s="22" t="n"/>
      <c r="E34" s="22" t="n"/>
      <c r="F34" s="22" t="n"/>
      <c r="G34" s="22" t="inlineStr">
        <is>
          <t>Temp Fence</t>
        </is>
      </c>
      <c r="H34" s="18" t="n"/>
      <c r="I34" s="21" t="n">
        <v>1</v>
      </c>
    </row>
    <row r="35" ht="23.25" customHeight="1">
      <c r="A35" s="40" t="inlineStr">
        <is>
          <t>8T Excavator (Wheeled)</t>
        </is>
      </c>
      <c r="B35" s="22" t="inlineStr">
        <is>
          <t>BCC12</t>
        </is>
      </c>
      <c r="C35" s="22" t="n"/>
      <c r="D35" s="22" t="n"/>
      <c r="E35" s="22" t="n"/>
      <c r="F35" s="22" t="n"/>
      <c r="G35" s="22" t="n"/>
      <c r="H35" s="18" t="n"/>
      <c r="I35" s="21" t="n"/>
    </row>
    <row r="36" ht="24" customHeight="1">
      <c r="A36" s="40" t="inlineStr">
        <is>
          <t>14t Excavator with GPS</t>
        </is>
      </c>
      <c r="B36" s="22" t="inlineStr">
        <is>
          <t>EX153</t>
        </is>
      </c>
      <c r="C36" s="22" t="n">
        <v>9</v>
      </c>
      <c r="D36" s="22" t="n"/>
      <c r="E36" s="22" t="n"/>
      <c r="F36" s="22" t="n"/>
      <c r="G36" s="41" t="n"/>
      <c r="H36" s="41" t="n"/>
      <c r="I36" s="42" t="n"/>
    </row>
    <row r="37" ht="24" customHeight="1">
      <c r="A37" s="40" t="inlineStr">
        <is>
          <t>Roller (1.5t)</t>
        </is>
      </c>
      <c r="B37" s="22" t="inlineStr">
        <is>
          <t>R538</t>
        </is>
      </c>
      <c r="C37" s="22" t="n"/>
      <c r="D37" s="22" t="n"/>
      <c r="E37" s="22" t="n"/>
      <c r="F37" s="22" t="n"/>
      <c r="G37" s="41" t="n"/>
      <c r="H37" s="41" t="n"/>
      <c r="I37" s="42" t="n"/>
    </row>
    <row r="38" ht="24" customHeight="1">
      <c r="A38" s="40" t="inlineStr">
        <is>
          <t>5t Excavator</t>
        </is>
      </c>
      <c r="B38" s="22" t="inlineStr">
        <is>
          <t>A118</t>
        </is>
      </c>
      <c r="C38" s="22" t="n"/>
      <c r="D38" s="22" t="n"/>
      <c r="E38" s="22" t="n"/>
      <c r="F38" s="22" t="n"/>
      <c r="G38" s="41" t="n"/>
      <c r="H38" s="41" t="n"/>
      <c r="I38" s="42" t="n"/>
    </row>
    <row r="39" ht="24" customHeight="1">
      <c r="A39" s="38" t="inlineStr">
        <is>
          <t>Padfoot/ Smooth Drum Roller</t>
        </is>
      </c>
      <c r="B39" s="22" t="inlineStr">
        <is>
          <t>RR 03</t>
        </is>
      </c>
      <c r="C39" s="18" t="n">
        <v>7</v>
      </c>
      <c r="D39" s="22" t="n"/>
      <c r="E39" s="22" t="n"/>
      <c r="F39" s="22" t="n"/>
      <c r="G39" s="41" t="n"/>
      <c r="H39" s="41" t="n"/>
      <c r="I39" s="42" t="n"/>
    </row>
    <row r="40" ht="24" customHeight="1">
      <c r="A40" s="38" t="inlineStr">
        <is>
          <t>Multi Roller</t>
        </is>
      </c>
      <c r="B40" s="22" t="n">
        <v>256</v>
      </c>
      <c r="C40" s="18" t="n">
        <v>4</v>
      </c>
      <c r="D40" s="22" t="n"/>
      <c r="E40" s="22" t="n"/>
      <c r="F40" s="22" t="n"/>
      <c r="G40" s="41" t="n"/>
      <c r="H40" s="41" t="n"/>
      <c r="I40" s="42" t="n"/>
    </row>
    <row r="41" ht="24" customHeight="1">
      <c r="A41" s="38" t="inlineStr">
        <is>
          <t>Positrak SSL</t>
        </is>
      </c>
      <c r="B41" s="22" t="inlineStr">
        <is>
          <t>SSL08</t>
        </is>
      </c>
      <c r="C41" s="18" t="n">
        <v>8</v>
      </c>
      <c r="D41" s="22" t="n"/>
      <c r="E41" s="22" t="n"/>
      <c r="F41" s="22" t="n"/>
      <c r="G41" s="41" t="n"/>
      <c r="H41" s="41" t="n"/>
      <c r="I41" s="42" t="n"/>
    </row>
    <row r="42" ht="24" customHeight="1">
      <c r="A42" s="38" t="inlineStr">
        <is>
          <t>Grader</t>
        </is>
      </c>
      <c r="B42" s="22" t="inlineStr">
        <is>
          <t>SLS01</t>
        </is>
      </c>
      <c r="C42" s="18" t="n">
        <v>10.5</v>
      </c>
      <c r="D42" s="22" t="n"/>
      <c r="E42" s="22" t="n"/>
      <c r="F42" s="22" t="n"/>
      <c r="G42" s="41" t="n"/>
      <c r="H42" s="41" t="n"/>
      <c r="I42" s="42" t="n"/>
    </row>
    <row r="43" ht="24" customHeight="1">
      <c r="A43" s="38" t="n"/>
      <c r="B43" s="22" t="n"/>
      <c r="C43" s="18" t="n"/>
      <c r="D43" s="41" t="n"/>
      <c r="E43" s="41" t="n"/>
      <c r="F43" s="41" t="n"/>
      <c r="G43" s="41" t="n"/>
      <c r="H43" s="41" t="n"/>
      <c r="I43" s="42" t="n"/>
    </row>
    <row r="44" ht="18" customHeight="1">
      <c r="A44" s="43" t="n">
        <v>0</v>
      </c>
      <c r="B44" s="229" t="inlineStr">
        <is>
          <t xml:space="preserve">Repairs Required </t>
        </is>
      </c>
      <c r="C44" s="219" t="n"/>
      <c r="D44" s="230" t="inlineStr">
        <is>
          <t>N/A</t>
        </is>
      </c>
      <c r="E44" s="218" t="n"/>
      <c r="F44" s="218" t="n"/>
      <c r="G44" s="218" t="n"/>
      <c r="H44" s="218" t="n"/>
      <c r="I44" s="222" t="n"/>
    </row>
    <row r="45" ht="18" customHeight="1">
      <c r="A45" s="44" t="n">
        <v>0</v>
      </c>
      <c r="B45" s="229" t="inlineStr">
        <is>
          <t>Scheduled Service</t>
        </is>
      </c>
      <c r="C45" s="219" t="n"/>
      <c r="D45" s="230" t="inlineStr">
        <is>
          <t>N/A</t>
        </is>
      </c>
      <c r="E45" s="218" t="n"/>
      <c r="F45" s="218" t="n"/>
      <c r="G45" s="218" t="n"/>
      <c r="H45" s="218" t="n"/>
      <c r="I45" s="222" t="n"/>
    </row>
    <row r="46" ht="18" customHeight="1">
      <c r="A46" s="45" t="n">
        <v>0</v>
      </c>
      <c r="B46" s="229" t="n"/>
      <c r="C46" s="219" t="n"/>
      <c r="D46" s="230" t="inlineStr">
        <is>
          <t>N/A</t>
        </is>
      </c>
      <c r="E46" s="218" t="n"/>
      <c r="F46" s="218" t="n"/>
      <c r="G46" s="218" t="n"/>
      <c r="H46" s="218" t="n"/>
      <c r="I46" s="222" t="n"/>
    </row>
    <row r="47" ht="23.25" customHeight="1">
      <c r="A47" s="232" t="inlineStr">
        <is>
          <t xml:space="preserve">Total Plant and Equipment Hours: </t>
        </is>
      </c>
      <c r="B47" s="219" t="n"/>
      <c r="C47" s="46">
        <f>SUM(C29:C43)</f>
        <v/>
      </c>
      <c r="D47" s="233" t="n"/>
      <c r="E47" s="218" t="n"/>
      <c r="F47" s="218" t="n"/>
      <c r="G47" s="218" t="n"/>
      <c r="H47" s="218" t="n"/>
      <c r="I47" s="222" t="n"/>
    </row>
    <row r="48" ht="25" customHeight="1">
      <c r="A48" s="221" t="inlineStr">
        <is>
          <t>DELAYS-OPPORTUNITY</t>
        </is>
      </c>
      <c r="B48" s="218" t="n"/>
      <c r="C48" s="218" t="n"/>
      <c r="D48" s="218" t="n"/>
      <c r="E48" s="218" t="n"/>
      <c r="F48" s="218" t="n"/>
      <c r="G48" s="218" t="n"/>
      <c r="H48" s="218" t="n"/>
      <c r="I48" s="222" t="n"/>
    </row>
    <row r="49" ht="15" customHeight="1" thickBot="1">
      <c r="A49" s="234" t="inlineStr">
        <is>
          <t>New Detail Provided on Centrelink Carpark                                                               
Awaiting Confirmation on Batters Treatment 
Awaiting finalised fencing details
Awaiting COGG confirmation on "Ballast Pile"
Instructions Provided for Laneway Sewer, Drainage</t>
        </is>
      </c>
      <c r="B49" s="225" t="n"/>
      <c r="C49" s="225" t="n"/>
      <c r="D49" s="225" t="n"/>
      <c r="E49" s="225" t="n"/>
      <c r="F49" s="225" t="n"/>
      <c r="G49" s="225" t="n"/>
      <c r="H49" s="225" t="n"/>
      <c r="I49" s="226" t="n"/>
    </row>
    <row r="50">
      <c r="A50" s="212" t="n"/>
      <c r="I50" s="214" t="n"/>
    </row>
    <row r="51" ht="49.5" customHeight="1">
      <c r="A51" s="212" t="n"/>
      <c r="I51" s="214" t="n"/>
    </row>
    <row r="52" ht="43" customHeight="1" thickBot="1">
      <c r="A52" s="235" t="n"/>
      <c r="B52" s="236" t="n"/>
      <c r="C52" s="236" t="n"/>
      <c r="D52" s="236" t="n"/>
      <c r="E52" s="236" t="n"/>
      <c r="F52" s="236" t="n"/>
      <c r="G52" s="236" t="n"/>
      <c r="H52" s="236" t="n"/>
      <c r="I52" s="237" t="n"/>
    </row>
    <row r="53" ht="25" customHeight="1">
      <c r="A53" s="238" t="inlineStr">
        <is>
          <t>HSEQ MESSAGES</t>
        </is>
      </c>
      <c r="B53" s="239" t="n"/>
      <c r="C53" s="239" t="n"/>
      <c r="D53" s="239" t="n"/>
      <c r="E53" s="239" t="n"/>
      <c r="F53" s="239" t="n"/>
      <c r="G53" s="239" t="n"/>
      <c r="H53" s="239" t="n"/>
      <c r="I53" s="240" t="n"/>
    </row>
    <row r="54" ht="18" customHeight="1">
      <c r="A54" s="47" t="inlineStr">
        <is>
          <t>TCD - Monthly Safety Focus:</t>
        </is>
      </c>
      <c r="B54" s="241" t="inlineStr">
        <is>
          <t>Prestart Checks</t>
        </is>
      </c>
      <c r="C54" s="218" t="n"/>
      <c r="D54" s="218" t="n"/>
      <c r="E54" s="218" t="n"/>
      <c r="F54" s="218" t="n"/>
      <c r="G54" s="218" t="n"/>
      <c r="H54" s="218" t="n"/>
      <c r="I54" s="219" t="n"/>
    </row>
    <row r="55" ht="24" customHeight="1">
      <c r="A55" s="47" t="inlineStr">
        <is>
          <t>TCD - Daily Safety Focus:</t>
        </is>
      </c>
      <c r="B55" s="242" t="inlineStr">
        <is>
          <t>SIMOPS</t>
        </is>
      </c>
      <c r="C55" s="218" t="n"/>
      <c r="D55" s="218" t="n"/>
      <c r="E55" s="218" t="n"/>
      <c r="F55" s="218" t="n"/>
      <c r="G55" s="218" t="n"/>
      <c r="H55" s="218" t="n"/>
      <c r="I55" s="222" t="n"/>
    </row>
    <row r="56" ht="18" customHeight="1">
      <c r="A56" s="48" t="inlineStr">
        <is>
          <t xml:space="preserve">Hazards Reported: </t>
        </is>
      </c>
      <c r="B56" s="49" t="inlineStr">
        <is>
          <t>Nil</t>
        </is>
      </c>
      <c r="C56" s="242" t="n"/>
      <c r="D56" s="218" t="n"/>
      <c r="E56" s="218" t="n"/>
      <c r="F56" s="218" t="n"/>
      <c r="G56" s="218" t="n"/>
      <c r="H56" s="218" t="n"/>
      <c r="I56" s="222" t="n"/>
    </row>
    <row r="57" ht="18" customHeight="1">
      <c r="A57" s="48" t="inlineStr">
        <is>
          <t>Incident Free Days</t>
        </is>
      </c>
      <c r="B57" s="49" t="n">
        <v>2</v>
      </c>
      <c r="C57" s="241" t="n"/>
      <c r="D57" s="218" t="n"/>
      <c r="E57" s="218" t="n"/>
      <c r="F57" s="218" t="n"/>
      <c r="G57" s="218" t="n"/>
      <c r="H57" s="218" t="n"/>
      <c r="I57" s="219" t="n"/>
    </row>
    <row r="58" ht="18" customHeight="1">
      <c r="A58" s="50" t="inlineStr">
        <is>
          <t>Other Notes</t>
        </is>
      </c>
      <c r="B58" s="243" t="n"/>
      <c r="C58" s="225" t="n"/>
      <c r="D58" s="225" t="n"/>
      <c r="E58" s="225" t="n"/>
      <c r="F58" s="225" t="n"/>
      <c r="G58" s="225" t="n"/>
      <c r="H58" s="225" t="n"/>
      <c r="I58" s="226" t="n"/>
    </row>
    <row r="59" ht="20.25" customHeight="1">
      <c r="A59" s="221" t="inlineStr">
        <is>
          <t xml:space="preserve">INCIDENTS &amp; REPORTS </t>
        </is>
      </c>
      <c r="B59" s="218" t="n"/>
      <c r="C59" s="218" t="n"/>
      <c r="D59" s="218" t="n"/>
      <c r="E59" s="218" t="n"/>
      <c r="F59" s="218" t="n"/>
      <c r="G59" s="218" t="n"/>
      <c r="H59" s="218" t="n"/>
      <c r="I59" s="222" t="n"/>
    </row>
    <row r="60" ht="25" customHeight="1">
      <c r="A60" s="51" t="n"/>
      <c r="B60" s="228" t="inlineStr">
        <is>
          <t>QTY</t>
        </is>
      </c>
      <c r="C60" s="231" t="inlineStr">
        <is>
          <t>Comments</t>
        </is>
      </c>
      <c r="D60" s="218" t="n"/>
      <c r="E60" s="218" t="n"/>
      <c r="F60" s="218" t="n"/>
      <c r="G60" s="218" t="n"/>
      <c r="H60" s="218" t="n"/>
      <c r="I60" s="222" t="n"/>
    </row>
    <row r="61" ht="25" customHeight="1">
      <c r="A61" s="52" t="inlineStr">
        <is>
          <t>INCIDENT</t>
        </is>
      </c>
      <c r="B61" s="228" t="n">
        <v>0</v>
      </c>
      <c r="C61" s="246" t="inlineStr">
        <is>
          <t>NA</t>
        </is>
      </c>
      <c r="D61" s="225" t="n"/>
      <c r="E61" s="225" t="n"/>
      <c r="F61" s="225" t="n"/>
      <c r="G61" s="225" t="n"/>
      <c r="H61" s="225" t="n"/>
      <c r="I61" s="226" t="n"/>
    </row>
    <row r="62" ht="25" customHeight="1">
      <c r="A62" s="53" t="inlineStr">
        <is>
          <t>IR</t>
        </is>
      </c>
      <c r="B62" s="54" t="n">
        <v>0</v>
      </c>
      <c r="C62" s="246" t="inlineStr">
        <is>
          <t>NA</t>
        </is>
      </c>
      <c r="D62" s="225" t="n"/>
      <c r="E62" s="225" t="n"/>
      <c r="F62" s="225" t="n"/>
      <c r="G62" s="225" t="n"/>
      <c r="H62" s="225" t="n"/>
      <c r="I62" s="226" t="n"/>
    </row>
    <row r="63" ht="25" customHeight="1" thickBot="1">
      <c r="A63" s="55" t="inlineStr">
        <is>
          <t>NCR</t>
        </is>
      </c>
      <c r="B63" s="56" t="n">
        <v>0</v>
      </c>
      <c r="C63" s="247" t="inlineStr">
        <is>
          <t>NA</t>
        </is>
      </c>
      <c r="D63" s="248" t="n"/>
      <c r="E63" s="248" t="n"/>
      <c r="F63" s="248" t="n"/>
      <c r="G63" s="248" t="n"/>
      <c r="H63" s="248" t="n"/>
      <c r="I63" s="249" t="n"/>
    </row>
    <row r="64" ht="20.25" customHeight="1">
      <c r="A64" s="238" t="inlineStr">
        <is>
          <t>COMMUNICATIONS</t>
        </is>
      </c>
      <c r="B64" s="239" t="n"/>
      <c r="C64" s="239" t="n"/>
      <c r="D64" s="239" t="n"/>
      <c r="E64" s="239" t="n"/>
      <c r="F64" s="239" t="n"/>
      <c r="G64" s="239" t="n"/>
      <c r="H64" s="239" t="n"/>
      <c r="I64" s="240" t="n"/>
    </row>
    <row r="65" ht="25" customHeight="1">
      <c r="A65" s="250" t="inlineStr">
        <is>
          <t>TGS MB1119-05 Scheme D implemented</t>
        </is>
      </c>
      <c r="B65" s="218" t="n"/>
      <c r="C65" s="218" t="n"/>
      <c r="D65" s="218" t="n"/>
      <c r="E65" s="218" t="n"/>
      <c r="F65" s="218" t="n"/>
      <c r="G65" s="218" t="n"/>
      <c r="H65" s="218" t="n"/>
      <c r="I65" s="222" t="n"/>
    </row>
    <row r="66" ht="25" customHeight="1">
      <c r="A66" s="221" t="inlineStr">
        <is>
          <t>PRODUCTION (CONSTRUCTION STATUS &amp; PROGRESS)</t>
        </is>
      </c>
      <c r="B66" s="218" t="n"/>
      <c r="C66" s="218" t="n"/>
      <c r="D66" s="218" t="n"/>
      <c r="E66" s="218" t="n"/>
      <c r="F66" s="218" t="n"/>
      <c r="G66" s="218" t="n"/>
      <c r="H66" s="218" t="n"/>
      <c r="I66" s="222" t="n"/>
    </row>
    <row r="67" ht="25" customHeight="1">
      <c r="A67" s="57" t="inlineStr">
        <is>
          <t>Final Trim Basecourse NDM Testing and Drybacks</t>
        </is>
      </c>
      <c r="B67" s="58" t="n"/>
      <c r="C67" s="59" t="n"/>
      <c r="D67" s="59" t="n"/>
      <c r="E67" s="58" t="n"/>
      <c r="F67" s="58" t="n"/>
      <c r="G67" s="59" t="n"/>
      <c r="H67" s="58" t="n"/>
      <c r="I67" s="60" t="n"/>
    </row>
    <row r="68" ht="25" customHeight="1">
      <c r="A68" s="57" t="inlineStr">
        <is>
          <t>Placed Water Pipework</t>
        </is>
      </c>
      <c r="B68" s="58" t="n"/>
      <c r="C68" s="59" t="n"/>
      <c r="D68" s="59" t="n"/>
      <c r="E68" s="58" t="n"/>
      <c r="F68" s="58" t="n"/>
      <c r="G68" s="59" t="n"/>
      <c r="H68" s="58" t="n"/>
      <c r="I68" s="60" t="n"/>
    </row>
    <row r="69" ht="25" customHeight="1">
      <c r="A69" s="57" t="inlineStr">
        <is>
          <t>Ongoing Vacuum Excavating Corner of Chambers and Monument</t>
        </is>
      </c>
      <c r="B69" s="58" t="n"/>
      <c r="C69" s="59" t="n"/>
      <c r="D69" s="59" t="n"/>
      <c r="E69" s="58" t="n"/>
      <c r="F69" s="58" t="n"/>
      <c r="G69" s="59" t="n"/>
      <c r="H69" s="58" t="n"/>
      <c r="I69" s="60" t="n"/>
    </row>
    <row r="70" ht="30.75" customHeight="1">
      <c r="A70" s="57" t="inlineStr">
        <is>
          <t>Form and Pour Concrete Ramps</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A65:I65"/>
    <mergeCell ref="D13:F13"/>
    <mergeCell ref="G13:I13"/>
    <mergeCell ref="B54:I54"/>
    <mergeCell ref="A66:I66"/>
    <mergeCell ref="B8:D8"/>
    <mergeCell ref="B46:C46"/>
    <mergeCell ref="A12:I12"/>
    <mergeCell ref="C57:I57"/>
    <mergeCell ref="D47:I47"/>
    <mergeCell ref="B58:I58"/>
    <mergeCell ref="A71:I71"/>
    <mergeCell ref="A5:I5"/>
    <mergeCell ref="A143:D143"/>
    <mergeCell ref="E143:I143"/>
    <mergeCell ref="A49:I52"/>
    <mergeCell ref="B9:D9"/>
    <mergeCell ref="C62:I62"/>
    <mergeCell ref="A53:I53"/>
    <mergeCell ref="B6:D6"/>
    <mergeCell ref="B44:C44"/>
    <mergeCell ref="A13:C13"/>
    <mergeCell ref="A10:I10"/>
    <mergeCell ref="A1:I4"/>
    <mergeCell ref="A47:B47"/>
    <mergeCell ref="D44:I44"/>
    <mergeCell ref="B7:D7"/>
    <mergeCell ref="C63:I63"/>
    <mergeCell ref="A48:I48"/>
    <mergeCell ref="A64:I64"/>
    <mergeCell ref="A59:I59"/>
    <mergeCell ref="A11:I11"/>
    <mergeCell ref="B55:I55"/>
    <mergeCell ref="C56:I56"/>
    <mergeCell ref="D46:I46"/>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2.xml><?xml version="1.0" encoding="utf-8"?>
<worksheet xmlns="http://schemas.openxmlformats.org/spreadsheetml/2006/main">
  <sheetPr>
    <outlinePr summaryBelow="1" summaryRight="1"/>
    <pageSetUpPr fitToPage="1"/>
  </sheetPr>
  <dimension ref="A1:J210"/>
  <sheetViews>
    <sheetView view="pageBreakPreview" topLeftCell="A56" zoomScale="40" zoomScaleNormal="55" zoomScaleSheetLayoutView="40" workbookViewId="0">
      <selection activeCell="A70" sqref="A70:A76"/>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45932</v>
      </c>
    </row>
    <row r="7" ht="23.25" customHeight="1">
      <c r="A7" s="2" t="inlineStr">
        <is>
          <t>Project Location:</t>
        </is>
      </c>
      <c r="B7" s="220" t="inlineStr">
        <is>
          <t>Geraldton</t>
        </is>
      </c>
      <c r="E7" s="220" t="n"/>
      <c r="F7" s="4" t="n"/>
      <c r="G7" s="4" t="n"/>
      <c r="H7" s="7" t="inlineStr">
        <is>
          <t>Day:</t>
        </is>
      </c>
      <c r="I7" s="8" t="inlineStr">
        <is>
          <t>Thursday</t>
        </is>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121</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32 degrees  Wind:  30km/h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c r="G15" s="20" t="inlineStr">
        <is>
          <t>McAuliffe,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c r="G16" s="20" t="inlineStr">
        <is>
          <t>Mosley,Joshua</t>
        </is>
      </c>
      <c r="H16" s="18" t="inlineStr">
        <is>
          <t>Surveyor</t>
        </is>
      </c>
      <c r="I16" s="21" t="n">
        <v>6</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Geraldton Natural Limestone</t>
        </is>
      </c>
      <c r="H19" s="18" t="inlineStr">
        <is>
          <t>Labourers</t>
        </is>
      </c>
      <c r="I19" s="21" t="n">
        <v>20</v>
      </c>
    </row>
    <row r="20" ht="23.25" customHeight="1">
      <c r="A20" s="17" t="inlineStr">
        <is>
          <t>SKINNER,Jamie</t>
        </is>
      </c>
      <c r="B20" s="18" t="inlineStr">
        <is>
          <t>Supervisor</t>
        </is>
      </c>
      <c r="C20" s="22" t="n"/>
      <c r="D20" s="23" t="n"/>
      <c r="E20" s="23" t="n"/>
      <c r="F20" s="18" t="n"/>
      <c r="G20" s="20" t="inlineStr">
        <is>
          <t>Superstruct</t>
        </is>
      </c>
      <c r="H20" s="18" t="inlineStr">
        <is>
          <t>Concreters</t>
        </is>
      </c>
      <c r="I20" s="21" t="n">
        <v>33</v>
      </c>
    </row>
    <row r="21" ht="23.25" customHeight="1">
      <c r="A21" s="24" t="inlineStr">
        <is>
          <t>TONER, Ultan</t>
        </is>
      </c>
      <c r="B21" s="18" t="inlineStr">
        <is>
          <t>Supervisor</t>
        </is>
      </c>
      <c r="C21" s="22" t="n">
        <v>12</v>
      </c>
      <c r="D21" s="23" t="n"/>
      <c r="E21" s="23" t="n"/>
      <c r="F21" s="18" t="n"/>
      <c r="G21" s="20" t="inlineStr">
        <is>
          <t>Ivac</t>
        </is>
      </c>
      <c r="H21" s="18" t="inlineStr">
        <is>
          <t>Vac Truck</t>
        </is>
      </c>
      <c r="I21" s="21" t="n">
        <v>20</v>
      </c>
    </row>
    <row r="22" ht="23.25" customHeight="1">
      <c r="A22" s="17" t="n"/>
      <c r="B22" s="18" t="n"/>
      <c r="C22" s="22" t="n"/>
      <c r="D22" s="23" t="n"/>
      <c r="E22" s="23" t="n"/>
      <c r="F22" s="18" t="n"/>
      <c r="G22" s="20" t="inlineStr">
        <is>
          <t>Catwest Sealing Crew</t>
        </is>
      </c>
      <c r="H22" s="18" t="inlineStr">
        <is>
          <t>Sealing Crew</t>
        </is>
      </c>
      <c r="I22" s="21" t="n">
        <v>10</v>
      </c>
    </row>
    <row r="23" ht="23.25" customHeight="1">
      <c r="A23" s="17" t="n"/>
      <c r="B23" s="18" t="n"/>
      <c r="C23" s="22" t="n"/>
      <c r="D23" s="23" t="n"/>
      <c r="E23" s="23" t="n"/>
      <c r="F23" s="18" t="n"/>
      <c r="G23" s="20" t="inlineStr">
        <is>
          <t>Herrings Plumbing (Gas Installers)</t>
        </is>
      </c>
      <c r="H23" s="18" t="inlineStr">
        <is>
          <t>Gas Installer</t>
        </is>
      </c>
      <c r="I23" s="21" t="n">
        <v>20</v>
      </c>
    </row>
    <row r="24" ht="23.25" customHeight="1">
      <c r="A24" s="17" t="n"/>
      <c r="B24" s="18" t="n"/>
      <c r="C24" s="22" t="n"/>
      <c r="D24" s="23" t="n"/>
      <c r="E24" s="23" t="n"/>
      <c r="F24" s="18" t="n"/>
    </row>
    <row r="25" ht="23.25" customHeight="1">
      <c r="A25" s="17" t="n"/>
      <c r="B25" s="18" t="n"/>
      <c r="C25" s="22" t="n"/>
      <c r="D25" s="23" t="n"/>
      <c r="E25" s="23" t="n"/>
      <c r="F25" s="18" t="n"/>
      <c r="G25" s="20" t="n"/>
      <c r="H25" s="18" t="n"/>
      <c r="I25" s="21" t="n"/>
    </row>
    <row r="26" ht="23.25" customHeight="1">
      <c r="A26" s="17" t="n"/>
      <c r="B26" s="18" t="n"/>
      <c r="C26" s="22" t="n"/>
      <c r="D26" s="23" t="n"/>
      <c r="E26" s="23" t="n"/>
      <c r="F26" s="18" t="n"/>
      <c r="G26" s="20" t="n"/>
      <c r="H26" s="18" t="n"/>
      <c r="I26" s="21" t="n"/>
    </row>
    <row r="27" ht="23.25" customHeight="1">
      <c r="A27" s="232" t="inlineStr">
        <is>
          <t xml:space="preserve">Total Indirect Personnel onsite: </t>
        </is>
      </c>
      <c r="B27" s="26">
        <f>COUNT(C15:C27)</f>
        <v/>
      </c>
      <c r="C27" s="23" t="n"/>
      <c r="D27" s="23" t="n"/>
      <c r="E27" s="23" t="n"/>
      <c r="F27" s="18" t="n"/>
      <c r="G27" s="27" t="n"/>
      <c r="H27" s="28" t="n"/>
      <c r="I27" s="21" t="n"/>
    </row>
    <row r="28" ht="23.25" customHeight="1">
      <c r="A28" s="232" t="inlineStr">
        <is>
          <t xml:space="preserve">Total Indirect Personnel hours: </t>
        </is>
      </c>
      <c r="B28" s="26">
        <f>SUM(C15:C23)</f>
        <v/>
      </c>
      <c r="C28" s="22" t="n"/>
      <c r="D28" s="23" t="n"/>
      <c r="E28" s="23" t="n"/>
      <c r="F28" s="18" t="n"/>
      <c r="G28" s="29" t="inlineStr">
        <is>
          <t>Total Subcontractor on-site:</t>
        </is>
      </c>
      <c r="H28" s="30" t="n">
        <v>13</v>
      </c>
      <c r="I28" s="21" t="n"/>
    </row>
    <row r="29" ht="23.25" customHeight="1">
      <c r="A29" s="232" t="inlineStr">
        <is>
          <t xml:space="preserve">Total Direct Personnel onsite:  </t>
        </is>
      </c>
      <c r="B29" s="26">
        <f>COUNTIF(F15:F30,"&gt;0")</f>
        <v/>
      </c>
      <c r="C29" s="26" t="n"/>
      <c r="D29" s="23" t="n"/>
      <c r="E29" s="23" t="n"/>
      <c r="F29" s="31" t="n"/>
      <c r="G29" s="29" t="inlineStr">
        <is>
          <t>Total Subcontractor hours:</t>
        </is>
      </c>
      <c r="H29" s="30">
        <f>SUM(I11:I22)</f>
        <v/>
      </c>
      <c r="I29" s="231" t="n"/>
    </row>
    <row r="30" ht="23.25" customHeight="1">
      <c r="A30" s="232" t="inlineStr">
        <is>
          <t xml:space="preserve">Total Direct Personnel hours: </t>
        </is>
      </c>
      <c r="B30" s="26">
        <f>SUM(F15:F30)</f>
        <v/>
      </c>
      <c r="C30" s="26" t="n"/>
      <c r="D30" s="26" t="n"/>
      <c r="E30" s="26" t="n"/>
      <c r="F30" s="26" t="n"/>
      <c r="G30" s="26" t="n"/>
      <c r="H30" s="26" t="n"/>
      <c r="I30" s="231" t="n"/>
    </row>
    <row r="31" ht="25" customHeight="1">
      <c r="A31" s="33" t="inlineStr">
        <is>
          <t>PLANT &amp; EQUIPMENT</t>
        </is>
      </c>
      <c r="B31" s="34" t="n"/>
      <c r="C31" s="34" t="n"/>
      <c r="D31" s="34" t="n"/>
      <c r="E31" s="34" t="n"/>
      <c r="F31" s="34" t="n"/>
      <c r="G31" s="34" t="n"/>
      <c r="H31" s="34" t="n"/>
      <c r="I31" s="35" t="n"/>
    </row>
    <row r="32" ht="24" customHeight="1">
      <c r="A32" s="227" t="inlineStr">
        <is>
          <t>Plant</t>
        </is>
      </c>
      <c r="B32" s="228" t="inlineStr">
        <is>
          <t>ID</t>
        </is>
      </c>
      <c r="C32" s="228" t="inlineStr">
        <is>
          <t>Hours</t>
        </is>
      </c>
      <c r="D32" s="228" t="inlineStr">
        <is>
          <t xml:space="preserve"> Vehicles</t>
        </is>
      </c>
      <c r="E32" s="228" t="inlineStr">
        <is>
          <t>ID</t>
        </is>
      </c>
      <c r="F32" s="228" t="inlineStr">
        <is>
          <t>QTY</t>
        </is>
      </c>
      <c r="G32" s="36" t="inlineStr">
        <is>
          <t>Site Facilities</t>
        </is>
      </c>
      <c r="H32" s="36" t="inlineStr">
        <is>
          <t>ID</t>
        </is>
      </c>
      <c r="I32" s="37" t="inlineStr">
        <is>
          <t>Qty</t>
        </is>
      </c>
    </row>
    <row r="33" ht="23.25" customHeight="1">
      <c r="A33" s="17" t="inlineStr">
        <is>
          <t>Komatsu WA320</t>
        </is>
      </c>
      <c r="B33" s="18" t="inlineStr">
        <is>
          <t>FWL18</t>
        </is>
      </c>
      <c r="C33" s="18" t="n">
        <v>5</v>
      </c>
      <c r="D33" s="22" t="inlineStr">
        <is>
          <t>Hilux</t>
        </is>
      </c>
      <c r="E33" s="22" t="inlineStr">
        <is>
          <t>DLV90</t>
        </is>
      </c>
      <c r="F33" s="22" t="n">
        <v>1</v>
      </c>
      <c r="G33" s="22" t="inlineStr">
        <is>
          <t>Office 40ft</t>
        </is>
      </c>
      <c r="H33" s="22" t="n">
        <v>9255540</v>
      </c>
      <c r="I33" s="21" t="n">
        <v>1</v>
      </c>
    </row>
    <row r="34" ht="23.25" customHeight="1">
      <c r="A34" s="17" t="inlineStr">
        <is>
          <t>Wacker Neuson DPU</t>
        </is>
      </c>
      <c r="B34" s="18" t="inlineStr">
        <is>
          <t>DPC15</t>
        </is>
      </c>
      <c r="C34" s="18" t="n"/>
      <c r="D34" s="22" t="inlineStr">
        <is>
          <t>Hilux</t>
        </is>
      </c>
      <c r="E34" s="22" t="inlineStr">
        <is>
          <t>1DLV04</t>
        </is>
      </c>
      <c r="F34" s="22" t="n">
        <v>1</v>
      </c>
      <c r="G34" s="22" t="inlineStr">
        <is>
          <t>Sea Container 20ft</t>
        </is>
      </c>
      <c r="H34" s="18" t="n">
        <v>951200</v>
      </c>
      <c r="I34" s="21" t="n">
        <v>1</v>
      </c>
    </row>
    <row r="35" ht="23.25" customHeight="1">
      <c r="A35" s="38" t="inlineStr">
        <is>
          <t>Watercart</t>
        </is>
      </c>
      <c r="B35" s="22" t="inlineStr">
        <is>
          <t>WC04</t>
        </is>
      </c>
      <c r="C35" s="18" t="n">
        <v>3</v>
      </c>
      <c r="D35" s="22" t="n"/>
      <c r="E35" s="18" t="n"/>
      <c r="F35" s="22" t="n"/>
      <c r="G35" s="22" t="inlineStr">
        <is>
          <t>Site Sentry Tower</t>
        </is>
      </c>
      <c r="H35" s="22" t="n"/>
      <c r="I35" s="21" t="n">
        <v>2</v>
      </c>
    </row>
    <row r="36" ht="23.25" customHeight="1">
      <c r="A36" s="38" t="inlineStr">
        <is>
          <t>8T Excavator</t>
        </is>
      </c>
      <c r="B36" s="39" t="inlineStr">
        <is>
          <t>AMG 014</t>
        </is>
      </c>
      <c r="C36" s="18" t="n">
        <v>5</v>
      </c>
      <c r="D36" s="22" t="n"/>
      <c r="E36" s="22" t="n"/>
      <c r="F36" s="22" t="n"/>
      <c r="G36" s="22" t="inlineStr">
        <is>
          <t>Skip Bin</t>
        </is>
      </c>
      <c r="H36" s="22" t="n"/>
      <c r="I36" s="21" t="n">
        <v>1</v>
      </c>
    </row>
    <row r="37" ht="23.25" customHeight="1">
      <c r="A37" s="22" t="inlineStr">
        <is>
          <t>Mini Tipper</t>
        </is>
      </c>
      <c r="B37" s="22" t="inlineStr">
        <is>
          <t>SLS05</t>
        </is>
      </c>
      <c r="C37" s="22" t="n">
        <v>1</v>
      </c>
      <c r="D37" s="22" t="n"/>
      <c r="E37" s="22" t="n"/>
      <c r="F37" s="22" t="n"/>
      <c r="G37" s="22" t="inlineStr">
        <is>
          <t>Hydrocarbon Bund</t>
        </is>
      </c>
      <c r="H37" s="22" t="n"/>
      <c r="I37" s="21" t="n">
        <v>1</v>
      </c>
    </row>
    <row r="38" ht="23.25" customHeight="1">
      <c r="A38" s="40" t="inlineStr">
        <is>
          <t>1 t Excavator</t>
        </is>
      </c>
      <c r="B38" s="22" t="inlineStr">
        <is>
          <t>SLS03</t>
        </is>
      </c>
      <c r="C38" s="22" t="n">
        <v>2</v>
      </c>
      <c r="D38" s="22" t="n"/>
      <c r="E38" s="22" t="n"/>
      <c r="F38" s="22" t="n"/>
      <c r="G38" s="22" t="inlineStr">
        <is>
          <t>Temp Fence</t>
        </is>
      </c>
      <c r="H38" s="18" t="n"/>
      <c r="I38" s="21" t="n">
        <v>1</v>
      </c>
    </row>
    <row r="39" ht="23.25" customHeight="1">
      <c r="A39" s="40" t="inlineStr">
        <is>
          <t>8T Excavator (Wheeled)</t>
        </is>
      </c>
      <c r="B39" s="22" t="inlineStr">
        <is>
          <t>BCC12</t>
        </is>
      </c>
      <c r="C39" s="22" t="n"/>
      <c r="D39" s="22" t="n"/>
      <c r="E39" s="22" t="n"/>
      <c r="F39" s="22" t="n"/>
      <c r="G39" s="22" t="n"/>
      <c r="H39" s="18" t="n"/>
      <c r="I39" s="21" t="n"/>
    </row>
    <row r="40" ht="24" customHeight="1">
      <c r="A40" s="40" t="inlineStr">
        <is>
          <t>14t Excavator with GPS</t>
        </is>
      </c>
      <c r="B40" s="22" t="inlineStr">
        <is>
          <t>EX153</t>
        </is>
      </c>
      <c r="C40" s="22" t="n">
        <v>8</v>
      </c>
      <c r="D40" s="22" t="n"/>
      <c r="E40" s="22" t="n"/>
      <c r="F40" s="22" t="n"/>
      <c r="G40" s="41" t="n"/>
      <c r="H40" s="41" t="n"/>
      <c r="I40" s="42" t="n"/>
    </row>
    <row r="41" ht="24" customHeight="1">
      <c r="A41" s="40" t="inlineStr">
        <is>
          <t>Roller (1.5t)</t>
        </is>
      </c>
      <c r="B41" s="22" t="inlineStr">
        <is>
          <t>R538</t>
        </is>
      </c>
      <c r="C41" s="22" t="n">
        <v>5</v>
      </c>
      <c r="D41" s="22" t="n"/>
      <c r="E41" s="22" t="n"/>
      <c r="F41" s="22" t="n"/>
      <c r="G41" s="41" t="n"/>
      <c r="H41" s="41" t="n"/>
      <c r="I41" s="42" t="n"/>
    </row>
    <row r="42" ht="24" customHeight="1">
      <c r="A42" s="40" t="inlineStr">
        <is>
          <t>5t Excavator</t>
        </is>
      </c>
      <c r="B42" s="22" t="inlineStr">
        <is>
          <t>A118</t>
        </is>
      </c>
      <c r="C42" s="22" t="n"/>
      <c r="D42" s="22" t="n"/>
      <c r="E42" s="22" t="n"/>
      <c r="F42" s="22" t="n"/>
      <c r="G42" s="41" t="n"/>
      <c r="H42" s="41" t="n"/>
      <c r="I42" s="42" t="n"/>
    </row>
    <row r="43" ht="24" customHeight="1">
      <c r="A43" s="38" t="inlineStr">
        <is>
          <t>Padfoot/ Smooth Drum Roller</t>
        </is>
      </c>
      <c r="B43" s="22" t="inlineStr">
        <is>
          <t>RR 03</t>
        </is>
      </c>
      <c r="C43" s="18" t="n">
        <v>3</v>
      </c>
      <c r="D43" s="22" t="n"/>
      <c r="E43" s="22" t="n"/>
      <c r="F43" s="22" t="n"/>
      <c r="G43" s="41" t="n"/>
      <c r="H43" s="41" t="n"/>
      <c r="I43" s="42" t="n"/>
    </row>
    <row r="44" ht="24" customHeight="1">
      <c r="A44" s="38" t="inlineStr">
        <is>
          <t>Multi Roller</t>
        </is>
      </c>
      <c r="B44" s="22" t="n">
        <v>256</v>
      </c>
      <c r="C44" s="18" t="n">
        <v>8</v>
      </c>
      <c r="D44" s="22" t="n"/>
      <c r="E44" s="22" t="n"/>
      <c r="F44" s="22" t="n"/>
      <c r="G44" s="41" t="n"/>
      <c r="H44" s="41" t="n"/>
      <c r="I44" s="42" t="n"/>
    </row>
    <row r="45" ht="24" customHeight="1">
      <c r="A45" s="38" t="inlineStr">
        <is>
          <t>Positrak SSL</t>
        </is>
      </c>
      <c r="B45" s="22" t="inlineStr">
        <is>
          <t>SSL08</t>
        </is>
      </c>
      <c r="C45" s="18" t="n">
        <v>8</v>
      </c>
      <c r="D45" s="22" t="n"/>
      <c r="E45" s="22" t="n"/>
      <c r="F45" s="22" t="n"/>
      <c r="G45" s="41" t="n"/>
      <c r="H45" s="41" t="n"/>
      <c r="I45" s="42" t="n"/>
    </row>
    <row r="46" ht="24" customHeight="1">
      <c r="A46" s="38" t="n"/>
      <c r="B46" s="22" t="n"/>
      <c r="C46" s="18" t="n"/>
      <c r="D46" s="41" t="n"/>
      <c r="E46" s="41" t="n"/>
      <c r="F46" s="41" t="n"/>
      <c r="G46" s="41" t="n"/>
      <c r="H46" s="41" t="n"/>
      <c r="I46" s="42" t="n"/>
    </row>
    <row r="47" ht="18" customHeight="1">
      <c r="A47" s="43" t="n">
        <v>0</v>
      </c>
      <c r="B47" s="229" t="inlineStr">
        <is>
          <t xml:space="preserve">Repairs Required </t>
        </is>
      </c>
      <c r="C47" s="219" t="n"/>
      <c r="D47" s="230" t="inlineStr">
        <is>
          <t>N/A</t>
        </is>
      </c>
      <c r="E47" s="218" t="n"/>
      <c r="F47" s="218" t="n"/>
      <c r="G47" s="218" t="n"/>
      <c r="H47" s="218" t="n"/>
      <c r="I47" s="222" t="n"/>
    </row>
    <row r="48" ht="18" customHeight="1">
      <c r="A48" s="44" t="n">
        <v>0</v>
      </c>
      <c r="B48" s="229" t="inlineStr">
        <is>
          <t>Scheduled Service</t>
        </is>
      </c>
      <c r="C48" s="219" t="n"/>
      <c r="D48" s="230" t="inlineStr">
        <is>
          <t>N/A</t>
        </is>
      </c>
      <c r="E48" s="218" t="n"/>
      <c r="F48" s="218" t="n"/>
      <c r="G48" s="218" t="n"/>
      <c r="H48" s="218" t="n"/>
      <c r="I48" s="222" t="n"/>
    </row>
    <row r="49" ht="18" customHeight="1">
      <c r="A49" s="45" t="n">
        <v>0</v>
      </c>
      <c r="B49" s="229" t="n"/>
      <c r="C49" s="219" t="n"/>
      <c r="D49" s="230" t="inlineStr">
        <is>
          <t>N/A</t>
        </is>
      </c>
      <c r="E49" s="218" t="n"/>
      <c r="F49" s="218" t="n"/>
      <c r="G49" s="218" t="n"/>
      <c r="H49" s="218" t="n"/>
      <c r="I49" s="222" t="n"/>
    </row>
    <row r="50" ht="23.25" customHeight="1">
      <c r="A50" s="232" t="inlineStr">
        <is>
          <t xml:space="preserve">Total Plant and Equipment Hours: </t>
        </is>
      </c>
      <c r="B50" s="219" t="n"/>
      <c r="C50" s="46">
        <f>SUM(C33:C46)</f>
        <v/>
      </c>
      <c r="D50" s="233" t="n"/>
      <c r="E50" s="218" t="n"/>
      <c r="F50" s="218" t="n"/>
      <c r="G50" s="218" t="n"/>
      <c r="H50" s="218" t="n"/>
      <c r="I50" s="222" t="n"/>
    </row>
    <row r="51" ht="25" customHeight="1">
      <c r="A51" s="221" t="inlineStr">
        <is>
          <t>DELAYS-OPPORTUNITY</t>
        </is>
      </c>
      <c r="B51" s="218" t="n"/>
      <c r="C51" s="218" t="n"/>
      <c r="D51" s="218" t="n"/>
      <c r="E51" s="218" t="n"/>
      <c r="F51" s="218" t="n"/>
      <c r="G51" s="218" t="n"/>
      <c r="H51" s="218" t="n"/>
      <c r="I51" s="222" t="n"/>
    </row>
    <row r="52" ht="15" customHeight="1" thickBot="1">
      <c r="A52" s="234" t="inlineStr">
        <is>
          <t>New Detail Provided on Centrelink Carpark                                                               
Awaiting Confirmation on Batters Treatment 
Awaiting finalised fencing details
Awaiting COGG confirmation on "Ballast Pile"
Instructions Provided for Laneway Sewer, Drainage
ATCO Gas has advised that Piece Up has not been scheduled ETA 3 Weeks (From 2/10/25)</t>
        </is>
      </c>
      <c r="B52" s="225" t="n"/>
      <c r="C52" s="225" t="n"/>
      <c r="D52" s="225" t="n"/>
      <c r="E52" s="225" t="n"/>
      <c r="F52" s="225" t="n"/>
      <c r="G52" s="225" t="n"/>
      <c r="H52" s="225" t="n"/>
      <c r="I52" s="226" t="n"/>
    </row>
    <row r="53">
      <c r="A53" s="212" t="n"/>
      <c r="I53" s="214" t="n"/>
    </row>
    <row r="54" ht="49.5" customHeight="1">
      <c r="A54" s="212" t="n"/>
      <c r="I54" s="214" t="n"/>
    </row>
    <row r="55" ht="62.5" customHeight="1" thickBot="1">
      <c r="A55" s="235" t="n"/>
      <c r="B55" s="236" t="n"/>
      <c r="C55" s="236" t="n"/>
      <c r="D55" s="236" t="n"/>
      <c r="E55" s="236" t="n"/>
      <c r="F55" s="236" t="n"/>
      <c r="G55" s="236" t="n"/>
      <c r="H55" s="236" t="n"/>
      <c r="I55" s="237" t="n"/>
    </row>
    <row r="56" ht="25" customHeight="1">
      <c r="A56" s="238" t="inlineStr">
        <is>
          <t>HSEQ MESSAGES</t>
        </is>
      </c>
      <c r="B56" s="239" t="n"/>
      <c r="C56" s="239" t="n"/>
      <c r="D56" s="239" t="n"/>
      <c r="E56" s="239" t="n"/>
      <c r="F56" s="239" t="n"/>
      <c r="G56" s="239" t="n"/>
      <c r="H56" s="239" t="n"/>
      <c r="I56" s="240" t="n"/>
    </row>
    <row r="57" ht="18" customHeight="1">
      <c r="A57" s="47" t="inlineStr">
        <is>
          <t>TCD - Monthly Safety Focus:</t>
        </is>
      </c>
      <c r="B57" s="241" t="inlineStr">
        <is>
          <t>Prestart Checks</t>
        </is>
      </c>
      <c r="C57" s="218" t="n"/>
      <c r="D57" s="218" t="n"/>
      <c r="E57" s="218" t="n"/>
      <c r="F57" s="218" t="n"/>
      <c r="G57" s="218" t="n"/>
      <c r="H57" s="218" t="n"/>
      <c r="I57" s="219" t="n"/>
    </row>
    <row r="58" ht="24" customHeight="1">
      <c r="A58" s="47" t="inlineStr">
        <is>
          <t>TCD - Daily Safety Focus:</t>
        </is>
      </c>
      <c r="B58" s="242" t="inlineStr">
        <is>
          <t>SIMOPS</t>
        </is>
      </c>
      <c r="C58" s="218" t="n"/>
      <c r="D58" s="218" t="n"/>
      <c r="E58" s="218" t="n"/>
      <c r="F58" s="218" t="n"/>
      <c r="G58" s="218" t="n"/>
      <c r="H58" s="218" t="n"/>
      <c r="I58" s="222" t="n"/>
    </row>
    <row r="59" ht="18" customHeight="1">
      <c r="A59" s="48" t="inlineStr">
        <is>
          <t xml:space="preserve">Hazards Reported: </t>
        </is>
      </c>
      <c r="B59" s="49" t="inlineStr">
        <is>
          <t>Nil</t>
        </is>
      </c>
      <c r="C59" s="242" t="n"/>
      <c r="D59" s="218" t="n"/>
      <c r="E59" s="218" t="n"/>
      <c r="F59" s="218" t="n"/>
      <c r="G59" s="218" t="n"/>
      <c r="H59" s="218" t="n"/>
      <c r="I59" s="222" t="n"/>
    </row>
    <row r="60" ht="18" customHeight="1">
      <c r="A60" s="48" t="inlineStr">
        <is>
          <t>Incident Free Days</t>
        </is>
      </c>
      <c r="B60" s="49" t="n">
        <v>3</v>
      </c>
      <c r="C60" s="241" t="n"/>
      <c r="D60" s="218" t="n"/>
      <c r="E60" s="218" t="n"/>
      <c r="F60" s="218" t="n"/>
      <c r="G60" s="218" t="n"/>
      <c r="H60" s="218" t="n"/>
      <c r="I60" s="219" t="n"/>
    </row>
    <row r="61" ht="18" customHeight="1">
      <c r="A61" s="50" t="inlineStr">
        <is>
          <t>Other Notes</t>
        </is>
      </c>
      <c r="B61" s="243" t="n"/>
      <c r="C61" s="225" t="n"/>
      <c r="D61" s="225" t="n"/>
      <c r="E61" s="225" t="n"/>
      <c r="F61" s="225" t="n"/>
      <c r="G61" s="225" t="n"/>
      <c r="H61" s="225" t="n"/>
      <c r="I61" s="226" t="n"/>
    </row>
    <row r="62" ht="20.25" customHeight="1">
      <c r="A62" s="221" t="inlineStr">
        <is>
          <t xml:space="preserve">INCIDENTS &amp; REPORTS </t>
        </is>
      </c>
      <c r="B62" s="218" t="n"/>
      <c r="C62" s="218" t="n"/>
      <c r="D62" s="218" t="n"/>
      <c r="E62" s="218" t="n"/>
      <c r="F62" s="218" t="n"/>
      <c r="G62" s="218" t="n"/>
      <c r="H62" s="218" t="n"/>
      <c r="I62" s="222" t="n"/>
    </row>
    <row r="63" ht="25" customHeight="1">
      <c r="A63" s="51" t="n"/>
      <c r="B63" s="228" t="inlineStr">
        <is>
          <t>QTY</t>
        </is>
      </c>
      <c r="C63" s="231" t="inlineStr">
        <is>
          <t>Comments</t>
        </is>
      </c>
      <c r="D63" s="218" t="n"/>
      <c r="E63" s="218" t="n"/>
      <c r="F63" s="218" t="n"/>
      <c r="G63" s="218" t="n"/>
      <c r="H63" s="218" t="n"/>
      <c r="I63" s="222" t="n"/>
    </row>
    <row r="64" ht="25" customHeight="1">
      <c r="A64" s="52" t="inlineStr">
        <is>
          <t>INCIDENT</t>
        </is>
      </c>
      <c r="B64" s="228" t="n">
        <v>0</v>
      </c>
      <c r="C64" s="246" t="inlineStr">
        <is>
          <t>NA</t>
        </is>
      </c>
      <c r="D64" s="225" t="n"/>
      <c r="E64" s="225" t="n"/>
      <c r="F64" s="225" t="n"/>
      <c r="G64" s="225" t="n"/>
      <c r="H64" s="225" t="n"/>
      <c r="I64" s="226" t="n"/>
    </row>
    <row r="65" ht="25" customHeight="1">
      <c r="A65" s="53" t="inlineStr">
        <is>
          <t>IR</t>
        </is>
      </c>
      <c r="B65" s="54" t="n">
        <v>0</v>
      </c>
      <c r="C65" s="246" t="inlineStr">
        <is>
          <t>NA</t>
        </is>
      </c>
      <c r="D65" s="225" t="n"/>
      <c r="E65" s="225" t="n"/>
      <c r="F65" s="225" t="n"/>
      <c r="G65" s="225" t="n"/>
      <c r="H65" s="225" t="n"/>
      <c r="I65" s="226" t="n"/>
    </row>
    <row r="66" ht="25" customHeight="1" thickBot="1">
      <c r="A66" s="55" t="inlineStr">
        <is>
          <t>NCR</t>
        </is>
      </c>
      <c r="B66" s="56" t="n">
        <v>0</v>
      </c>
      <c r="C66" s="247" t="inlineStr">
        <is>
          <t>NA</t>
        </is>
      </c>
      <c r="D66" s="248" t="n"/>
      <c r="E66" s="248" t="n"/>
      <c r="F66" s="248" t="n"/>
      <c r="G66" s="248" t="n"/>
      <c r="H66" s="248" t="n"/>
      <c r="I66" s="249" t="n"/>
    </row>
    <row r="67" ht="20.25" customHeight="1">
      <c r="A67" s="238" t="inlineStr">
        <is>
          <t>COMMUNICATIONS</t>
        </is>
      </c>
      <c r="B67" s="239" t="n"/>
      <c r="C67" s="239" t="n"/>
      <c r="D67" s="239" t="n"/>
      <c r="E67" s="239" t="n"/>
      <c r="F67" s="239" t="n"/>
      <c r="G67" s="239" t="n"/>
      <c r="H67" s="239" t="n"/>
      <c r="I67" s="240" t="n"/>
    </row>
    <row r="68" ht="25" customHeight="1">
      <c r="A68" s="250" t="inlineStr">
        <is>
          <t>TGS MB1119-05 Scheme D implemented</t>
        </is>
      </c>
      <c r="B68" s="218" t="n"/>
      <c r="C68" s="218" t="n"/>
      <c r="D68" s="218" t="n"/>
      <c r="E68" s="218" t="n"/>
      <c r="F68" s="218" t="n"/>
      <c r="G68" s="218" t="n"/>
      <c r="H68" s="218" t="n"/>
      <c r="I68" s="222" t="n"/>
    </row>
    <row r="69" ht="25" customHeight="1">
      <c r="A69" s="221" t="inlineStr">
        <is>
          <t>PRODUCTION (CONSTRUCTION STATUS &amp; PROGRESS)</t>
        </is>
      </c>
      <c r="B69" s="218" t="n"/>
      <c r="C69" s="218" t="n"/>
      <c r="D69" s="218" t="n"/>
      <c r="E69" s="218" t="n"/>
      <c r="F69" s="218" t="n"/>
      <c r="G69" s="218" t="n"/>
      <c r="H69" s="218" t="n"/>
      <c r="I69" s="222" t="n"/>
    </row>
    <row r="70" ht="25" customHeight="1">
      <c r="A70" s="57" t="inlineStr">
        <is>
          <t>Primer Seal</t>
        </is>
      </c>
      <c r="B70" s="58" t="n"/>
      <c r="C70" s="59" t="n"/>
      <c r="D70" s="59" t="n"/>
      <c r="E70" s="58" t="n"/>
      <c r="F70" s="58" t="n"/>
      <c r="G70" s="59" t="n"/>
      <c r="H70" s="58" t="n"/>
      <c r="I70" s="60" t="n"/>
    </row>
    <row r="71" ht="25" customHeight="1">
      <c r="A71" s="57" t="inlineStr">
        <is>
          <t>Installed Gas-Pipework (Line Pressurised)</t>
        </is>
      </c>
      <c r="B71" s="58" t="n"/>
      <c r="C71" s="59" t="n"/>
      <c r="D71" s="59" t="n"/>
      <c r="E71" s="58" t="n"/>
      <c r="F71" s="58" t="n"/>
      <c r="G71" s="59" t="n"/>
      <c r="H71" s="58" t="n"/>
      <c r="I71" s="60" t="n"/>
    </row>
    <row r="72" ht="25" customHeight="1">
      <c r="A72" s="57" t="inlineStr">
        <is>
          <t>Water Adjustments in line with GH Comments at Forrest Street End</t>
        </is>
      </c>
      <c r="B72" s="58" t="n"/>
      <c r="C72" s="59" t="n"/>
      <c r="D72" s="59" t="n"/>
      <c r="E72" s="58" t="n"/>
      <c r="F72" s="58" t="n"/>
      <c r="G72" s="59" t="n"/>
      <c r="H72" s="58" t="n"/>
      <c r="I72" s="60" t="n"/>
    </row>
    <row r="73" ht="25" customHeight="1">
      <c r="A73" s="57" t="inlineStr">
        <is>
          <t>Excavation for Garden Bed Kerbing</t>
        </is>
      </c>
      <c r="B73" s="58" t="n"/>
      <c r="C73" s="59" t="n"/>
      <c r="D73" s="59" t="n"/>
      <c r="E73" s="58" t="n"/>
      <c r="F73" s="58" t="n"/>
      <c r="G73" s="59" t="n"/>
      <c r="H73" s="58" t="n"/>
      <c r="I73" s="60" t="n"/>
    </row>
    <row r="74" ht="25" customHeight="1">
      <c r="A74" s="57" t="inlineStr">
        <is>
          <t xml:space="preserve">Ongoing Vacuum Excavating Corner of Chambers and Commenced Vac Trucking Foreshore Drive </t>
        </is>
      </c>
      <c r="B74" s="58" t="n"/>
      <c r="C74" s="59" t="n"/>
      <c r="D74" s="59" t="n"/>
      <c r="E74" s="58" t="n"/>
      <c r="F74" s="58" t="n"/>
      <c r="G74" s="59" t="n"/>
      <c r="H74" s="58" t="n"/>
      <c r="I74" s="60" t="n"/>
    </row>
    <row r="75" ht="25" customHeight="1">
      <c r="A75" s="57" t="inlineStr">
        <is>
          <t>Adjusted Irrigation Mainline to Suit New Services Alignment</t>
        </is>
      </c>
      <c r="B75" s="58" t="n"/>
      <c r="C75" s="59" t="n"/>
      <c r="D75" s="59" t="n"/>
      <c r="E75" s="58" t="n"/>
      <c r="F75" s="58" t="n"/>
      <c r="G75" s="59" t="n"/>
      <c r="H75" s="58" t="n"/>
      <c r="I75" s="60" t="n"/>
    </row>
    <row r="76" ht="30.75" customHeight="1">
      <c r="A76" s="57" t="inlineStr">
        <is>
          <t>Form and Pour Concrete Ramps</t>
        </is>
      </c>
      <c r="B76" s="58" t="n"/>
      <c r="C76" s="59" t="n"/>
      <c r="D76" s="59" t="n"/>
      <c r="E76" s="58" t="n"/>
      <c r="F76" s="58" t="n"/>
      <c r="G76" s="59" t="n"/>
      <c r="H76" s="58" t="n"/>
      <c r="I76" s="60" t="n"/>
    </row>
    <row r="77" ht="26.25" customHeight="1" thickBot="1">
      <c r="A77" s="224" t="inlineStr">
        <is>
          <t>Photos</t>
        </is>
      </c>
      <c r="B77" s="225" t="n"/>
      <c r="C77" s="225" t="n"/>
      <c r="D77" s="225" t="n"/>
      <c r="E77" s="225" t="n"/>
      <c r="F77" s="225" t="n"/>
      <c r="G77" s="225" t="n"/>
      <c r="H77" s="225" t="n"/>
      <c r="I77" s="226" t="n"/>
    </row>
    <row r="78" ht="23.25" customHeight="1">
      <c r="A78" s="61" t="n"/>
      <c r="B78" s="62" t="n"/>
      <c r="C78" s="62" t="n"/>
      <c r="D78" s="62" t="n"/>
      <c r="E78" s="62" t="n"/>
      <c r="F78" s="62" t="n"/>
      <c r="G78" s="62" t="n"/>
      <c r="H78" s="62" t="n"/>
      <c r="I78" s="63" t="n"/>
    </row>
    <row r="79" ht="23.2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H100" s="65" t="n"/>
      <c r="I100" s="66" t="n"/>
    </row>
    <row r="101" ht="25" customFormat="1" customHeight="1" s="67">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thickBot="1">
      <c r="A116" s="68" t="n"/>
      <c r="B116" s="69" t="n"/>
      <c r="C116" s="69" t="n"/>
      <c r="D116" s="69" t="n"/>
      <c r="E116" s="69" t="n"/>
      <c r="F116" s="69" t="n"/>
      <c r="G116" s="69" t="n"/>
      <c r="H116" s="69" t="n"/>
      <c r="I116" s="70"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2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28"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thickBot="1">
      <c r="A141" s="64" t="n"/>
      <c r="B141" s="65" t="n"/>
      <c r="C141" s="65" t="n"/>
      <c r="D141" s="65" t="n"/>
      <c r="E141" s="65" t="n"/>
      <c r="F141" s="65" t="n"/>
      <c r="G141" s="65" t="n"/>
      <c r="H141" s="65" t="n"/>
      <c r="I141" s="66" t="n"/>
      <c r="J141" s="71" t="n"/>
    </row>
    <row r="142" ht="15" customHeight="1">
      <c r="A142" s="64" t="n"/>
      <c r="B142" s="65" t="n"/>
      <c r="C142" s="65" t="n"/>
      <c r="D142" s="65" t="n"/>
      <c r="E142" s="65" t="n"/>
      <c r="F142" s="65" t="n"/>
      <c r="G142" s="65" t="n"/>
      <c r="H142" s="65" t="n"/>
      <c r="I142" s="66" t="n"/>
    </row>
    <row r="143" ht="15" customHeight="1">
      <c r="A143" s="64" t="n"/>
      <c r="B143" s="65" t="n"/>
      <c r="C143" s="65" t="n"/>
      <c r="D143" s="65" t="n"/>
      <c r="E143" s="65" t="n"/>
      <c r="F143" s="65" t="n"/>
      <c r="G143" s="65" t="n"/>
      <c r="H143" s="65" t="n"/>
      <c r="I143" s="66" t="n"/>
    </row>
    <row r="144" ht="15" customHeight="1">
      <c r="A144" s="64" t="n"/>
      <c r="B144" s="65" t="n"/>
      <c r="C144" s="65" t="n"/>
      <c r="D144" s="65" t="n"/>
      <c r="E144" s="65" t="n"/>
      <c r="F144" s="65" t="n"/>
      <c r="G144" s="65" t="n"/>
      <c r="H144" s="65" t="n"/>
      <c r="I144" s="66" t="n"/>
    </row>
    <row r="145" ht="15" customHeight="1">
      <c r="A145" s="64" t="n"/>
      <c r="B145" s="65" t="n"/>
      <c r="C145" s="65" t="n"/>
      <c r="D145" s="65" t="n"/>
      <c r="E145" s="65" t="n"/>
      <c r="F145" s="65" t="n"/>
      <c r="G145" s="65" t="n"/>
      <c r="H145" s="65" t="n"/>
      <c r="I145" s="66" t="n"/>
    </row>
    <row r="146" ht="15" customHeight="1">
      <c r="A146" s="64" t="n"/>
      <c r="B146" s="65" t="n"/>
      <c r="C146" s="65" t="n"/>
      <c r="D146" s="65" t="n"/>
      <c r="E146" s="65" t="n"/>
      <c r="F146" s="65" t="n"/>
      <c r="G146" s="65" t="n"/>
      <c r="H146" s="65" t="n"/>
      <c r="I146" s="66" t="n"/>
    </row>
    <row r="147" ht="15" customHeight="1">
      <c r="A147" s="64" t="n"/>
      <c r="B147" s="65" t="n"/>
      <c r="C147" s="65" t="n"/>
      <c r="D147" s="65" t="n"/>
      <c r="E147" s="65" t="n"/>
      <c r="F147" s="65" t="n"/>
      <c r="G147" s="65" t="n"/>
      <c r="H147" s="65" t="n"/>
      <c r="I147" s="66" t="n"/>
    </row>
    <row r="148" ht="16" customHeight="1">
      <c r="A148" s="64" t="n"/>
      <c r="B148" s="65" t="n"/>
      <c r="C148" s="65" t="n"/>
      <c r="D148" s="65" t="n"/>
      <c r="E148" s="65" t="n"/>
      <c r="F148" s="65" t="n"/>
      <c r="G148" s="65" t="n"/>
      <c r="H148" s="65" t="n"/>
      <c r="I148" s="66" t="n"/>
    </row>
    <row r="149" ht="30.75" customHeight="1">
      <c r="A149" s="244" t="n"/>
      <c r="E149" s="245" t="n"/>
      <c r="I149" s="214"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row r="204">
      <c r="A204" s="72" t="n"/>
      <c r="I204" s="73" t="n"/>
    </row>
    <row r="205">
      <c r="A205" s="72" t="n"/>
      <c r="I205" s="73" t="n"/>
    </row>
    <row r="206">
      <c r="A206" s="72" t="n"/>
      <c r="I206" s="73" t="n"/>
    </row>
    <row r="207">
      <c r="A207" s="72" t="n"/>
      <c r="I207" s="73" t="n"/>
    </row>
    <row r="208">
      <c r="A208" s="72" t="n"/>
      <c r="I208" s="73" t="n"/>
    </row>
    <row r="209">
      <c r="A209" s="72" t="n"/>
      <c r="I209" s="73" t="n"/>
    </row>
    <row r="210" ht="16" customHeight="1" thickBot="1">
      <c r="A210" s="74" t="n"/>
      <c r="B210" s="75" t="n"/>
      <c r="C210" s="75" t="n"/>
      <c r="D210" s="75" t="n"/>
      <c r="E210" s="75" t="n"/>
      <c r="F210" s="75" t="n"/>
      <c r="G210" s="75" t="n"/>
      <c r="H210" s="75" t="n"/>
      <c r="I210" s="76" t="n"/>
    </row>
  </sheetData>
  <mergeCells count="39">
    <mergeCell ref="D49:I49"/>
    <mergeCell ref="B47:C47"/>
    <mergeCell ref="D13:F13"/>
    <mergeCell ref="G13:I13"/>
    <mergeCell ref="B8:D8"/>
    <mergeCell ref="A56:I56"/>
    <mergeCell ref="D48:I48"/>
    <mergeCell ref="A12:I12"/>
    <mergeCell ref="D47:I47"/>
    <mergeCell ref="B58:I58"/>
    <mergeCell ref="C66:I66"/>
    <mergeCell ref="B48:C48"/>
    <mergeCell ref="A5:I5"/>
    <mergeCell ref="B9:D9"/>
    <mergeCell ref="A52:I55"/>
    <mergeCell ref="B61:I61"/>
    <mergeCell ref="B57:I57"/>
    <mergeCell ref="A62:I62"/>
    <mergeCell ref="B6:D6"/>
    <mergeCell ref="A50:B50"/>
    <mergeCell ref="E149:I149"/>
    <mergeCell ref="A13:C13"/>
    <mergeCell ref="A68:I68"/>
    <mergeCell ref="A10:I10"/>
    <mergeCell ref="A1:I4"/>
    <mergeCell ref="C64:I64"/>
    <mergeCell ref="A67:I67"/>
    <mergeCell ref="D50:I50"/>
    <mergeCell ref="A77:I77"/>
    <mergeCell ref="B7:D7"/>
    <mergeCell ref="C63:I63"/>
    <mergeCell ref="B49:C49"/>
    <mergeCell ref="C65:I65"/>
    <mergeCell ref="A11:I11"/>
    <mergeCell ref="A51:I51"/>
    <mergeCell ref="A149:D149"/>
    <mergeCell ref="C59:I59"/>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6" min="0" max="8" man="1"/>
  </rowBreaks>
</worksheet>
</file>

<file path=xl/worksheets/sheet3.xml><?xml version="1.0" encoding="utf-8"?>
<worksheet xmlns="http://schemas.openxmlformats.org/spreadsheetml/2006/main">
  <sheetPr>
    <outlinePr summaryBelow="1" summaryRight="1"/>
    <pageSetUpPr fitToPage="1"/>
  </sheetPr>
  <dimension ref="A1:J207"/>
  <sheetViews>
    <sheetView view="pageBreakPreview" topLeftCell="A20" zoomScale="40" zoomScaleNormal="55" zoomScaleSheetLayoutView="40" workbookViewId="0">
      <selection activeCell="A68" sqref="A68:A73"/>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45933</v>
      </c>
    </row>
    <row r="7" ht="23.25" customHeight="1">
      <c r="A7" s="2" t="inlineStr">
        <is>
          <t>Project Location:</t>
        </is>
      </c>
      <c r="B7" s="220" t="inlineStr">
        <is>
          <t>Geraldton</t>
        </is>
      </c>
      <c r="E7" s="220" t="n"/>
      <c r="F7" s="4" t="n"/>
      <c r="G7" s="4" t="n"/>
      <c r="H7" s="7" t="inlineStr">
        <is>
          <t>Day:</t>
        </is>
      </c>
      <c r="I7" s="8" t="inlineStr">
        <is>
          <t>Friday</t>
        </is>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122</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44km/h 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row>
    <row r="16" ht="23.25" customHeight="1">
      <c r="A16" s="17" t="inlineStr">
        <is>
          <t>GRIFFITHS, Daniel</t>
        </is>
      </c>
      <c r="B16" s="18" t="inlineStr">
        <is>
          <t>Project Manager</t>
        </is>
      </c>
      <c r="C16" s="22" t="n">
        <v>12</v>
      </c>
      <c r="D16" s="20" t="inlineStr">
        <is>
          <t>Hanly,Thomas</t>
        </is>
      </c>
      <c r="E16" s="18" t="inlineStr">
        <is>
          <t>Operator</t>
        </is>
      </c>
      <c r="F16" s="18" t="n"/>
      <c r="G16" s="20" t="inlineStr">
        <is>
          <t>Mosley,Joshua</t>
        </is>
      </c>
      <c r="H16" s="18" t="inlineStr">
        <is>
          <t>Surveyor</t>
        </is>
      </c>
      <c r="I16" s="21" t="n">
        <v>2</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Vermeer, Paul</t>
        </is>
      </c>
      <c r="H19" s="18" t="inlineStr">
        <is>
          <t>Labourer</t>
        </is>
      </c>
      <c r="I19" s="21" t="n">
        <v>11</v>
      </c>
    </row>
    <row r="20" ht="23.25" customHeight="1">
      <c r="A20" s="17" t="inlineStr">
        <is>
          <t>SKINNER,Jamie</t>
        </is>
      </c>
      <c r="B20" s="18" t="inlineStr">
        <is>
          <t>Supervisor</t>
        </is>
      </c>
      <c r="C20" s="22" t="n"/>
      <c r="D20" s="23" t="n"/>
      <c r="E20" s="23" t="n"/>
      <c r="F20" s="18" t="n"/>
      <c r="G20" s="20" t="inlineStr">
        <is>
          <t>Superstruct</t>
        </is>
      </c>
      <c r="H20" s="18" t="inlineStr">
        <is>
          <t>Concreters</t>
        </is>
      </c>
      <c r="I20" s="21" t="n">
        <v>33</v>
      </c>
    </row>
    <row r="21" ht="23.25" customHeight="1">
      <c r="A21" s="24" t="inlineStr">
        <is>
          <t>TONER, Ultan</t>
        </is>
      </c>
      <c r="B21" s="18" t="inlineStr">
        <is>
          <t>Supervisor</t>
        </is>
      </c>
      <c r="C21" s="22" t="n">
        <v>12</v>
      </c>
      <c r="D21" s="23" t="n"/>
      <c r="E21" s="23" t="n"/>
      <c r="F21" s="18" t="n"/>
      <c r="G21" s="20" t="inlineStr">
        <is>
          <t>Ivac</t>
        </is>
      </c>
      <c r="H21" s="18" t="inlineStr">
        <is>
          <t>Vac Truck</t>
        </is>
      </c>
      <c r="I21" s="21" t="n">
        <v>20</v>
      </c>
    </row>
    <row r="22" ht="23.25" customHeight="1">
      <c r="A22" s="17" t="n"/>
      <c r="B22" s="18" t="n"/>
      <c r="C22" s="22" t="n"/>
      <c r="D22" s="23" t="n"/>
      <c r="E22" s="23" t="n"/>
      <c r="F22" s="18" t="n"/>
      <c r="G22" s="20" t="inlineStr">
        <is>
          <t>Herrings Plumbing (Gas Installers)</t>
        </is>
      </c>
      <c r="H22" s="18" t="inlineStr">
        <is>
          <t>Gas Installer</t>
        </is>
      </c>
      <c r="I22" s="21" t="n">
        <v>5</v>
      </c>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3</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3</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5</v>
      </c>
      <c r="D37" s="22" t="n"/>
      <c r="E37" s="22" t="n"/>
      <c r="F37" s="22" t="n"/>
      <c r="G37" s="22" t="n"/>
      <c r="H37" s="18" t="n"/>
      <c r="I37" s="21" t="n"/>
    </row>
    <row r="38" ht="24" customHeight="1">
      <c r="A38" s="40" t="inlineStr">
        <is>
          <t>14t Excavator with GPS</t>
        </is>
      </c>
      <c r="B38" s="22" t="inlineStr">
        <is>
          <t>EX153</t>
        </is>
      </c>
      <c r="C38" s="22" t="n">
        <v>3</v>
      </c>
      <c r="D38" s="22" t="n"/>
      <c r="E38" s="22" t="n"/>
      <c r="F38" s="22" t="n"/>
      <c r="G38" s="41" t="n"/>
      <c r="H38" s="41" t="n"/>
      <c r="I38" s="42" t="n"/>
    </row>
    <row r="39" ht="24" customHeight="1">
      <c r="A39" s="40" t="inlineStr">
        <is>
          <t>Roller (1.5t)</t>
        </is>
      </c>
      <c r="B39" s="22" t="inlineStr">
        <is>
          <t>R538</t>
        </is>
      </c>
      <c r="C39" s="22" t="n">
        <v>2</v>
      </c>
      <c r="D39" s="22" t="n"/>
      <c r="E39" s="22" t="n"/>
      <c r="F39" s="22" t="n"/>
      <c r="G39" s="41" t="n"/>
      <c r="H39" s="41" t="n"/>
      <c r="I39" s="42" t="n"/>
    </row>
    <row r="40" ht="24" customHeight="1">
      <c r="A40" s="40" t="inlineStr">
        <is>
          <t>5t Excavator</t>
        </is>
      </c>
      <c r="B40" s="22" t="inlineStr">
        <is>
          <t>A118</t>
        </is>
      </c>
      <c r="C40" s="22" t="n"/>
      <c r="D40" s="22" t="n"/>
      <c r="E40" s="22" t="n"/>
      <c r="F40" s="22" t="n"/>
      <c r="G40" s="41" t="n"/>
      <c r="H40" s="41" t="n"/>
      <c r="I40" s="42" t="n"/>
    </row>
    <row r="41" ht="24" customHeight="1">
      <c r="A41" s="38" t="inlineStr">
        <is>
          <t>Padfoot/ Smooth Drum Roller</t>
        </is>
      </c>
      <c r="B41" s="22" t="inlineStr">
        <is>
          <t>RR 03</t>
        </is>
      </c>
      <c r="C41" s="18" t="n">
        <v>3</v>
      </c>
      <c r="D41" s="22" t="n"/>
      <c r="E41" s="22" t="n"/>
      <c r="F41" s="22" t="n"/>
      <c r="G41" s="41" t="n"/>
      <c r="H41" s="41" t="n"/>
      <c r="I41" s="42" t="n"/>
    </row>
    <row r="42" ht="24" customHeight="1">
      <c r="A42" s="38" t="inlineStr">
        <is>
          <t>Multi Roller</t>
        </is>
      </c>
      <c r="B42" s="22" t="n">
        <v>256</v>
      </c>
      <c r="C42" s="18" t="n">
        <v>2</v>
      </c>
      <c r="D42" s="22" t="n"/>
      <c r="E42" s="22" t="n"/>
      <c r="F42" s="22" t="n"/>
      <c r="G42" s="41" t="n"/>
      <c r="H42" s="41" t="n"/>
      <c r="I42" s="42" t="n"/>
    </row>
    <row r="43" ht="24" customHeight="1">
      <c r="A43" s="38" t="inlineStr">
        <is>
          <t>Positrak SSL</t>
        </is>
      </c>
      <c r="B43" s="22" t="inlineStr">
        <is>
          <t>SSL08</t>
        </is>
      </c>
      <c r="C43" s="18" t="n">
        <v>8</v>
      </c>
      <c r="D43" s="22" t="n"/>
      <c r="E43" s="22" t="n"/>
      <c r="F43" s="22" t="n"/>
      <c r="G43" s="41" t="n"/>
      <c r="H43" s="41" t="n"/>
      <c r="I43" s="42" t="n"/>
    </row>
    <row r="44" ht="24" customHeight="1">
      <c r="A44" s="38" t="n"/>
      <c r="B44" s="22" t="n"/>
      <c r="C44" s="18" t="n"/>
      <c r="D44" s="41" t="n"/>
      <c r="E44" s="41" t="n"/>
      <c r="F44" s="41" t="n"/>
      <c r="G44" s="41" t="n"/>
      <c r="H44" s="41" t="n"/>
      <c r="I44" s="42" t="n"/>
    </row>
    <row r="45" ht="18" customHeight="1">
      <c r="A45" s="43" t="n">
        <v>0</v>
      </c>
      <c r="B45" s="229" t="inlineStr">
        <is>
          <t xml:space="preserve">Repairs Required </t>
        </is>
      </c>
      <c r="C45" s="219" t="n"/>
      <c r="D45" s="230" t="inlineStr">
        <is>
          <t>N/A</t>
        </is>
      </c>
      <c r="E45" s="218" t="n"/>
      <c r="F45" s="218" t="n"/>
      <c r="G45" s="218" t="n"/>
      <c r="H45" s="218" t="n"/>
      <c r="I45" s="222" t="n"/>
    </row>
    <row r="46" ht="18" customHeight="1">
      <c r="A46" s="44" t="n">
        <v>0</v>
      </c>
      <c r="B46" s="229" t="inlineStr">
        <is>
          <t>Scheduled Service</t>
        </is>
      </c>
      <c r="C46" s="219" t="n"/>
      <c r="D46" s="230" t="inlineStr">
        <is>
          <t>N/A</t>
        </is>
      </c>
      <c r="E46" s="218" t="n"/>
      <c r="F46" s="218" t="n"/>
      <c r="G46" s="218" t="n"/>
      <c r="H46" s="218" t="n"/>
      <c r="I46" s="222" t="n"/>
    </row>
    <row r="47" ht="18" customHeight="1">
      <c r="A47" s="45" t="n">
        <v>0</v>
      </c>
      <c r="B47" s="229" t="n"/>
      <c r="C47" s="219" t="n"/>
      <c r="D47" s="230" t="inlineStr">
        <is>
          <t>N/A</t>
        </is>
      </c>
      <c r="E47" s="218" t="n"/>
      <c r="F47" s="218" t="n"/>
      <c r="G47" s="218" t="n"/>
      <c r="H47" s="218" t="n"/>
      <c r="I47" s="222" t="n"/>
    </row>
    <row r="48" ht="23.25" customHeight="1">
      <c r="A48" s="232" t="inlineStr">
        <is>
          <t xml:space="preserve">Total Plant and Equipment Hours: </t>
        </is>
      </c>
      <c r="B48" s="219" t="n"/>
      <c r="C48" s="46">
        <f>SUM(C31:C44)</f>
        <v/>
      </c>
      <c r="D48" s="233" t="n"/>
      <c r="E48" s="218" t="n"/>
      <c r="F48" s="218" t="n"/>
      <c r="G48" s="218" t="n"/>
      <c r="H48" s="218" t="n"/>
      <c r="I48" s="222" t="n"/>
    </row>
    <row r="49" ht="25" customHeight="1">
      <c r="A49" s="221" t="inlineStr">
        <is>
          <t>DELAYS-OPPORTUNITY</t>
        </is>
      </c>
      <c r="B49" s="218" t="n"/>
      <c r="C49" s="218" t="n"/>
      <c r="D49" s="218" t="n"/>
      <c r="E49" s="218" t="n"/>
      <c r="F49" s="218" t="n"/>
      <c r="G49" s="218" t="n"/>
      <c r="H49" s="218" t="n"/>
      <c r="I49" s="222" t="n"/>
    </row>
    <row r="50" ht="15" customHeight="1" thickBot="1">
      <c r="A50"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50" s="225" t="n"/>
      <c r="C50" s="225" t="n"/>
      <c r="D50" s="225" t="n"/>
      <c r="E50" s="225" t="n"/>
      <c r="F50" s="225" t="n"/>
      <c r="G50" s="225" t="n"/>
      <c r="H50" s="225" t="n"/>
      <c r="I50" s="226" t="n"/>
    </row>
    <row r="51">
      <c r="A51" s="212" t="n"/>
      <c r="I51" s="214" t="n"/>
    </row>
    <row r="52" ht="49.5" customHeight="1">
      <c r="A52" s="212" t="n"/>
      <c r="I52" s="214" t="n"/>
    </row>
    <row r="53" ht="84" customHeight="1" thickBot="1">
      <c r="A53" s="235" t="n"/>
      <c r="B53" s="236" t="n"/>
      <c r="C53" s="236" t="n"/>
      <c r="D53" s="236" t="n"/>
      <c r="E53" s="236" t="n"/>
      <c r="F53" s="236" t="n"/>
      <c r="G53" s="236" t="n"/>
      <c r="H53" s="236" t="n"/>
      <c r="I53" s="237" t="n"/>
    </row>
    <row r="54" ht="25" customHeight="1">
      <c r="A54" s="238" t="inlineStr">
        <is>
          <t>HSEQ MESSAGES</t>
        </is>
      </c>
      <c r="B54" s="239" t="n"/>
      <c r="C54" s="239" t="n"/>
      <c r="D54" s="239" t="n"/>
      <c r="E54" s="239" t="n"/>
      <c r="F54" s="239" t="n"/>
      <c r="G54" s="239" t="n"/>
      <c r="H54" s="239" t="n"/>
      <c r="I54" s="240" t="n"/>
    </row>
    <row r="55" ht="18" customHeight="1">
      <c r="A55" s="47" t="inlineStr">
        <is>
          <t>TCD - Monthly Safety Focus:</t>
        </is>
      </c>
      <c r="B55" s="241" t="inlineStr">
        <is>
          <t>Prestart Checks</t>
        </is>
      </c>
      <c r="C55" s="218" t="n"/>
      <c r="D55" s="218" t="n"/>
      <c r="E55" s="218" t="n"/>
      <c r="F55" s="218" t="n"/>
      <c r="G55" s="218" t="n"/>
      <c r="H55" s="218" t="n"/>
      <c r="I55" s="219" t="n"/>
    </row>
    <row r="56" ht="24" customHeight="1">
      <c r="A56" s="47" t="inlineStr">
        <is>
          <t>TCD - Daily Safety Focus:</t>
        </is>
      </c>
      <c r="B56" s="242" t="inlineStr">
        <is>
          <t>SIMOPS</t>
        </is>
      </c>
      <c r="C56" s="218" t="n"/>
      <c r="D56" s="218" t="n"/>
      <c r="E56" s="218" t="n"/>
      <c r="F56" s="218" t="n"/>
      <c r="G56" s="218" t="n"/>
      <c r="H56" s="218" t="n"/>
      <c r="I56" s="222" t="n"/>
    </row>
    <row r="57" ht="18" customHeight="1">
      <c r="A57" s="48" t="inlineStr">
        <is>
          <t xml:space="preserve">Hazards Reported: </t>
        </is>
      </c>
      <c r="B57" s="49" t="inlineStr">
        <is>
          <t>Nil</t>
        </is>
      </c>
      <c r="C57" s="242" t="n"/>
      <c r="D57" s="218" t="n"/>
      <c r="E57" s="218" t="n"/>
      <c r="F57" s="218" t="n"/>
      <c r="G57" s="218" t="n"/>
      <c r="H57" s="218" t="n"/>
      <c r="I57" s="222" t="n"/>
    </row>
    <row r="58" ht="18" customHeight="1">
      <c r="A58" s="48" t="inlineStr">
        <is>
          <t>Incident Free Days</t>
        </is>
      </c>
      <c r="B58" s="49" t="n">
        <v>4</v>
      </c>
      <c r="C58" s="241" t="n"/>
      <c r="D58" s="218" t="n"/>
      <c r="E58" s="218" t="n"/>
      <c r="F58" s="218" t="n"/>
      <c r="G58" s="218" t="n"/>
      <c r="H58" s="218" t="n"/>
      <c r="I58" s="219" t="n"/>
    </row>
    <row r="59" ht="18" customHeight="1">
      <c r="A59" s="50" t="inlineStr">
        <is>
          <t>Other Notes</t>
        </is>
      </c>
      <c r="B59" s="243" t="n"/>
      <c r="C59" s="225" t="n"/>
      <c r="D59" s="225" t="n"/>
      <c r="E59" s="225" t="n"/>
      <c r="F59" s="225" t="n"/>
      <c r="G59" s="225" t="n"/>
      <c r="H59" s="225" t="n"/>
      <c r="I59" s="226" t="n"/>
    </row>
    <row r="60" ht="20.25" customHeight="1">
      <c r="A60" s="221" t="inlineStr">
        <is>
          <t xml:space="preserve">INCIDENTS &amp; REPORTS </t>
        </is>
      </c>
      <c r="B60" s="218" t="n"/>
      <c r="C60" s="218" t="n"/>
      <c r="D60" s="218" t="n"/>
      <c r="E60" s="218" t="n"/>
      <c r="F60" s="218" t="n"/>
      <c r="G60" s="218" t="n"/>
      <c r="H60" s="218" t="n"/>
      <c r="I60" s="222" t="n"/>
    </row>
    <row r="61" ht="25" customHeight="1">
      <c r="A61" s="51" t="n"/>
      <c r="B61" s="228" t="inlineStr">
        <is>
          <t>QTY</t>
        </is>
      </c>
      <c r="C61" s="231" t="inlineStr">
        <is>
          <t>Comments</t>
        </is>
      </c>
      <c r="D61" s="218" t="n"/>
      <c r="E61" s="218" t="n"/>
      <c r="F61" s="218" t="n"/>
      <c r="G61" s="218" t="n"/>
      <c r="H61" s="218" t="n"/>
      <c r="I61" s="222" t="n"/>
    </row>
    <row r="62" ht="25" customHeight="1">
      <c r="A62" s="52" t="inlineStr">
        <is>
          <t>INCIDENT</t>
        </is>
      </c>
      <c r="B62" s="228" t="n">
        <v>0</v>
      </c>
      <c r="C62" s="246" t="inlineStr">
        <is>
          <t>NA</t>
        </is>
      </c>
      <c r="D62" s="225" t="n"/>
      <c r="E62" s="225" t="n"/>
      <c r="F62" s="225" t="n"/>
      <c r="G62" s="225" t="n"/>
      <c r="H62" s="225" t="n"/>
      <c r="I62" s="226" t="n"/>
    </row>
    <row r="63" ht="25" customHeight="1">
      <c r="A63" s="53" t="inlineStr">
        <is>
          <t>IR</t>
        </is>
      </c>
      <c r="B63" s="54" t="n">
        <v>0</v>
      </c>
      <c r="C63" s="246" t="inlineStr">
        <is>
          <t>NA</t>
        </is>
      </c>
      <c r="D63" s="225" t="n"/>
      <c r="E63" s="225" t="n"/>
      <c r="F63" s="225" t="n"/>
      <c r="G63" s="225" t="n"/>
      <c r="H63" s="225" t="n"/>
      <c r="I63" s="226" t="n"/>
    </row>
    <row r="64" ht="25" customHeight="1" thickBot="1">
      <c r="A64" s="55" t="inlineStr">
        <is>
          <t>NCR</t>
        </is>
      </c>
      <c r="B64" s="56" t="n">
        <v>0</v>
      </c>
      <c r="C64" s="247" t="inlineStr">
        <is>
          <t>NA</t>
        </is>
      </c>
      <c r="D64" s="248" t="n"/>
      <c r="E64" s="248" t="n"/>
      <c r="F64" s="248" t="n"/>
      <c r="G64" s="248" t="n"/>
      <c r="H64" s="248" t="n"/>
      <c r="I64" s="249" t="n"/>
    </row>
    <row r="65" ht="20.25" customHeight="1">
      <c r="A65" s="238" t="inlineStr">
        <is>
          <t>COMMUNICATIONS</t>
        </is>
      </c>
      <c r="B65" s="239" t="n"/>
      <c r="C65" s="239" t="n"/>
      <c r="D65" s="239" t="n"/>
      <c r="E65" s="239" t="n"/>
      <c r="F65" s="239" t="n"/>
      <c r="G65" s="239" t="n"/>
      <c r="H65" s="239" t="n"/>
      <c r="I65" s="240" t="n"/>
    </row>
    <row r="66" ht="25" customHeight="1">
      <c r="A66" s="250" t="inlineStr">
        <is>
          <t>TGS MB1119-05 Scheme D implemented</t>
        </is>
      </c>
      <c r="B66" s="218" t="n"/>
      <c r="C66" s="218" t="n"/>
      <c r="D66" s="218" t="n"/>
      <c r="E66" s="218" t="n"/>
      <c r="F66" s="218" t="n"/>
      <c r="G66" s="218" t="n"/>
      <c r="H66" s="218" t="n"/>
      <c r="I66" s="222" t="n"/>
    </row>
    <row r="67" ht="25" customHeight="1">
      <c r="A67" s="221" t="inlineStr">
        <is>
          <t>PRODUCTION (CONSTRUCTION STATUS &amp; PROGRESS)</t>
        </is>
      </c>
      <c r="B67" s="218" t="n"/>
      <c r="C67" s="218" t="n"/>
      <c r="D67" s="218" t="n"/>
      <c r="E67" s="218" t="n"/>
      <c r="F67" s="218" t="n"/>
      <c r="G67" s="218" t="n"/>
      <c r="H67" s="218" t="n"/>
      <c r="I67" s="222" t="n"/>
    </row>
    <row r="68" ht="25" customHeight="1">
      <c r="A68" s="57" t="inlineStr">
        <is>
          <t>Lid Setting Bayley Street End</t>
        </is>
      </c>
      <c r="B68" s="58" t="n"/>
      <c r="C68" s="59" t="n"/>
      <c r="D68" s="59" t="n"/>
      <c r="E68" s="58" t="n"/>
      <c r="F68" s="58" t="n"/>
      <c r="G68" s="59" t="n"/>
      <c r="H68" s="58" t="n"/>
      <c r="I68" s="60" t="n"/>
    </row>
    <row r="69" ht="25" customHeight="1">
      <c r="A69" s="57" t="inlineStr">
        <is>
          <t>ATCO Gas Confirmed that Pressure Test is Conforming</t>
        </is>
      </c>
      <c r="B69" s="58" t="n"/>
      <c r="C69" s="59" t="n"/>
      <c r="D69" s="59" t="n"/>
      <c r="E69" s="58" t="n"/>
      <c r="F69" s="58" t="n"/>
      <c r="G69" s="59" t="n"/>
      <c r="H69" s="58" t="n"/>
      <c r="I69" s="60" t="n"/>
    </row>
    <row r="70" ht="25" customHeight="1">
      <c r="A70" s="57" t="inlineStr">
        <is>
          <t>Pressure Testng of Waterpipe (Held) Witnessed by GH and Steve Barac</t>
        </is>
      </c>
      <c r="B70" s="58" t="n"/>
      <c r="C70" s="59" t="n"/>
      <c r="D70" s="59" t="n"/>
      <c r="E70" s="58" t="n"/>
      <c r="F70" s="58" t="n"/>
      <c r="G70" s="59" t="n"/>
      <c r="H70" s="58" t="n"/>
      <c r="I70" s="60" t="n"/>
    </row>
    <row r="71" ht="25" customHeight="1">
      <c r="A71" s="57" t="inlineStr">
        <is>
          <t>Excavation for Planter Kerbing</t>
        </is>
      </c>
      <c r="B71" s="58" t="n"/>
      <c r="C71" s="59" t="n"/>
      <c r="D71" s="59" t="n"/>
      <c r="E71" s="58" t="n"/>
      <c r="F71" s="58" t="n"/>
      <c r="G71" s="59" t="n"/>
      <c r="H71" s="58" t="n"/>
      <c r="I71" s="60" t="n"/>
    </row>
    <row r="72" ht="25" customHeight="1">
      <c r="A72" s="57" t="inlineStr">
        <is>
          <t>Miscellanous Vac Truck works and Demob</t>
        </is>
      </c>
      <c r="B72" s="58" t="n"/>
      <c r="C72" s="59" t="n"/>
      <c r="D72" s="59" t="n"/>
      <c r="E72" s="58" t="n"/>
      <c r="F72" s="58" t="n"/>
      <c r="G72" s="59" t="n"/>
      <c r="H72" s="58" t="n"/>
      <c r="I72" s="60" t="n"/>
    </row>
    <row r="73" ht="30.75" customHeight="1">
      <c r="A73" s="57" t="inlineStr">
        <is>
          <t>Form and Pour Concrete Ramps</t>
        </is>
      </c>
      <c r="B73" s="58" t="n"/>
      <c r="C73" s="59" t="n"/>
      <c r="D73" s="59" t="n"/>
      <c r="E73" s="58" t="n"/>
      <c r="F73" s="58" t="n"/>
      <c r="G73" s="59" t="n"/>
      <c r="H73" s="58" t="n"/>
      <c r="I73" s="60" t="n"/>
    </row>
    <row r="74" ht="26.25" customHeight="1" thickBot="1">
      <c r="A74" s="224" t="inlineStr">
        <is>
          <t>Photos</t>
        </is>
      </c>
      <c r="B74" s="225" t="n"/>
      <c r="C74" s="225" t="n"/>
      <c r="D74" s="225" t="n"/>
      <c r="E74" s="225" t="n"/>
      <c r="F74" s="225" t="n"/>
      <c r="G74" s="225" t="n"/>
      <c r="H74" s="225" t="n"/>
      <c r="I74" s="226" t="n"/>
    </row>
    <row r="75" ht="23.25" customHeight="1">
      <c r="A75" s="61" t="n"/>
      <c r="B75" s="62" t="n"/>
      <c r="C75" s="62" t="n"/>
      <c r="D75" s="62" t="n"/>
      <c r="E75" s="62" t="n"/>
      <c r="F75" s="62" t="n"/>
      <c r="G75" s="62" t="n"/>
      <c r="H75" s="62" t="n"/>
      <c r="I75" s="63" t="n"/>
    </row>
    <row r="76" ht="23.2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H97" s="65" t="n"/>
      <c r="I97" s="66" t="n"/>
    </row>
    <row r="98" ht="25" customFormat="1" customHeight="1" s="67">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thickBot="1">
      <c r="A113" s="68" t="n"/>
      <c r="B113" s="69" t="n"/>
      <c r="C113" s="69" t="n"/>
      <c r="D113" s="69" t="n"/>
      <c r="E113" s="69" t="n"/>
      <c r="F113" s="69" t="n"/>
      <c r="G113" s="69" t="n"/>
      <c r="H113" s="69" t="n"/>
      <c r="I113" s="70"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28"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thickBot="1">
      <c r="A138" s="64" t="n"/>
      <c r="B138" s="65" t="n"/>
      <c r="C138" s="65" t="n"/>
      <c r="D138" s="65" t="n"/>
      <c r="E138" s="65" t="n"/>
      <c r="F138" s="65" t="n"/>
      <c r="G138" s="65" t="n"/>
      <c r="H138" s="65" t="n"/>
      <c r="I138" s="66" t="n"/>
      <c r="J138" s="71"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5" customHeight="1">
      <c r="A142" s="64" t="n"/>
      <c r="B142" s="65" t="n"/>
      <c r="C142" s="65" t="n"/>
      <c r="D142" s="65" t="n"/>
      <c r="E142" s="65" t="n"/>
      <c r="F142" s="65" t="n"/>
      <c r="G142" s="65" t="n"/>
      <c r="H142" s="65" t="n"/>
      <c r="I142" s="66" t="n"/>
    </row>
    <row r="143" ht="15" customHeight="1">
      <c r="A143" s="64" t="n"/>
      <c r="B143" s="65" t="n"/>
      <c r="C143" s="65" t="n"/>
      <c r="D143" s="65" t="n"/>
      <c r="E143" s="65" t="n"/>
      <c r="F143" s="65" t="n"/>
      <c r="G143" s="65" t="n"/>
      <c r="H143" s="65" t="n"/>
      <c r="I143" s="66" t="n"/>
    </row>
    <row r="144" ht="15" customHeight="1">
      <c r="A144" s="64" t="n"/>
      <c r="B144" s="65" t="n"/>
      <c r="C144" s="65" t="n"/>
      <c r="D144" s="65" t="n"/>
      <c r="E144" s="65" t="n"/>
      <c r="F144" s="65" t="n"/>
      <c r="G144" s="65" t="n"/>
      <c r="H144" s="65" t="n"/>
      <c r="I144" s="66" t="n"/>
    </row>
    <row r="145" ht="16" customHeight="1">
      <c r="A145" s="64" t="n"/>
      <c r="B145" s="65" t="n"/>
      <c r="C145" s="65" t="n"/>
      <c r="D145" s="65" t="n"/>
      <c r="E145" s="65" t="n"/>
      <c r="F145" s="65" t="n"/>
      <c r="G145" s="65" t="n"/>
      <c r="H145" s="65" t="n"/>
      <c r="I145" s="66" t="n"/>
    </row>
    <row r="146" ht="30.75" customHeight="1">
      <c r="A146" s="244" t="n"/>
      <c r="E146" s="245" t="n"/>
      <c r="I146" s="214"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A178" s="72" t="n"/>
      <c r="I178" s="73" t="n"/>
    </row>
    <row r="179">
      <c r="A179" s="72" t="n"/>
      <c r="I179" s="73" t="n"/>
    </row>
    <row r="180">
      <c r="A180" s="72" t="n"/>
      <c r="I180" s="73" t="n"/>
    </row>
    <row r="181">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c r="A197" s="72" t="n"/>
      <c r="I197" s="73" t="n"/>
    </row>
    <row r="198">
      <c r="A198" s="72" t="n"/>
      <c r="I198" s="73" t="n"/>
    </row>
    <row r="199">
      <c r="A199" s="72" t="n"/>
      <c r="I199" s="73" t="n"/>
    </row>
    <row r="200" ht="16" customHeight="1" thickBot="1">
      <c r="A200" s="74" t="n"/>
      <c r="B200" s="75" t="n"/>
      <c r="C200" s="75" t="n"/>
      <c r="D200" s="75" t="n"/>
      <c r="E200" s="75" t="n"/>
      <c r="F200" s="75" t="n"/>
      <c r="G200" s="75" t="n"/>
      <c r="H200" s="75" t="n"/>
      <c r="I200" s="76" t="n"/>
    </row>
    <row r="201">
      <c r="A201" s="72" t="n"/>
      <c r="I201" s="73" t="n"/>
    </row>
    <row r="202">
      <c r="A202" s="72" t="n"/>
      <c r="I202" s="73" t="n"/>
    </row>
    <row r="203">
      <c r="A203" s="72" t="n"/>
      <c r="I203" s="73" t="n"/>
    </row>
    <row r="204">
      <c r="A204" s="72" t="n"/>
      <c r="I204" s="73" t="n"/>
    </row>
    <row r="205">
      <c r="A205" s="72" t="n"/>
      <c r="I205" s="73" t="n"/>
    </row>
    <row r="206">
      <c r="A206" s="72" t="n"/>
      <c r="I206" s="73" t="n"/>
    </row>
    <row r="207" ht="16" customHeight="1" thickBot="1">
      <c r="A207" s="74" t="n"/>
      <c r="B207" s="75" t="n"/>
      <c r="C207" s="75" t="n"/>
      <c r="D207" s="75" t="n"/>
      <c r="E207" s="75" t="n"/>
      <c r="F207" s="75" t="n"/>
      <c r="G207" s="75" t="n"/>
      <c r="H207" s="75" t="n"/>
      <c r="I207" s="76" t="n"/>
    </row>
  </sheetData>
  <mergeCells count="39">
    <mergeCell ref="A48:B48"/>
    <mergeCell ref="C61:I61"/>
    <mergeCell ref="B47:C47"/>
    <mergeCell ref="D13:F13"/>
    <mergeCell ref="A65:I65"/>
    <mergeCell ref="G13:I13"/>
    <mergeCell ref="B8:D8"/>
    <mergeCell ref="A66:I66"/>
    <mergeCell ref="B46:C46"/>
    <mergeCell ref="B59:I59"/>
    <mergeCell ref="D48:I48"/>
    <mergeCell ref="A74:I74"/>
    <mergeCell ref="A12:I12"/>
    <mergeCell ref="C57:I57"/>
    <mergeCell ref="D47:I47"/>
    <mergeCell ref="B56:I56"/>
    <mergeCell ref="A5:I5"/>
    <mergeCell ref="B9:D9"/>
    <mergeCell ref="C62:I62"/>
    <mergeCell ref="B6:D6"/>
    <mergeCell ref="C58:I58"/>
    <mergeCell ref="A13:C13"/>
    <mergeCell ref="A146:D146"/>
    <mergeCell ref="A10:I10"/>
    <mergeCell ref="A1:I4"/>
    <mergeCell ref="C64:I64"/>
    <mergeCell ref="A67:I67"/>
    <mergeCell ref="B7:D7"/>
    <mergeCell ref="C63:I63"/>
    <mergeCell ref="A50:I53"/>
    <mergeCell ref="A11:I11"/>
    <mergeCell ref="A49:I49"/>
    <mergeCell ref="D46:I46"/>
    <mergeCell ref="B55:I55"/>
    <mergeCell ref="A60:I60"/>
    <mergeCell ref="B45:C45"/>
    <mergeCell ref="D45:I45"/>
    <mergeCell ref="E146:I146"/>
    <mergeCell ref="A54:I54"/>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3" min="0" max="8" man="1"/>
  </rowBreaks>
</worksheet>
</file>

<file path=xl/worksheets/sheet4.xml><?xml version="1.0" encoding="utf-8"?>
<worksheet xmlns="http://schemas.openxmlformats.org/spreadsheetml/2006/main">
  <sheetPr>
    <outlinePr summaryBelow="1" summaryRight="1"/>
    <pageSetUpPr fitToPage="1"/>
  </sheetPr>
  <dimension ref="A1:J201"/>
  <sheetViews>
    <sheetView view="pageBreakPreview" topLeftCell="A35" zoomScale="40" zoomScaleNormal="55" zoomScaleSheetLayoutView="40" workbookViewId="0">
      <selection activeCell="A66" sqref="A66:A67"/>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45934</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123</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25 degrees  Wind:50km/h NW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row>
    <row r="16" ht="23.25" customHeight="1">
      <c r="A16" s="17" t="inlineStr">
        <is>
          <t>GRIFFITHS, Daniel</t>
        </is>
      </c>
      <c r="B16" s="18" t="inlineStr">
        <is>
          <t>Project Manager</t>
        </is>
      </c>
      <c r="C16" s="22" t="n">
        <v>10</v>
      </c>
      <c r="D16" s="20" t="inlineStr">
        <is>
          <t>Hanly,Thomas</t>
        </is>
      </c>
      <c r="E16" s="18" t="inlineStr">
        <is>
          <t>Operator</t>
        </is>
      </c>
      <c r="F16" s="18" t="n"/>
      <c r="G16" s="20" t="inlineStr">
        <is>
          <t>Mosley,Joshua</t>
        </is>
      </c>
      <c r="H16" s="18" t="inlineStr">
        <is>
          <t>Surveyor</t>
        </is>
      </c>
      <c r="I16" s="21" t="n"/>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row>
    <row r="19" ht="23.25" customHeight="1">
      <c r="A19" s="17" t="inlineStr">
        <is>
          <t>THOMPSON,Cheryl</t>
        </is>
      </c>
      <c r="B19" s="18" t="inlineStr">
        <is>
          <t>HSET</t>
        </is>
      </c>
      <c r="C19" s="22" t="n"/>
      <c r="D19" s="23" t="n"/>
      <c r="E19" s="23" t="n"/>
      <c r="F19" s="18" t="n"/>
      <c r="G19" s="20" t="inlineStr">
        <is>
          <t>Vermeer, Paul</t>
        </is>
      </c>
      <c r="H19" s="18" t="inlineStr">
        <is>
          <t>Labourer</t>
        </is>
      </c>
      <c r="I19" s="21" t="n"/>
    </row>
    <row r="20" ht="23.25" customHeight="1">
      <c r="A20" s="17" t="inlineStr">
        <is>
          <t>SKINNER,Jamie</t>
        </is>
      </c>
      <c r="B20" s="18" t="inlineStr">
        <is>
          <t>Supervisor</t>
        </is>
      </c>
      <c r="C20" s="22" t="n"/>
      <c r="D20" s="23" t="n"/>
      <c r="E20" s="23" t="n"/>
      <c r="F20" s="18" t="n"/>
      <c r="G20" s="20" t="n"/>
      <c r="H20" s="18" t="n"/>
      <c r="I20" s="21" t="n"/>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6</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3</v>
      </c>
      <c r="D35" s="22" t="n"/>
      <c r="E35" s="22" t="n"/>
      <c r="F35" s="22" t="n"/>
      <c r="G35" s="22" t="inlineStr">
        <is>
          <t>Hydrocarbon Bund</t>
        </is>
      </c>
      <c r="H35" s="22" t="n"/>
      <c r="I35" s="21" t="n">
        <v>1</v>
      </c>
    </row>
    <row r="36" ht="23.25" customHeight="1">
      <c r="A36" s="40" t="inlineStr">
        <is>
          <t>1 t Excavator</t>
        </is>
      </c>
      <c r="B36" s="22" t="inlineStr">
        <is>
          <t>SLS03</t>
        </is>
      </c>
      <c r="C36" s="22" t="n">
        <v>1</v>
      </c>
      <c r="D36" s="22" t="n"/>
      <c r="E36" s="22" t="n"/>
      <c r="F36" s="22" t="n"/>
      <c r="G36" s="22" t="inlineStr">
        <is>
          <t>Temp Fence</t>
        </is>
      </c>
      <c r="H36" s="18" t="n"/>
      <c r="I36" s="21" t="n">
        <v>1</v>
      </c>
    </row>
    <row r="37" ht="23.25" customHeight="1">
      <c r="A37" s="40" t="inlineStr">
        <is>
          <t>8T Excavator (Wheeled)</t>
        </is>
      </c>
      <c r="B37" s="22" t="inlineStr">
        <is>
          <t>BCC12</t>
        </is>
      </c>
      <c r="C37" s="22" t="n"/>
      <c r="D37" s="22" t="n"/>
      <c r="E37" s="22" t="n"/>
      <c r="F37" s="22" t="n"/>
      <c r="G37" s="22" t="n"/>
      <c r="H37" s="18" t="n"/>
      <c r="I37" s="21" t="n"/>
    </row>
    <row r="38" ht="24" customHeight="1">
      <c r="A38" s="40" t="inlineStr">
        <is>
          <t>14t Excavator with GPS</t>
        </is>
      </c>
      <c r="B38" s="22" t="inlineStr">
        <is>
          <t>EX153</t>
        </is>
      </c>
      <c r="C38" s="22" t="n">
        <v>3</v>
      </c>
      <c r="D38" s="22" t="n"/>
      <c r="E38" s="22" t="n"/>
      <c r="F38" s="22" t="n"/>
      <c r="G38" s="41" t="n"/>
      <c r="H38" s="41" t="n"/>
      <c r="I38" s="42" t="n"/>
    </row>
    <row r="39" ht="24" customHeight="1">
      <c r="A39" s="40" t="inlineStr">
        <is>
          <t>Roller (1.5t)</t>
        </is>
      </c>
      <c r="B39" s="22" t="inlineStr">
        <is>
          <t>R538</t>
        </is>
      </c>
      <c r="C39" s="22" t="n">
        <v>5</v>
      </c>
      <c r="D39" s="22" t="n"/>
      <c r="E39" s="22" t="n"/>
      <c r="F39" s="22" t="n"/>
      <c r="G39" s="41" t="n"/>
      <c r="H39" s="41" t="n"/>
      <c r="I39" s="42" t="n"/>
    </row>
    <row r="40" ht="24" customHeight="1">
      <c r="A40" s="40" t="inlineStr">
        <is>
          <t>5t Excavator</t>
        </is>
      </c>
      <c r="B40" s="22" t="inlineStr">
        <is>
          <t>A118</t>
        </is>
      </c>
      <c r="C40" s="22" t="n">
        <v>5</v>
      </c>
      <c r="D40" s="22" t="n"/>
      <c r="E40" s="22" t="n"/>
      <c r="F40" s="22" t="n"/>
      <c r="G40" s="41" t="n"/>
      <c r="H40" s="41" t="n"/>
      <c r="I40" s="42" t="n"/>
    </row>
    <row r="41" ht="24" customHeight="1">
      <c r="A41" s="38" t="inlineStr">
        <is>
          <t>Positrak SSL</t>
        </is>
      </c>
      <c r="B41" s="22" t="inlineStr">
        <is>
          <t>SSL08</t>
        </is>
      </c>
      <c r="C41" s="18" t="n">
        <v>5</v>
      </c>
      <c r="D41" s="22" t="n"/>
      <c r="E41" s="22" t="n"/>
      <c r="F41" s="22" t="n"/>
      <c r="G41" s="41" t="n"/>
      <c r="H41" s="41" t="n"/>
      <c r="I41" s="42" t="n"/>
    </row>
    <row r="42" ht="24" customHeight="1">
      <c r="A42" s="38" t="n"/>
      <c r="B42" s="22" t="n"/>
      <c r="C42" s="18" t="n"/>
      <c r="D42" s="41" t="n"/>
      <c r="E42" s="41" t="n"/>
      <c r="F42" s="41" t="n"/>
      <c r="G42" s="41" t="n"/>
      <c r="H42" s="41" t="n"/>
      <c r="I42" s="42" t="n"/>
    </row>
    <row r="43" ht="18" customHeight="1">
      <c r="A43" s="43" t="n">
        <v>0</v>
      </c>
      <c r="B43" s="229" t="inlineStr">
        <is>
          <t xml:space="preserve">Repairs Required </t>
        </is>
      </c>
      <c r="C43" s="219" t="n"/>
      <c r="D43" s="230" t="inlineStr">
        <is>
          <t>N/A</t>
        </is>
      </c>
      <c r="E43" s="218" t="n"/>
      <c r="F43" s="218" t="n"/>
      <c r="G43" s="218" t="n"/>
      <c r="H43" s="218" t="n"/>
      <c r="I43" s="222" t="n"/>
    </row>
    <row r="44" ht="18" customHeight="1">
      <c r="A44" s="44" t="n">
        <v>0</v>
      </c>
      <c r="B44" s="229" t="inlineStr">
        <is>
          <t>Scheduled Service</t>
        </is>
      </c>
      <c r="C44" s="219" t="n"/>
      <c r="D44" s="230" t="inlineStr">
        <is>
          <t>N/A</t>
        </is>
      </c>
      <c r="E44" s="218" t="n"/>
      <c r="F44" s="218" t="n"/>
      <c r="G44" s="218" t="n"/>
      <c r="H44" s="218" t="n"/>
      <c r="I44" s="222" t="n"/>
    </row>
    <row r="45" ht="18" customHeight="1">
      <c r="A45" s="45" t="n">
        <v>0</v>
      </c>
      <c r="B45" s="229" t="n"/>
      <c r="C45" s="219" t="n"/>
      <c r="D45" s="230" t="inlineStr">
        <is>
          <t>N/A</t>
        </is>
      </c>
      <c r="E45" s="218" t="n"/>
      <c r="F45" s="218" t="n"/>
      <c r="G45" s="218" t="n"/>
      <c r="H45" s="218" t="n"/>
      <c r="I45" s="222" t="n"/>
    </row>
    <row r="46" ht="23.25" customHeight="1">
      <c r="A46" s="232" t="inlineStr">
        <is>
          <t xml:space="preserve">Total Plant and Equipment Hours: </t>
        </is>
      </c>
      <c r="B46" s="219" t="n"/>
      <c r="C46" s="46">
        <f>SUM(C31:C42)</f>
        <v/>
      </c>
      <c r="D46" s="233" t="n"/>
      <c r="E46" s="218" t="n"/>
      <c r="F46" s="218" t="n"/>
      <c r="G46" s="218" t="n"/>
      <c r="H46" s="218" t="n"/>
      <c r="I46" s="222" t="n"/>
    </row>
    <row r="47" ht="25" customHeight="1">
      <c r="A47" s="221" t="inlineStr">
        <is>
          <t>DELAYS-OPPORTUNITY</t>
        </is>
      </c>
      <c r="B47" s="218" t="n"/>
      <c r="C47" s="218" t="n"/>
      <c r="D47" s="218" t="n"/>
      <c r="E47" s="218" t="n"/>
      <c r="F47" s="218" t="n"/>
      <c r="G47" s="218" t="n"/>
      <c r="H47" s="218" t="n"/>
      <c r="I47" s="222" t="n"/>
    </row>
    <row r="48" ht="15" customHeight="1" thickBot="1">
      <c r="A48"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8" s="225" t="n"/>
      <c r="C48" s="225" t="n"/>
      <c r="D48" s="225" t="n"/>
      <c r="E48" s="225" t="n"/>
      <c r="F48" s="225" t="n"/>
      <c r="G48" s="225" t="n"/>
      <c r="H48" s="225" t="n"/>
      <c r="I48" s="226" t="n"/>
    </row>
    <row r="49">
      <c r="A49" s="212" t="n"/>
      <c r="I49" s="214" t="n"/>
    </row>
    <row r="50" ht="49.5" customHeight="1">
      <c r="A50" s="212" t="n"/>
      <c r="I50" s="214" t="n"/>
    </row>
    <row r="51" ht="84" customHeight="1" thickBot="1">
      <c r="A51" s="235" t="n"/>
      <c r="B51" s="236" t="n"/>
      <c r="C51" s="236" t="n"/>
      <c r="D51" s="236" t="n"/>
      <c r="E51" s="236" t="n"/>
      <c r="F51" s="236" t="n"/>
      <c r="G51" s="236" t="n"/>
      <c r="H51" s="236" t="n"/>
      <c r="I51" s="237" t="n"/>
    </row>
    <row r="52" ht="25" customHeight="1">
      <c r="A52" s="238" t="inlineStr">
        <is>
          <t>HSEQ MESSAGES</t>
        </is>
      </c>
      <c r="B52" s="239" t="n"/>
      <c r="C52" s="239" t="n"/>
      <c r="D52" s="239" t="n"/>
      <c r="E52" s="239" t="n"/>
      <c r="F52" s="239" t="n"/>
      <c r="G52" s="239" t="n"/>
      <c r="H52" s="239" t="n"/>
      <c r="I52" s="240" t="n"/>
    </row>
    <row r="53" ht="18" customHeight="1">
      <c r="A53" s="47" t="inlineStr">
        <is>
          <t>TCD - Monthly Safety Focus:</t>
        </is>
      </c>
      <c r="B53" s="241" t="inlineStr">
        <is>
          <t>Prestart Checks</t>
        </is>
      </c>
      <c r="C53" s="218" t="n"/>
      <c r="D53" s="218" t="n"/>
      <c r="E53" s="218" t="n"/>
      <c r="F53" s="218" t="n"/>
      <c r="G53" s="218" t="n"/>
      <c r="H53" s="218" t="n"/>
      <c r="I53" s="219" t="n"/>
    </row>
    <row r="54" ht="24" customHeight="1">
      <c r="A54" s="47" t="inlineStr">
        <is>
          <t>TCD - Daily Safety Focus:</t>
        </is>
      </c>
      <c r="B54" s="242" t="inlineStr">
        <is>
          <t>Manual Handling</t>
        </is>
      </c>
      <c r="C54" s="218" t="n"/>
      <c r="D54" s="218" t="n"/>
      <c r="E54" s="218" t="n"/>
      <c r="F54" s="218" t="n"/>
      <c r="G54" s="218" t="n"/>
      <c r="H54" s="218" t="n"/>
      <c r="I54" s="222" t="n"/>
    </row>
    <row r="55" ht="18" customHeight="1">
      <c r="A55" s="48" t="inlineStr">
        <is>
          <t xml:space="preserve">Hazards Reported: </t>
        </is>
      </c>
      <c r="B55" s="49" t="inlineStr">
        <is>
          <t>Nil</t>
        </is>
      </c>
      <c r="C55" s="242" t="n"/>
      <c r="D55" s="218" t="n"/>
      <c r="E55" s="218" t="n"/>
      <c r="F55" s="218" t="n"/>
      <c r="G55" s="218" t="n"/>
      <c r="H55" s="218" t="n"/>
      <c r="I55" s="222" t="n"/>
    </row>
    <row r="56" ht="18" customHeight="1">
      <c r="A56" s="48" t="inlineStr">
        <is>
          <t>Incident Free Days</t>
        </is>
      </c>
      <c r="B56" s="49" t="n">
        <v>5</v>
      </c>
      <c r="C56" s="241" t="n"/>
      <c r="D56" s="218" t="n"/>
      <c r="E56" s="218" t="n"/>
      <c r="F56" s="218" t="n"/>
      <c r="G56" s="218" t="n"/>
      <c r="H56" s="218" t="n"/>
      <c r="I56" s="219" t="n"/>
    </row>
    <row r="57" ht="18" customHeight="1">
      <c r="A57" s="50" t="inlineStr">
        <is>
          <t>Other Notes</t>
        </is>
      </c>
      <c r="B57" s="243" t="n"/>
      <c r="C57" s="225" t="n"/>
      <c r="D57" s="225" t="n"/>
      <c r="E57" s="225" t="n"/>
      <c r="F57" s="225" t="n"/>
      <c r="G57" s="225" t="n"/>
      <c r="H57" s="225" t="n"/>
      <c r="I57" s="226" t="n"/>
    </row>
    <row r="58" ht="20.25" customHeight="1">
      <c r="A58" s="221" t="inlineStr">
        <is>
          <t xml:space="preserve">INCIDENTS &amp; REPORTS </t>
        </is>
      </c>
      <c r="B58" s="218" t="n"/>
      <c r="C58" s="218" t="n"/>
      <c r="D58" s="218" t="n"/>
      <c r="E58" s="218" t="n"/>
      <c r="F58" s="218" t="n"/>
      <c r="G58" s="218" t="n"/>
      <c r="H58" s="218" t="n"/>
      <c r="I58" s="222" t="n"/>
    </row>
    <row r="59" ht="25" customHeight="1">
      <c r="A59" s="51" t="n"/>
      <c r="B59" s="228" t="inlineStr">
        <is>
          <t>QTY</t>
        </is>
      </c>
      <c r="C59" s="231" t="inlineStr">
        <is>
          <t>Comments</t>
        </is>
      </c>
      <c r="D59" s="218" t="n"/>
      <c r="E59" s="218" t="n"/>
      <c r="F59" s="218" t="n"/>
      <c r="G59" s="218" t="n"/>
      <c r="H59" s="218" t="n"/>
      <c r="I59" s="222" t="n"/>
    </row>
    <row r="60" ht="25" customHeight="1">
      <c r="A60" s="52" t="inlineStr">
        <is>
          <t>INCIDENT</t>
        </is>
      </c>
      <c r="B60" s="228" t="n">
        <v>0</v>
      </c>
      <c r="C60" s="246" t="inlineStr">
        <is>
          <t>NA</t>
        </is>
      </c>
      <c r="D60" s="225" t="n"/>
      <c r="E60" s="225" t="n"/>
      <c r="F60" s="225" t="n"/>
      <c r="G60" s="225" t="n"/>
      <c r="H60" s="225" t="n"/>
      <c r="I60" s="226" t="n"/>
    </row>
    <row r="61" ht="25" customHeight="1">
      <c r="A61" s="53" t="inlineStr">
        <is>
          <t>IR</t>
        </is>
      </c>
      <c r="B61" s="54" t="n">
        <v>0</v>
      </c>
      <c r="C61" s="246" t="inlineStr">
        <is>
          <t>NA</t>
        </is>
      </c>
      <c r="D61" s="225" t="n"/>
      <c r="E61" s="225" t="n"/>
      <c r="F61" s="225" t="n"/>
      <c r="G61" s="225" t="n"/>
      <c r="H61" s="225" t="n"/>
      <c r="I61" s="226" t="n"/>
    </row>
    <row r="62" ht="25" customHeight="1" thickBot="1">
      <c r="A62" s="55" t="inlineStr">
        <is>
          <t>NCR</t>
        </is>
      </c>
      <c r="B62" s="56" t="n">
        <v>0</v>
      </c>
      <c r="C62" s="247" t="inlineStr">
        <is>
          <t>NA</t>
        </is>
      </c>
      <c r="D62" s="248" t="n"/>
      <c r="E62" s="248" t="n"/>
      <c r="F62" s="248" t="n"/>
      <c r="G62" s="248" t="n"/>
      <c r="H62" s="248" t="n"/>
      <c r="I62" s="249" t="n"/>
    </row>
    <row r="63" ht="20.25" customHeight="1">
      <c r="A63" s="238" t="inlineStr">
        <is>
          <t>COMMUNICATIONS</t>
        </is>
      </c>
      <c r="B63" s="239" t="n"/>
      <c r="C63" s="239" t="n"/>
      <c r="D63" s="239" t="n"/>
      <c r="E63" s="239" t="n"/>
      <c r="F63" s="239" t="n"/>
      <c r="G63" s="239" t="n"/>
      <c r="H63" s="239" t="n"/>
      <c r="I63" s="240" t="n"/>
    </row>
    <row r="64" ht="25" customHeight="1">
      <c r="A64" s="250" t="inlineStr">
        <is>
          <t>TGS MB1119-05 Scheme D implemented</t>
        </is>
      </c>
      <c r="B64" s="218" t="n"/>
      <c r="C64" s="218" t="n"/>
      <c r="D64" s="218" t="n"/>
      <c r="E64" s="218" t="n"/>
      <c r="F64" s="218" t="n"/>
      <c r="G64" s="218" t="n"/>
      <c r="H64" s="218" t="n"/>
      <c r="I64" s="222" t="n"/>
    </row>
    <row r="65" ht="25" customHeight="1">
      <c r="A65" s="221" t="inlineStr">
        <is>
          <t>PRODUCTION (CONSTRUCTION STATUS &amp; PROGRESS)</t>
        </is>
      </c>
      <c r="B65" s="218" t="n"/>
      <c r="C65" s="218" t="n"/>
      <c r="D65" s="218" t="n"/>
      <c r="E65" s="218" t="n"/>
      <c r="F65" s="218" t="n"/>
      <c r="G65" s="218" t="n"/>
      <c r="H65" s="218" t="n"/>
      <c r="I65" s="222" t="n"/>
    </row>
    <row r="66" ht="25" customHeight="1">
      <c r="A66" s="57" t="inlineStr">
        <is>
          <t>Build up Verge post Kerbing</t>
        </is>
      </c>
      <c r="B66" s="58" t="n"/>
      <c r="C66" s="59" t="n"/>
      <c r="D66" s="59" t="n"/>
      <c r="E66" s="58" t="n"/>
      <c r="F66" s="58" t="n"/>
      <c r="G66" s="59" t="n"/>
      <c r="H66" s="58" t="n"/>
      <c r="I66" s="60" t="n"/>
    </row>
    <row r="67" ht="25" customHeight="1">
      <c r="A67" s="57" t="inlineStr">
        <is>
          <t>Exposing Retic Laterals for Future Connection</t>
        </is>
      </c>
      <c r="B67" s="58" t="n"/>
      <c r="C67" s="59" t="n"/>
      <c r="D67" s="59" t="n"/>
      <c r="E67" s="58" t="n"/>
      <c r="F67" s="58" t="n"/>
      <c r="G67" s="59" t="n"/>
      <c r="H67" s="58" t="n"/>
      <c r="I67" s="60" t="n"/>
    </row>
    <row r="68" ht="26.25" customHeight="1" thickBot="1">
      <c r="A68" s="224" t="inlineStr">
        <is>
          <t>Photos</t>
        </is>
      </c>
      <c r="B68" s="225" t="n"/>
      <c r="C68" s="225" t="n"/>
      <c r="D68" s="225" t="n"/>
      <c r="E68" s="225" t="n"/>
      <c r="F68" s="225" t="n"/>
      <c r="G68" s="225" t="n"/>
      <c r="H68" s="225" t="n"/>
      <c r="I68" s="226" t="n"/>
    </row>
    <row r="69" ht="23.25" customHeight="1">
      <c r="A69" s="61" t="n"/>
      <c r="B69" s="62" t="n"/>
      <c r="C69" s="62" t="n"/>
      <c r="D69" s="62" t="n"/>
      <c r="E69" s="62" t="n"/>
      <c r="F69" s="62" t="n"/>
      <c r="G69" s="62" t="n"/>
      <c r="H69" s="62" t="n"/>
      <c r="I69" s="63" t="n"/>
    </row>
    <row r="70" ht="23.25" customHeight="1">
      <c r="A70" s="64" t="n"/>
      <c r="B70" s="65" t="n"/>
      <c r="C70" s="65" t="n"/>
      <c r="D70" s="65" t="n"/>
      <c r="E70" s="65" t="n"/>
      <c r="F70" s="65" t="n"/>
      <c r="G70" s="65" t="n"/>
      <c r="H70" s="65" t="n"/>
      <c r="I70" s="66" t="n"/>
    </row>
    <row r="71" ht="15" customHeight="1">
      <c r="A71" s="64" t="n"/>
      <c r="B71" s="65" t="n"/>
      <c r="C71" s="65" t="n"/>
      <c r="D71" s="65" t="n"/>
      <c r="E71" s="65" t="n"/>
      <c r="F71" s="65" t="n"/>
      <c r="G71" s="65" t="n"/>
      <c r="H71" s="65" t="n"/>
      <c r="I71" s="66" t="n"/>
    </row>
    <row r="72" ht="1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H91" s="65" t="n"/>
      <c r="I91" s="66" t="n"/>
    </row>
    <row r="92" ht="25" customFormat="1" customHeight="1" s="67">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thickBot="1">
      <c r="A107" s="68" t="n"/>
      <c r="B107" s="69" t="n"/>
      <c r="C107" s="69" t="n"/>
      <c r="D107" s="69" t="n"/>
      <c r="E107" s="69" t="n"/>
      <c r="F107" s="69" t="n"/>
      <c r="G107" s="69" t="n"/>
      <c r="H107" s="69" t="n"/>
      <c r="I107" s="70"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2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8"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thickBot="1">
      <c r="A132" s="64" t="n"/>
      <c r="B132" s="65" t="n"/>
      <c r="C132" s="65" t="n"/>
      <c r="D132" s="65" t="n"/>
      <c r="E132" s="65" t="n"/>
      <c r="F132" s="65" t="n"/>
      <c r="G132" s="65" t="n"/>
      <c r="H132" s="65" t="n"/>
      <c r="I132" s="66" t="n"/>
      <c r="J132" s="71"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6" customHeight="1">
      <c r="A139" s="64" t="n"/>
      <c r="B139" s="65" t="n"/>
      <c r="C139" s="65" t="n"/>
      <c r="D139" s="65" t="n"/>
      <c r="E139" s="65" t="n"/>
      <c r="F139" s="65" t="n"/>
      <c r="G139" s="65" t="n"/>
      <c r="H139" s="65" t="n"/>
      <c r="I139" s="66" t="n"/>
    </row>
    <row r="140" ht="30.75" customHeight="1">
      <c r="A140" s="244" t="n"/>
      <c r="E140" s="245" t="n"/>
      <c r="I140" s="214" t="n"/>
    </row>
    <row r="141">
      <c r="A141" s="72" t="n"/>
      <c r="I141" s="73" t="n"/>
    </row>
    <row r="142">
      <c r="A142" s="72" t="n"/>
      <c r="I142" s="73"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I175" s="73" t="n"/>
    </row>
    <row r="176">
      <c r="A176" s="72" t="n"/>
      <c r="I176" s="73" t="n"/>
    </row>
    <row r="177">
      <c r="A177" s="72" t="n"/>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ht="16" customHeight="1" thickBot="1">
      <c r="A194" s="74" t="n"/>
      <c r="B194" s="75" t="n"/>
      <c r="C194" s="75" t="n"/>
      <c r="D194" s="75" t="n"/>
      <c r="E194" s="75" t="n"/>
      <c r="F194" s="75" t="n"/>
      <c r="G194" s="75" t="n"/>
      <c r="H194" s="75" t="n"/>
      <c r="I194" s="76" t="n"/>
    </row>
    <row r="195">
      <c r="A195" s="72" t="n"/>
      <c r="I195" s="73" t="n"/>
    </row>
    <row r="196">
      <c r="A196" s="72" t="n"/>
      <c r="I196" s="73" t="n"/>
    </row>
    <row r="197">
      <c r="A197" s="72" t="n"/>
      <c r="I197" s="73" t="n"/>
    </row>
    <row r="198">
      <c r="A198" s="72" t="n"/>
      <c r="I198" s="73" t="n"/>
    </row>
    <row r="199">
      <c r="A199" s="72" t="n"/>
      <c r="I199" s="73" t="n"/>
    </row>
    <row r="200">
      <c r="A200" s="72" t="n"/>
      <c r="I200" s="73" t="n"/>
    </row>
    <row r="201" ht="16" customHeight="1" thickBot="1">
      <c r="A201" s="74" t="n"/>
      <c r="B201" s="75" t="n"/>
      <c r="C201" s="75" t="n"/>
      <c r="D201" s="75" t="n"/>
      <c r="E201" s="75" t="n"/>
      <c r="F201" s="75" t="n"/>
      <c r="G201" s="75" t="n"/>
      <c r="H201" s="75" t="n"/>
      <c r="I201" s="76" t="n"/>
    </row>
  </sheetData>
  <mergeCells count="39">
    <mergeCell ref="C61:I61"/>
    <mergeCell ref="A65:I65"/>
    <mergeCell ref="D13:F13"/>
    <mergeCell ref="G13:I13"/>
    <mergeCell ref="B8:D8"/>
    <mergeCell ref="B54:I54"/>
    <mergeCell ref="A140:D140"/>
    <mergeCell ref="A12:I12"/>
    <mergeCell ref="B43:C43"/>
    <mergeCell ref="D43:I43"/>
    <mergeCell ref="E140:I140"/>
    <mergeCell ref="A47:I47"/>
    <mergeCell ref="A5:I5"/>
    <mergeCell ref="A46:B46"/>
    <mergeCell ref="B9:D9"/>
    <mergeCell ref="A48:I51"/>
    <mergeCell ref="C62:I62"/>
    <mergeCell ref="B57:I57"/>
    <mergeCell ref="B6:D6"/>
    <mergeCell ref="A52:I52"/>
    <mergeCell ref="B44:C44"/>
    <mergeCell ref="A13:C13"/>
    <mergeCell ref="B53:I53"/>
    <mergeCell ref="A68:I68"/>
    <mergeCell ref="A63:I63"/>
    <mergeCell ref="A10:I10"/>
    <mergeCell ref="A1:I4"/>
    <mergeCell ref="A58:I58"/>
    <mergeCell ref="D44:I44"/>
    <mergeCell ref="B7:D7"/>
    <mergeCell ref="C55:I55"/>
    <mergeCell ref="A64:I64"/>
    <mergeCell ref="A11:I11"/>
    <mergeCell ref="D46:I46"/>
    <mergeCell ref="C56:I56"/>
    <mergeCell ref="C59:I59"/>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7" min="0" max="8" man="1"/>
  </rowBreaks>
</worksheet>
</file>

<file path=xl/worksheets/sheet5.xml><?xml version="1.0" encoding="utf-8"?>
<worksheet xmlns="http://schemas.openxmlformats.org/spreadsheetml/2006/main">
  <sheetPr>
    <outlinePr summaryBelow="1" summaryRight="1"/>
    <pageSetUpPr fitToPage="1"/>
  </sheetPr>
  <dimension ref="A1:J204"/>
  <sheetViews>
    <sheetView view="pageBreakPreview" zoomScale="40" zoomScaleNormal="55" zoomScaleSheetLayoutView="40" workbookViewId="0">
      <selection activeCell="A66" sqref="A66:A70"/>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45936</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124</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52km/h SSW Precip: 2.4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c r="D16" s="20" t="inlineStr">
        <is>
          <t>Hanly,Thomas</t>
        </is>
      </c>
      <c r="E16" s="18" t="inlineStr">
        <is>
          <t>Operator</t>
        </is>
      </c>
      <c r="F16" s="18" t="n"/>
      <c r="G16" s="20" t="inlineStr">
        <is>
          <t>Mosley,Joshua</t>
        </is>
      </c>
      <c r="H16" s="18" t="inlineStr">
        <is>
          <t>Surveyor</t>
        </is>
      </c>
      <c r="I16" s="21" t="n">
        <v>2</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Vermeer, Paul</t>
        </is>
      </c>
      <c r="H19" s="18" t="inlineStr">
        <is>
          <t>Labourer</t>
        </is>
      </c>
      <c r="I19" s="21" t="n">
        <v>11</v>
      </c>
    </row>
    <row r="20" ht="23.25" customHeight="1">
      <c r="A20" s="17" t="inlineStr">
        <is>
          <t>SKINNER,Jamie</t>
        </is>
      </c>
      <c r="B20" s="18" t="inlineStr">
        <is>
          <t>Supervisor</t>
        </is>
      </c>
      <c r="C20" s="22" t="n">
        <v>12</v>
      </c>
      <c r="D20" s="23" t="n"/>
      <c r="E20" s="23" t="n"/>
      <c r="F20" s="18" t="n"/>
      <c r="G20" s="20" t="inlineStr">
        <is>
          <t>Goodwin, Noah</t>
        </is>
      </c>
      <c r="H20" s="18" t="inlineStr">
        <is>
          <t>Labourer</t>
        </is>
      </c>
      <c r="I20" s="21" t="n">
        <v>10</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6</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5</v>
      </c>
      <c r="D35" s="22" t="n"/>
      <c r="E35" s="22" t="n"/>
      <c r="F35" s="22" t="n"/>
      <c r="G35" s="22" t="inlineStr">
        <is>
          <t>Hydrocarbon Bund</t>
        </is>
      </c>
      <c r="H35" s="22" t="n"/>
      <c r="I35" s="21" t="n">
        <v>1</v>
      </c>
    </row>
    <row r="36" ht="23.25" customHeight="1">
      <c r="A36" s="40" t="inlineStr">
        <is>
          <t>1 t Excavator</t>
        </is>
      </c>
      <c r="B36" s="22" t="inlineStr">
        <is>
          <t>SLS03</t>
        </is>
      </c>
      <c r="C36" s="22" t="n">
        <v>4</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3</v>
      </c>
      <c r="D38" s="22" t="n"/>
      <c r="E38" s="22" t="n"/>
      <c r="F38" s="22" t="n"/>
      <c r="G38" s="41" t="n"/>
      <c r="H38" s="41" t="n"/>
      <c r="I38" s="42" t="n"/>
    </row>
    <row r="39" ht="24" customHeight="1">
      <c r="A39" s="40" t="inlineStr">
        <is>
          <t>Roller (1.5t)</t>
        </is>
      </c>
      <c r="B39" s="22" t="inlineStr">
        <is>
          <t>R538</t>
        </is>
      </c>
      <c r="C39" s="22" t="n">
        <v>4</v>
      </c>
      <c r="D39" s="22" t="n"/>
      <c r="E39" s="22" t="n"/>
      <c r="F39" s="22" t="n"/>
      <c r="G39" s="41" t="n"/>
      <c r="H39" s="41" t="n"/>
      <c r="I39" s="42" t="n"/>
    </row>
    <row r="40" ht="24" customHeight="1">
      <c r="A40" s="40" t="inlineStr">
        <is>
          <t>5t Excavator</t>
        </is>
      </c>
      <c r="B40" s="22" t="inlineStr">
        <is>
          <t>A118</t>
        </is>
      </c>
      <c r="C40" s="22" t="n"/>
      <c r="D40" s="22" t="n"/>
      <c r="E40" s="22" t="n"/>
      <c r="F40" s="22" t="n"/>
      <c r="G40" s="41" t="n"/>
      <c r="H40" s="41" t="n"/>
      <c r="I40" s="42" t="n"/>
    </row>
    <row r="41" ht="24" customHeight="1">
      <c r="A41" s="38" t="inlineStr">
        <is>
          <t>Positrak SSL</t>
        </is>
      </c>
      <c r="B41" s="22" t="inlineStr">
        <is>
          <t>SSL08</t>
        </is>
      </c>
      <c r="C41" s="18" t="n">
        <v>5</v>
      </c>
      <c r="D41" s="22" t="n"/>
      <c r="E41" s="22" t="n"/>
      <c r="F41" s="22" t="n"/>
      <c r="G41" s="41" t="n"/>
      <c r="H41" s="41" t="n"/>
      <c r="I41" s="42" t="n"/>
    </row>
    <row r="42" ht="24" customHeight="1">
      <c r="A42" s="38" t="n"/>
      <c r="B42" s="22" t="n"/>
      <c r="C42" s="18" t="n"/>
      <c r="D42" s="41" t="n"/>
      <c r="E42" s="41" t="n"/>
      <c r="F42" s="41" t="n"/>
      <c r="G42" s="41" t="n"/>
      <c r="H42" s="41" t="n"/>
      <c r="I42" s="42" t="n"/>
    </row>
    <row r="43" ht="18" customHeight="1">
      <c r="A43" s="43" t="n">
        <v>0</v>
      </c>
      <c r="B43" s="229" t="inlineStr">
        <is>
          <t xml:space="preserve">Repairs Required </t>
        </is>
      </c>
      <c r="C43" s="219" t="n"/>
      <c r="D43" s="230" t="inlineStr">
        <is>
          <t>N/A</t>
        </is>
      </c>
      <c r="E43" s="218" t="n"/>
      <c r="F43" s="218" t="n"/>
      <c r="G43" s="218" t="n"/>
      <c r="H43" s="218" t="n"/>
      <c r="I43" s="222" t="n"/>
    </row>
    <row r="44" ht="18" customHeight="1">
      <c r="A44" s="44" t="n">
        <v>0</v>
      </c>
      <c r="B44" s="229" t="inlineStr">
        <is>
          <t>Scheduled Service</t>
        </is>
      </c>
      <c r="C44" s="219" t="n"/>
      <c r="D44" s="230" t="inlineStr">
        <is>
          <t>N/A</t>
        </is>
      </c>
      <c r="E44" s="218" t="n"/>
      <c r="F44" s="218" t="n"/>
      <c r="G44" s="218" t="n"/>
      <c r="H44" s="218" t="n"/>
      <c r="I44" s="222" t="n"/>
    </row>
    <row r="45" ht="18" customHeight="1">
      <c r="A45" s="45" t="n">
        <v>0</v>
      </c>
      <c r="B45" s="229" t="n"/>
      <c r="C45" s="219" t="n"/>
      <c r="D45" s="230" t="inlineStr">
        <is>
          <t>N/A</t>
        </is>
      </c>
      <c r="E45" s="218" t="n"/>
      <c r="F45" s="218" t="n"/>
      <c r="G45" s="218" t="n"/>
      <c r="H45" s="218" t="n"/>
      <c r="I45" s="222" t="n"/>
    </row>
    <row r="46" ht="23.25" customHeight="1">
      <c r="A46" s="232" t="inlineStr">
        <is>
          <t xml:space="preserve">Total Plant and Equipment Hours: </t>
        </is>
      </c>
      <c r="B46" s="219" t="n"/>
      <c r="C46" s="46">
        <f>SUM(C31:C42)</f>
        <v/>
      </c>
      <c r="D46" s="233" t="n"/>
      <c r="E46" s="218" t="n"/>
      <c r="F46" s="218" t="n"/>
      <c r="G46" s="218" t="n"/>
      <c r="H46" s="218" t="n"/>
      <c r="I46" s="222" t="n"/>
    </row>
    <row r="47" ht="25" customHeight="1">
      <c r="A47" s="221" t="inlineStr">
        <is>
          <t>DELAYS-OPPORTUNITY</t>
        </is>
      </c>
      <c r="B47" s="218" t="n"/>
      <c r="C47" s="218" t="n"/>
      <c r="D47" s="218" t="n"/>
      <c r="E47" s="218" t="n"/>
      <c r="F47" s="218" t="n"/>
      <c r="G47" s="218" t="n"/>
      <c r="H47" s="218" t="n"/>
      <c r="I47" s="222" t="n"/>
    </row>
    <row r="48" ht="15" customHeight="1" thickBot="1">
      <c r="A48"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8" s="225" t="n"/>
      <c r="C48" s="225" t="n"/>
      <c r="D48" s="225" t="n"/>
      <c r="E48" s="225" t="n"/>
      <c r="F48" s="225" t="n"/>
      <c r="G48" s="225" t="n"/>
      <c r="H48" s="225" t="n"/>
      <c r="I48" s="226" t="n"/>
    </row>
    <row r="49">
      <c r="A49" s="212" t="n"/>
      <c r="I49" s="214" t="n"/>
    </row>
    <row r="50" ht="49.5" customHeight="1">
      <c r="A50" s="212" t="n"/>
      <c r="I50" s="214" t="n"/>
    </row>
    <row r="51" ht="84" customHeight="1" thickBot="1">
      <c r="A51" s="235" t="n"/>
      <c r="B51" s="236" t="n"/>
      <c r="C51" s="236" t="n"/>
      <c r="D51" s="236" t="n"/>
      <c r="E51" s="236" t="n"/>
      <c r="F51" s="236" t="n"/>
      <c r="G51" s="236" t="n"/>
      <c r="H51" s="236" t="n"/>
      <c r="I51" s="237" t="n"/>
    </row>
    <row r="52" ht="25" customHeight="1">
      <c r="A52" s="238" t="inlineStr">
        <is>
          <t>HSEQ MESSAGES</t>
        </is>
      </c>
      <c r="B52" s="239" t="n"/>
      <c r="C52" s="239" t="n"/>
      <c r="D52" s="239" t="n"/>
      <c r="E52" s="239" t="n"/>
      <c r="F52" s="239" t="n"/>
      <c r="G52" s="239" t="n"/>
      <c r="H52" s="239" t="n"/>
      <c r="I52" s="240" t="n"/>
    </row>
    <row r="53" ht="18" customHeight="1">
      <c r="A53" s="47" t="inlineStr">
        <is>
          <t>TCD - Monthly Safety Focus:</t>
        </is>
      </c>
      <c r="B53" s="241" t="inlineStr">
        <is>
          <t>Prestart Checks</t>
        </is>
      </c>
      <c r="C53" s="218" t="n"/>
      <c r="D53" s="218" t="n"/>
      <c r="E53" s="218" t="n"/>
      <c r="F53" s="218" t="n"/>
      <c r="G53" s="218" t="n"/>
      <c r="H53" s="218" t="n"/>
      <c r="I53" s="219" t="n"/>
    </row>
    <row r="54" ht="24" customHeight="1">
      <c r="A54" s="47" t="inlineStr">
        <is>
          <t>TCD - Daily Safety Focus:</t>
        </is>
      </c>
      <c r="B54" s="242" t="inlineStr">
        <is>
          <t>Manual Handling</t>
        </is>
      </c>
      <c r="C54" s="218" t="n"/>
      <c r="D54" s="218" t="n"/>
      <c r="E54" s="218" t="n"/>
      <c r="F54" s="218" t="n"/>
      <c r="G54" s="218" t="n"/>
      <c r="H54" s="218" t="n"/>
      <c r="I54" s="222" t="n"/>
    </row>
    <row r="55" ht="18" customHeight="1">
      <c r="A55" s="48" t="inlineStr">
        <is>
          <t xml:space="preserve">Hazards Reported: </t>
        </is>
      </c>
      <c r="B55" s="49" t="inlineStr">
        <is>
          <t>Nil</t>
        </is>
      </c>
      <c r="C55" s="242" t="n"/>
      <c r="D55" s="218" t="n"/>
      <c r="E55" s="218" t="n"/>
      <c r="F55" s="218" t="n"/>
      <c r="G55" s="218" t="n"/>
      <c r="H55" s="218" t="n"/>
      <c r="I55" s="222" t="n"/>
    </row>
    <row r="56" ht="18" customHeight="1">
      <c r="A56" s="48" t="inlineStr">
        <is>
          <t>Incident Free Days</t>
        </is>
      </c>
      <c r="B56" s="49" t="n">
        <v>6</v>
      </c>
      <c r="C56" s="241" t="n"/>
      <c r="D56" s="218" t="n"/>
      <c r="E56" s="218" t="n"/>
      <c r="F56" s="218" t="n"/>
      <c r="G56" s="218" t="n"/>
      <c r="H56" s="218" t="n"/>
      <c r="I56" s="219" t="n"/>
    </row>
    <row r="57" ht="18" customHeight="1">
      <c r="A57" s="50" t="inlineStr">
        <is>
          <t>Other Notes</t>
        </is>
      </c>
      <c r="B57" s="243" t="n"/>
      <c r="C57" s="225" t="n"/>
      <c r="D57" s="225" t="n"/>
      <c r="E57" s="225" t="n"/>
      <c r="F57" s="225" t="n"/>
      <c r="G57" s="225" t="n"/>
      <c r="H57" s="225" t="n"/>
      <c r="I57" s="226" t="n"/>
    </row>
    <row r="58" ht="20.25" customHeight="1">
      <c r="A58" s="221" t="inlineStr">
        <is>
          <t xml:space="preserve">INCIDENTS &amp; REPORTS </t>
        </is>
      </c>
      <c r="B58" s="218" t="n"/>
      <c r="C58" s="218" t="n"/>
      <c r="D58" s="218" t="n"/>
      <c r="E58" s="218" t="n"/>
      <c r="F58" s="218" t="n"/>
      <c r="G58" s="218" t="n"/>
      <c r="H58" s="218" t="n"/>
      <c r="I58" s="222" t="n"/>
    </row>
    <row r="59" ht="25" customHeight="1">
      <c r="A59" s="51" t="n"/>
      <c r="B59" s="228" t="inlineStr">
        <is>
          <t>QTY</t>
        </is>
      </c>
      <c r="C59" s="231" t="inlineStr">
        <is>
          <t>Comments</t>
        </is>
      </c>
      <c r="D59" s="218" t="n"/>
      <c r="E59" s="218" t="n"/>
      <c r="F59" s="218" t="n"/>
      <c r="G59" s="218" t="n"/>
      <c r="H59" s="218" t="n"/>
      <c r="I59" s="222" t="n"/>
    </row>
    <row r="60" ht="25" customHeight="1">
      <c r="A60" s="52" t="inlineStr">
        <is>
          <t>INCIDENT</t>
        </is>
      </c>
      <c r="B60" s="228" t="n">
        <v>0</v>
      </c>
      <c r="C60" s="246" t="inlineStr">
        <is>
          <t>NA</t>
        </is>
      </c>
      <c r="D60" s="225" t="n"/>
      <c r="E60" s="225" t="n"/>
      <c r="F60" s="225" t="n"/>
      <c r="G60" s="225" t="n"/>
      <c r="H60" s="225" t="n"/>
      <c r="I60" s="226" t="n"/>
    </row>
    <row r="61" ht="25" customHeight="1">
      <c r="A61" s="53" t="inlineStr">
        <is>
          <t>IR</t>
        </is>
      </c>
      <c r="B61" s="54" t="n">
        <v>0</v>
      </c>
      <c r="C61" s="246" t="inlineStr">
        <is>
          <t>NA</t>
        </is>
      </c>
      <c r="D61" s="225" t="n"/>
      <c r="E61" s="225" t="n"/>
      <c r="F61" s="225" t="n"/>
      <c r="G61" s="225" t="n"/>
      <c r="H61" s="225" t="n"/>
      <c r="I61" s="226" t="n"/>
    </row>
    <row r="62" ht="25" customHeight="1" thickBot="1">
      <c r="A62" s="55" t="inlineStr">
        <is>
          <t>NCR</t>
        </is>
      </c>
      <c r="B62" s="56" t="n">
        <v>0</v>
      </c>
      <c r="C62" s="247" t="inlineStr">
        <is>
          <t>NA</t>
        </is>
      </c>
      <c r="D62" s="248" t="n"/>
      <c r="E62" s="248" t="n"/>
      <c r="F62" s="248" t="n"/>
      <c r="G62" s="248" t="n"/>
      <c r="H62" s="248" t="n"/>
      <c r="I62" s="249" t="n"/>
    </row>
    <row r="63" ht="20.25" customHeight="1">
      <c r="A63" s="238" t="inlineStr">
        <is>
          <t>COMMUNICATIONS</t>
        </is>
      </c>
      <c r="B63" s="239" t="n"/>
      <c r="C63" s="239" t="n"/>
      <c r="D63" s="239" t="n"/>
      <c r="E63" s="239" t="n"/>
      <c r="F63" s="239" t="n"/>
      <c r="G63" s="239" t="n"/>
      <c r="H63" s="239" t="n"/>
      <c r="I63" s="240" t="n"/>
    </row>
    <row r="64" ht="25" customHeight="1">
      <c r="A64" s="250" t="inlineStr">
        <is>
          <t>TGS MB1119-05 Scheme D implemented</t>
        </is>
      </c>
      <c r="B64" s="218" t="n"/>
      <c r="C64" s="218" t="n"/>
      <c r="D64" s="218" t="n"/>
      <c r="E64" s="218" t="n"/>
      <c r="F64" s="218" t="n"/>
      <c r="G64" s="218" t="n"/>
      <c r="H64" s="218" t="n"/>
      <c r="I64" s="222" t="n"/>
    </row>
    <row r="65" ht="25" customHeight="1">
      <c r="A65" s="221" t="inlineStr">
        <is>
          <t>PRODUCTION (CONSTRUCTION STATUS &amp; PROGRESS)</t>
        </is>
      </c>
      <c r="B65" s="218" t="n"/>
      <c r="C65" s="218" t="n"/>
      <c r="D65" s="218" t="n"/>
      <c r="E65" s="218" t="n"/>
      <c r="F65" s="218" t="n"/>
      <c r="G65" s="218" t="n"/>
      <c r="H65" s="218" t="n"/>
      <c r="I65" s="222" t="n"/>
    </row>
    <row r="66" ht="25" customHeight="1">
      <c r="A66" s="57" t="inlineStr">
        <is>
          <t>Setting Lids Bayley Street End</t>
        </is>
      </c>
      <c r="B66" s="58" t="n"/>
      <c r="C66" s="59" t="n"/>
      <c r="D66" s="59" t="n"/>
      <c r="E66" s="58" t="n"/>
      <c r="F66" s="58" t="n"/>
      <c r="G66" s="59" t="n"/>
      <c r="H66" s="58" t="n"/>
      <c r="I66" s="60" t="n"/>
    </row>
    <row r="67" ht="25" customHeight="1">
      <c r="A67" s="57" t="inlineStr">
        <is>
          <t>Build up Verge post Kerbing</t>
        </is>
      </c>
      <c r="B67" s="58" t="n"/>
      <c r="C67" s="59" t="n"/>
      <c r="D67" s="59" t="n"/>
      <c r="E67" s="58" t="n"/>
      <c r="F67" s="58" t="n"/>
      <c r="G67" s="59" t="n"/>
      <c r="H67" s="58" t="n"/>
      <c r="I67" s="60" t="n"/>
    </row>
    <row r="68" ht="25" customHeight="1">
      <c r="A68" s="57" t="inlineStr">
        <is>
          <t>Setting of NBN Pits</t>
        </is>
      </c>
      <c r="B68" s="58" t="n"/>
      <c r="C68" s="59" t="n"/>
      <c r="D68" s="59" t="n"/>
      <c r="E68" s="58" t="n"/>
      <c r="F68" s="58" t="n"/>
      <c r="G68" s="59" t="n"/>
      <c r="H68" s="58" t="n"/>
      <c r="I68" s="60" t="n"/>
    </row>
    <row r="69" ht="25" customHeight="1">
      <c r="A69" s="57" t="inlineStr">
        <is>
          <t>Strip Formwork to Wombat Ramps</t>
        </is>
      </c>
      <c r="B69" s="58" t="n"/>
      <c r="C69" s="59" t="n"/>
      <c r="D69" s="59" t="n"/>
      <c r="E69" s="58" t="n"/>
      <c r="F69" s="58" t="n"/>
      <c r="G69" s="59" t="n"/>
      <c r="H69" s="58" t="n"/>
      <c r="I69" s="60" t="n"/>
    </row>
    <row r="70" ht="25" customHeight="1">
      <c r="A70" s="57" t="inlineStr">
        <is>
          <t>Trenching of Kerbing</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A65:I65"/>
    <mergeCell ref="D13:F13"/>
    <mergeCell ref="G13:I13"/>
    <mergeCell ref="B8:D8"/>
    <mergeCell ref="B54:I54"/>
    <mergeCell ref="A12:I12"/>
    <mergeCell ref="B43:C43"/>
    <mergeCell ref="D43:I43"/>
    <mergeCell ref="A71:I71"/>
    <mergeCell ref="A47:I47"/>
    <mergeCell ref="A5:I5"/>
    <mergeCell ref="A143:D143"/>
    <mergeCell ref="E143:I143"/>
    <mergeCell ref="A46:B46"/>
    <mergeCell ref="B9:D9"/>
    <mergeCell ref="A48:I51"/>
    <mergeCell ref="C62:I62"/>
    <mergeCell ref="B57:I57"/>
    <mergeCell ref="B6:D6"/>
    <mergeCell ref="A52:I52"/>
    <mergeCell ref="B44:C44"/>
    <mergeCell ref="A13:C13"/>
    <mergeCell ref="B53:I53"/>
    <mergeCell ref="A63:I63"/>
    <mergeCell ref="A10:I10"/>
    <mergeCell ref="A1:I4"/>
    <mergeCell ref="A58:I58"/>
    <mergeCell ref="D44:I44"/>
    <mergeCell ref="B7:D7"/>
    <mergeCell ref="C55:I55"/>
    <mergeCell ref="A64:I64"/>
    <mergeCell ref="A11:I11"/>
    <mergeCell ref="D46:I46"/>
    <mergeCell ref="C56:I56"/>
    <mergeCell ref="C59:I59"/>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6.xml><?xml version="1.0" encoding="utf-8"?>
<worksheet xmlns="http://schemas.openxmlformats.org/spreadsheetml/2006/main">
  <sheetPr>
    <outlinePr summaryBelow="1" summaryRight="1"/>
    <pageSetUpPr fitToPage="1"/>
  </sheetPr>
  <dimension ref="A1:J203"/>
  <sheetViews>
    <sheetView view="pageBreakPreview" zoomScale="40" zoomScaleNormal="55" zoomScaleSheetLayoutView="40" workbookViewId="0">
      <selection activeCell="A65" sqref="A65:A69"/>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45937</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125</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46km/h SSW Precip: 0.2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c r="D16" s="20" t="inlineStr">
        <is>
          <t>Hanly,Thomas</t>
        </is>
      </c>
      <c r="E16" s="18" t="inlineStr">
        <is>
          <t>Operator</t>
        </is>
      </c>
      <c r="F16" s="18" t="n">
        <v>12</v>
      </c>
      <c r="G16" s="20" t="inlineStr">
        <is>
          <t>Mosley,Joshua</t>
        </is>
      </c>
      <c r="H16" s="18" t="inlineStr">
        <is>
          <t>Surveyor</t>
        </is>
      </c>
      <c r="I16" s="21" t="n">
        <v>2</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Vermeer, Paul</t>
        </is>
      </c>
      <c r="H19" s="18" t="inlineStr">
        <is>
          <t>Labourer</t>
        </is>
      </c>
      <c r="I19" s="21" t="n">
        <v>11</v>
      </c>
    </row>
    <row r="20" ht="23.25" customHeight="1">
      <c r="A20" s="17" t="inlineStr">
        <is>
          <t>SKINNER,Jamie</t>
        </is>
      </c>
      <c r="B20" s="18" t="inlineStr">
        <is>
          <t>Supervisor</t>
        </is>
      </c>
      <c r="C20" s="22" t="n">
        <v>12</v>
      </c>
      <c r="D20" s="23" t="n"/>
      <c r="E20" s="23" t="n"/>
      <c r="F20" s="18" t="n"/>
      <c r="G20" s="20" t="inlineStr">
        <is>
          <t>Goodwin, Noah</t>
        </is>
      </c>
      <c r="H20" s="18" t="inlineStr">
        <is>
          <t>Labourer</t>
        </is>
      </c>
      <c r="I20" s="21" t="n">
        <v>10</v>
      </c>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30</v>
      </c>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2</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5</v>
      </c>
      <c r="D35" s="22" t="n"/>
      <c r="E35" s="22" t="n"/>
      <c r="F35" s="22" t="n"/>
      <c r="G35" s="22" t="inlineStr">
        <is>
          <t>Hydrocarbon Bund</t>
        </is>
      </c>
      <c r="H35" s="22" t="n"/>
      <c r="I35" s="21" t="n">
        <v>1</v>
      </c>
    </row>
    <row r="36" ht="23.25" customHeight="1">
      <c r="A36" s="40" t="inlineStr">
        <is>
          <t>1 t Excavator</t>
        </is>
      </c>
      <c r="B36" s="22" t="inlineStr">
        <is>
          <t>SLS03</t>
        </is>
      </c>
      <c r="C36" s="22" t="n">
        <v>8</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c r="D38" s="22" t="n"/>
      <c r="E38" s="22" t="n"/>
      <c r="F38" s="22" t="n"/>
      <c r="G38" s="41" t="n"/>
      <c r="H38" s="41" t="n"/>
      <c r="I38" s="42" t="n"/>
    </row>
    <row r="39" ht="24" customHeight="1">
      <c r="A39" s="40" t="inlineStr">
        <is>
          <t>Roller (1.5t)</t>
        </is>
      </c>
      <c r="B39" s="22" t="inlineStr">
        <is>
          <t>R538</t>
        </is>
      </c>
      <c r="C39" s="22" t="n">
        <v>2</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49.5" customHeight="1">
      <c r="A49" s="212" t="n"/>
      <c r="I49" s="214" t="n"/>
    </row>
    <row r="50"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7</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Setting Lids Bayley Street End</t>
        </is>
      </c>
      <c r="B65" s="58" t="n"/>
      <c r="C65" s="59" t="n"/>
      <c r="D65" s="59" t="n"/>
      <c r="E65" s="58" t="n"/>
      <c r="F65" s="58" t="n"/>
      <c r="G65" s="59" t="n"/>
      <c r="H65" s="58" t="n"/>
      <c r="I65" s="60" t="n"/>
    </row>
    <row r="66" ht="25" customHeight="1">
      <c r="A66" s="57" t="inlineStr">
        <is>
          <t>Build up Verge post Kerbing</t>
        </is>
      </c>
      <c r="B66" s="58" t="n"/>
      <c r="C66" s="59" t="n"/>
      <c r="D66" s="59" t="n"/>
      <c r="E66" s="58" t="n"/>
      <c r="F66" s="58" t="n"/>
      <c r="G66" s="59" t="n"/>
      <c r="H66" s="58" t="n"/>
      <c r="I66" s="60" t="n"/>
    </row>
    <row r="67" ht="25" customHeight="1">
      <c r="A67" s="57" t="inlineStr">
        <is>
          <t>Kerbing Works</t>
        </is>
      </c>
      <c r="B67" s="58" t="n"/>
      <c r="C67" s="59" t="n"/>
      <c r="D67" s="59" t="n"/>
      <c r="E67" s="58" t="n"/>
      <c r="F67" s="58" t="n"/>
      <c r="G67" s="59" t="n"/>
      <c r="H67" s="58" t="n"/>
      <c r="I67" s="60" t="n"/>
    </row>
    <row r="68" ht="25" customHeight="1">
      <c r="A68" s="57" t="inlineStr">
        <is>
          <t>Setting Pits</t>
        </is>
      </c>
      <c r="B68" s="58" t="n"/>
      <c r="C68" s="59" t="n"/>
      <c r="D68" s="59" t="n"/>
      <c r="E68" s="58" t="n"/>
      <c r="F68" s="58" t="n"/>
      <c r="G68" s="59" t="n"/>
      <c r="H68" s="58" t="n"/>
      <c r="I68" s="60" t="n"/>
    </row>
    <row r="69" ht="25" customHeight="1">
      <c r="A69" s="57" t="inlineStr">
        <is>
          <t>Trenching of Garden Beds</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C61:I61"/>
    <mergeCell ref="D13:F13"/>
    <mergeCell ref="G13:I13"/>
    <mergeCell ref="A46:I46"/>
    <mergeCell ref="B8:D8"/>
    <mergeCell ref="A45:B45"/>
    <mergeCell ref="A47:I50"/>
    <mergeCell ref="E142:I142"/>
    <mergeCell ref="A12:I12"/>
    <mergeCell ref="B43:C43"/>
    <mergeCell ref="B56:I56"/>
    <mergeCell ref="D43:I43"/>
    <mergeCell ref="B52:I52"/>
    <mergeCell ref="A57:I57"/>
    <mergeCell ref="A5:I5"/>
    <mergeCell ref="B42:C42"/>
    <mergeCell ref="B9:D9"/>
    <mergeCell ref="A142:D142"/>
    <mergeCell ref="B6:D6"/>
    <mergeCell ref="A62:I62"/>
    <mergeCell ref="C58:I58"/>
    <mergeCell ref="B44:C44"/>
    <mergeCell ref="A13:C13"/>
    <mergeCell ref="D42:I42"/>
    <mergeCell ref="B53:I53"/>
    <mergeCell ref="A63:I63"/>
    <mergeCell ref="A10:I10"/>
    <mergeCell ref="A1:I4"/>
    <mergeCell ref="C54:I54"/>
    <mergeCell ref="D44:I44"/>
    <mergeCell ref="B7:D7"/>
    <mergeCell ref="C55:I55"/>
    <mergeCell ref="A64:I64"/>
    <mergeCell ref="A11:I11"/>
    <mergeCell ref="A51:I51"/>
    <mergeCell ref="C59:I59"/>
    <mergeCell ref="D45:I45"/>
    <mergeCell ref="A70:I70"/>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7.xml><?xml version="1.0" encoding="utf-8"?>
<worksheet xmlns="http://schemas.openxmlformats.org/spreadsheetml/2006/main">
  <sheetPr>
    <outlinePr summaryBelow="1" summaryRight="1"/>
    <pageSetUpPr fitToPage="1"/>
  </sheetPr>
  <dimension ref="A1:J203"/>
  <sheetViews>
    <sheetView view="pageBreakPreview" zoomScale="40" zoomScaleNormal="55" zoomScaleSheetLayoutView="40" workbookViewId="0">
      <selection activeCell="I6" sqref="I6"/>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45938</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126</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46km/h SSW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c r="D16" s="20" t="inlineStr">
        <is>
          <t>Hanly,Thomas</t>
        </is>
      </c>
      <c r="E16" s="18" t="inlineStr">
        <is>
          <t>Operator</t>
        </is>
      </c>
      <c r="F16" s="18" t="n">
        <v>12</v>
      </c>
      <c r="G16" s="20" t="inlineStr">
        <is>
          <t>Mosley,Joshua</t>
        </is>
      </c>
      <c r="H16" s="18" t="inlineStr">
        <is>
          <t>Surveyor</t>
        </is>
      </c>
      <c r="I16" s="21" t="n">
        <v>2</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Vermeer, Paul</t>
        </is>
      </c>
      <c r="H19" s="18" t="inlineStr">
        <is>
          <t>Labourer</t>
        </is>
      </c>
      <c r="I19" s="21" t="n">
        <v>11</v>
      </c>
    </row>
    <row r="20" ht="23.25" customHeight="1">
      <c r="A20" s="17" t="inlineStr">
        <is>
          <t>SKINNER,Jamie</t>
        </is>
      </c>
      <c r="B20" s="18" t="inlineStr">
        <is>
          <t>Supervisor</t>
        </is>
      </c>
      <c r="C20" s="22" t="n">
        <v>12</v>
      </c>
      <c r="D20" s="23" t="n"/>
      <c r="E20" s="23" t="n"/>
      <c r="F20" s="18" t="n"/>
      <c r="G20" s="20" t="inlineStr">
        <is>
          <t>Goodwin, Noah</t>
        </is>
      </c>
      <c r="H20" s="18" t="inlineStr">
        <is>
          <t>Labourer</t>
        </is>
      </c>
      <c r="I20" s="21" t="n">
        <v>10</v>
      </c>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30</v>
      </c>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4</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3</v>
      </c>
      <c r="D35" s="22" t="n"/>
      <c r="E35" s="22" t="n"/>
      <c r="F35" s="22" t="n"/>
      <c r="G35" s="22" t="inlineStr">
        <is>
          <t>Hydrocarbon Bund</t>
        </is>
      </c>
      <c r="H35" s="22" t="n"/>
      <c r="I35" s="21" t="n">
        <v>1</v>
      </c>
    </row>
    <row r="36" ht="23.25" customHeight="1">
      <c r="A36" s="40" t="inlineStr">
        <is>
          <t>1 t Excavator</t>
        </is>
      </c>
      <c r="B36" s="22" t="inlineStr">
        <is>
          <t>SLS03</t>
        </is>
      </c>
      <c r="C36" s="22" t="n">
        <v>7</v>
      </c>
      <c r="D36" s="22" t="n"/>
      <c r="E36" s="22" t="n"/>
      <c r="F36" s="22" t="n"/>
      <c r="G36" s="22" t="inlineStr">
        <is>
          <t>Temp Fence</t>
        </is>
      </c>
      <c r="H36" s="18" t="n"/>
      <c r="I36" s="21" t="n">
        <v>1</v>
      </c>
    </row>
    <row r="37" ht="23.25" customHeight="1">
      <c r="A37" s="40" t="inlineStr">
        <is>
          <t>8T Excavator (Wheeled)</t>
        </is>
      </c>
      <c r="B37" s="22" t="inlineStr">
        <is>
          <t>BCC12</t>
        </is>
      </c>
      <c r="C37" s="22" t="n">
        <v>7</v>
      </c>
      <c r="D37" s="22" t="n"/>
      <c r="E37" s="22" t="n"/>
      <c r="F37" s="22" t="n"/>
      <c r="G37" s="22" t="n"/>
      <c r="H37" s="18" t="n"/>
      <c r="I37" s="21" t="n"/>
    </row>
    <row r="38" ht="24" customHeight="1">
      <c r="A38" s="40" t="inlineStr">
        <is>
          <t>14t Excavator with GPS</t>
        </is>
      </c>
      <c r="B38" s="22" t="inlineStr">
        <is>
          <t>EX153</t>
        </is>
      </c>
      <c r="C38" s="22" t="n"/>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4</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49.5" customHeight="1">
      <c r="A49" s="212" t="n"/>
      <c r="I49" s="214" t="n"/>
    </row>
    <row r="50"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8</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Build up Verge post Kerbing</t>
        </is>
      </c>
      <c r="B65" s="58" t="n"/>
      <c r="C65" s="59" t="n"/>
      <c r="D65" s="59" t="n"/>
      <c r="E65" s="58" t="n"/>
      <c r="F65" s="58" t="n"/>
      <c r="G65" s="59" t="n"/>
      <c r="H65" s="58" t="n"/>
      <c r="I65" s="60" t="n"/>
    </row>
    <row r="66" ht="25" customHeight="1">
      <c r="A66" s="57" t="inlineStr">
        <is>
          <t>Kerbing Works</t>
        </is>
      </c>
      <c r="B66" s="58" t="n"/>
      <c r="C66" s="59" t="n"/>
      <c r="D66" s="59" t="n"/>
      <c r="E66" s="58" t="n"/>
      <c r="F66" s="58" t="n"/>
      <c r="G66" s="59" t="n"/>
      <c r="H66" s="58" t="n"/>
      <c r="I66" s="60" t="n"/>
    </row>
    <row r="67" ht="25" customHeight="1">
      <c r="A67" s="57" t="inlineStr">
        <is>
          <t>Lid Setting</t>
        </is>
      </c>
      <c r="B67" s="58" t="n"/>
      <c r="C67" s="59" t="n"/>
      <c r="D67" s="59" t="n"/>
      <c r="E67" s="58" t="n"/>
      <c r="F67" s="58" t="n"/>
      <c r="G67" s="59" t="n"/>
      <c r="H67" s="58" t="n"/>
      <c r="I67" s="60" t="n"/>
    </row>
    <row r="68" ht="25" customHeight="1">
      <c r="A68" s="57" t="inlineStr">
        <is>
          <t>Setting Pits</t>
        </is>
      </c>
      <c r="B68" s="58" t="n"/>
      <c r="C68" s="59" t="n"/>
      <c r="D68" s="59" t="n"/>
      <c r="E68" s="58" t="n"/>
      <c r="F68" s="58" t="n"/>
      <c r="G68" s="59" t="n"/>
      <c r="H68" s="58" t="n"/>
      <c r="I68" s="60" t="n"/>
    </row>
    <row r="69" ht="25" customHeight="1">
      <c r="A69" s="57" t="inlineStr">
        <is>
          <t>Install of Light Poles</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C61:I61"/>
    <mergeCell ref="D13:F13"/>
    <mergeCell ref="G13:I13"/>
    <mergeCell ref="A46:I46"/>
    <mergeCell ref="B8:D8"/>
    <mergeCell ref="A45:B45"/>
    <mergeCell ref="A47:I50"/>
    <mergeCell ref="E142:I142"/>
    <mergeCell ref="A12:I12"/>
    <mergeCell ref="B43:C43"/>
    <mergeCell ref="B56:I56"/>
    <mergeCell ref="D43:I43"/>
    <mergeCell ref="B52:I52"/>
    <mergeCell ref="A57:I57"/>
    <mergeCell ref="A5:I5"/>
    <mergeCell ref="B42:C42"/>
    <mergeCell ref="B9:D9"/>
    <mergeCell ref="A142:D142"/>
    <mergeCell ref="B6:D6"/>
    <mergeCell ref="A62:I62"/>
    <mergeCell ref="C58:I58"/>
    <mergeCell ref="B44:C44"/>
    <mergeCell ref="A13:C13"/>
    <mergeCell ref="D42:I42"/>
    <mergeCell ref="B53:I53"/>
    <mergeCell ref="A63:I63"/>
    <mergeCell ref="A10:I10"/>
    <mergeCell ref="A1:I4"/>
    <mergeCell ref="C54:I54"/>
    <mergeCell ref="D44:I44"/>
    <mergeCell ref="B7:D7"/>
    <mergeCell ref="C55:I55"/>
    <mergeCell ref="A64:I64"/>
    <mergeCell ref="A11:I11"/>
    <mergeCell ref="A51:I51"/>
    <mergeCell ref="C59:I59"/>
    <mergeCell ref="D45:I45"/>
    <mergeCell ref="A70:I70"/>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8.xml><?xml version="1.0" encoding="utf-8"?>
<worksheet xmlns="http://schemas.openxmlformats.org/spreadsheetml/2006/main">
  <sheetPr>
    <outlinePr summaryBelow="1" summaryRight="1"/>
    <pageSetUpPr fitToPage="1"/>
  </sheetPr>
  <dimension ref="A1:J203"/>
  <sheetViews>
    <sheetView view="pageBreakPreview" zoomScale="40" zoomScaleNormal="55" zoomScaleSheetLayoutView="40" workbookViewId="0">
      <selection activeCell="A65" sqref="A65:A69"/>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45939</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127</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44km/h S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c r="D16" s="20" t="inlineStr">
        <is>
          <t>Hanly,Thomas</t>
        </is>
      </c>
      <c r="E16" s="18" t="inlineStr">
        <is>
          <t>Operator</t>
        </is>
      </c>
      <c r="F16" s="18" t="n">
        <v>12</v>
      </c>
      <c r="G16" s="20" t="inlineStr">
        <is>
          <t>Mosley,Joshua</t>
        </is>
      </c>
      <c r="H16" s="18" t="inlineStr">
        <is>
          <t>Surveyor</t>
        </is>
      </c>
      <c r="I16" s="21" t="n">
        <v>4</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Goodwin, Noah</t>
        </is>
      </c>
      <c r="H19" s="18" t="inlineStr">
        <is>
          <t>Labourer</t>
        </is>
      </c>
      <c r="I19" s="21" t="n">
        <v>10</v>
      </c>
    </row>
    <row r="20" ht="23.25" customHeight="1">
      <c r="A20" s="17" t="inlineStr">
        <is>
          <t>SKINNER,Jamie</t>
        </is>
      </c>
      <c r="B20" s="18" t="inlineStr">
        <is>
          <t>Supervisor</t>
        </is>
      </c>
      <c r="C20" s="22" t="n">
        <v>12</v>
      </c>
      <c r="D20" s="23" t="n"/>
      <c r="E20" s="23" t="n"/>
      <c r="F20" s="18" t="n"/>
      <c r="G20" s="20" t="inlineStr">
        <is>
          <t>Kerbers</t>
        </is>
      </c>
      <c r="H20" s="18" t="inlineStr">
        <is>
          <t>Labourer</t>
        </is>
      </c>
      <c r="I20" s="21" t="n">
        <v>30</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2</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6</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5</v>
      </c>
      <c r="D37" s="22" t="n"/>
      <c r="E37" s="22" t="n"/>
      <c r="F37" s="22" t="n"/>
      <c r="G37" s="22" t="n"/>
      <c r="H37" s="18" t="n"/>
      <c r="I37" s="21" t="n"/>
    </row>
    <row r="38" ht="24" customHeight="1">
      <c r="A38" s="40" t="inlineStr">
        <is>
          <t>14t Excavator with GPS</t>
        </is>
      </c>
      <c r="B38" s="22" t="inlineStr">
        <is>
          <t>EX153</t>
        </is>
      </c>
      <c r="C38" s="22" t="n">
        <v>10</v>
      </c>
      <c r="D38" s="22" t="n"/>
      <c r="E38" s="22" t="n"/>
      <c r="F38" s="22" t="n"/>
      <c r="G38" s="41" t="n"/>
      <c r="H38" s="41" t="n"/>
      <c r="I38" s="42" t="n"/>
    </row>
    <row r="39" ht="24" customHeight="1">
      <c r="A39" s="40" t="inlineStr">
        <is>
          <t>Roller (1.5t)</t>
        </is>
      </c>
      <c r="B39" s="22" t="inlineStr">
        <is>
          <t>R538</t>
        </is>
      </c>
      <c r="C39" s="22" t="n"/>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49.5" customHeight="1">
      <c r="A49" s="212" t="n"/>
      <c r="I49" s="214" t="n"/>
    </row>
    <row r="50"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9</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Build up Verge post Kerbing</t>
        </is>
      </c>
      <c r="B65" s="58" t="n"/>
      <c r="C65" s="59" t="n"/>
      <c r="D65" s="59" t="n"/>
      <c r="E65" s="58" t="n"/>
      <c r="F65" s="58" t="n"/>
      <c r="G65" s="59" t="n"/>
      <c r="H65" s="58" t="n"/>
      <c r="I65" s="60" t="n"/>
    </row>
    <row r="66" ht="25" customHeight="1">
      <c r="A66" s="57" t="inlineStr">
        <is>
          <t>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57" t="inlineStr">
        <is>
          <t>Excavate and Set Bollards</t>
        </is>
      </c>
      <c r="B68" s="58" t="n"/>
      <c r="C68" s="59" t="n"/>
      <c r="D68" s="59" t="n"/>
      <c r="E68" s="58" t="n"/>
      <c r="F68" s="58" t="n"/>
      <c r="G68" s="59" t="n"/>
      <c r="H68" s="58" t="n"/>
      <c r="I68" s="60" t="n"/>
    </row>
    <row r="69" ht="25" customHeight="1">
      <c r="A69" s="57" t="inlineStr">
        <is>
          <t>Install of Light Poles</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C61:I61"/>
    <mergeCell ref="D13:F13"/>
    <mergeCell ref="G13:I13"/>
    <mergeCell ref="A46:I46"/>
    <mergeCell ref="B8:D8"/>
    <mergeCell ref="A45:B45"/>
    <mergeCell ref="A47:I50"/>
    <mergeCell ref="E142:I142"/>
    <mergeCell ref="A12:I12"/>
    <mergeCell ref="B43:C43"/>
    <mergeCell ref="B56:I56"/>
    <mergeCell ref="D43:I43"/>
    <mergeCell ref="B52:I52"/>
    <mergeCell ref="A57:I57"/>
    <mergeCell ref="A5:I5"/>
    <mergeCell ref="B42:C42"/>
    <mergeCell ref="B9:D9"/>
    <mergeCell ref="A142:D142"/>
    <mergeCell ref="B6:D6"/>
    <mergeCell ref="A62:I62"/>
    <mergeCell ref="C58:I58"/>
    <mergeCell ref="B44:C44"/>
    <mergeCell ref="A13:C13"/>
    <mergeCell ref="D42:I42"/>
    <mergeCell ref="B53:I53"/>
    <mergeCell ref="A63:I63"/>
    <mergeCell ref="A10:I10"/>
    <mergeCell ref="A1:I4"/>
    <mergeCell ref="C54:I54"/>
    <mergeCell ref="D44:I44"/>
    <mergeCell ref="B7:D7"/>
    <mergeCell ref="C55:I55"/>
    <mergeCell ref="A64:I64"/>
    <mergeCell ref="A11:I11"/>
    <mergeCell ref="A51:I51"/>
    <mergeCell ref="C59:I59"/>
    <mergeCell ref="D45:I45"/>
    <mergeCell ref="A70:I70"/>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9.xml><?xml version="1.0" encoding="utf-8"?>
<worksheet xmlns="http://schemas.openxmlformats.org/spreadsheetml/2006/main">
  <sheetPr>
    <outlinePr summaryBelow="1" summaryRight="1"/>
    <pageSetUpPr fitToPage="1"/>
  </sheetPr>
  <dimension ref="A1:J204"/>
  <sheetViews>
    <sheetView view="pageBreakPreview" zoomScale="40" zoomScaleNormal="55" zoomScaleSheetLayoutView="40" workbookViewId="0">
      <selection activeCell="A65" sqref="A65:A70"/>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3.5"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45940</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128</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24 degrees  Wind:  46km/h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c r="D16" s="20" t="inlineStr">
        <is>
          <t>Hanly,Thomas</t>
        </is>
      </c>
      <c r="E16" s="18" t="inlineStr">
        <is>
          <t>Operator</t>
        </is>
      </c>
      <c r="F16" s="18" t="n">
        <v>12</v>
      </c>
      <c r="G16" s="20" t="inlineStr">
        <is>
          <t>Mosley,Joshua</t>
        </is>
      </c>
      <c r="H16" s="18" t="inlineStr">
        <is>
          <t>Surveyor</t>
        </is>
      </c>
      <c r="I16" s="21" t="n"/>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Goodwin, Noah</t>
        </is>
      </c>
      <c r="H19" s="18" t="inlineStr">
        <is>
          <t>Labourer</t>
        </is>
      </c>
      <c r="I19" s="21" t="n">
        <v>10</v>
      </c>
    </row>
    <row r="20" ht="23.25" customHeight="1">
      <c r="A20" s="17" t="inlineStr">
        <is>
          <t>SKINNER,Jamie</t>
        </is>
      </c>
      <c r="B20" s="18" t="inlineStr">
        <is>
          <t>Supervisor</t>
        </is>
      </c>
      <c r="C20" s="22" t="n">
        <v>12</v>
      </c>
      <c r="D20" s="23" t="n"/>
      <c r="E20" s="23" t="n"/>
      <c r="F20" s="18" t="n"/>
      <c r="G20" s="20" t="inlineStr">
        <is>
          <t>Vac Truck</t>
        </is>
      </c>
      <c r="H20" s="18" t="inlineStr">
        <is>
          <t>Operators</t>
        </is>
      </c>
      <c r="I20" s="21" t="n">
        <v>18</v>
      </c>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30</v>
      </c>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2</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6</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5</v>
      </c>
      <c r="D37" s="22" t="n"/>
      <c r="E37" s="22" t="n"/>
      <c r="F37" s="22" t="n"/>
      <c r="G37" s="22" t="n"/>
      <c r="H37" s="18" t="n"/>
      <c r="I37" s="21" t="n"/>
    </row>
    <row r="38" ht="24" customHeight="1">
      <c r="A38" s="40" t="inlineStr">
        <is>
          <t>14t Excavator with GPS</t>
        </is>
      </c>
      <c r="B38" s="22" t="inlineStr">
        <is>
          <t>EX153</t>
        </is>
      </c>
      <c r="C38" s="22" t="n">
        <v>10</v>
      </c>
      <c r="D38" s="22" t="n"/>
      <c r="E38" s="22" t="n"/>
      <c r="F38" s="22" t="n"/>
      <c r="G38" s="41" t="n"/>
      <c r="H38" s="41" t="n"/>
      <c r="I38" s="42" t="n"/>
    </row>
    <row r="39" ht="24" customHeight="1">
      <c r="A39" s="40" t="inlineStr">
        <is>
          <t>Roller (1.5t)</t>
        </is>
      </c>
      <c r="B39" s="22" t="inlineStr">
        <is>
          <t>R538</t>
        </is>
      </c>
      <c r="C39" s="22" t="n"/>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49.5" customHeight="1">
      <c r="A49" s="212" t="n"/>
      <c r="I49" s="214" t="n"/>
    </row>
    <row r="50"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PPE</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10</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Build up Verge post Kerbing</t>
        </is>
      </c>
      <c r="B65" s="58" t="n"/>
      <c r="C65" s="59" t="n"/>
      <c r="D65" s="59" t="n"/>
      <c r="E65" s="58" t="n"/>
      <c r="F65" s="58" t="n"/>
      <c r="G65" s="59" t="n"/>
      <c r="H65" s="58" t="n"/>
      <c r="I65" s="60" t="n"/>
    </row>
    <row r="66" ht="25" customHeight="1">
      <c r="A66" s="57" t="inlineStr">
        <is>
          <t>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57" t="inlineStr">
        <is>
          <t>Exposure of Laterals in Tree Pits</t>
        </is>
      </c>
      <c r="B68" s="58" t="n"/>
      <c r="C68" s="59" t="n"/>
      <c r="D68" s="59" t="n"/>
      <c r="E68" s="58" t="n"/>
      <c r="F68" s="58" t="n"/>
      <c r="G68" s="59" t="n"/>
      <c r="H68" s="58" t="n"/>
      <c r="I68" s="60" t="n"/>
    </row>
    <row r="69" ht="25" customHeight="1">
      <c r="A69" s="57" t="inlineStr">
        <is>
          <t>Trenching of Garden Bed Kerb</t>
        </is>
      </c>
      <c r="B69" s="58" t="n"/>
      <c r="C69" s="59" t="n"/>
      <c r="D69" s="59" t="n"/>
      <c r="E69" s="58" t="n"/>
      <c r="F69" s="58" t="n"/>
      <c r="G69" s="59" t="n"/>
      <c r="H69" s="58" t="n"/>
      <c r="I69" s="60" t="n"/>
    </row>
    <row r="70" ht="25" customHeight="1">
      <c r="A70" s="57" t="inlineStr">
        <is>
          <t>Tidy of Verges</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D13:F13"/>
    <mergeCell ref="G13:I13"/>
    <mergeCell ref="A46:I46"/>
    <mergeCell ref="B8:D8"/>
    <mergeCell ref="A45:B45"/>
    <mergeCell ref="A47:I50"/>
    <mergeCell ref="A12:I12"/>
    <mergeCell ref="B43:C43"/>
    <mergeCell ref="B56:I56"/>
    <mergeCell ref="D43:I43"/>
    <mergeCell ref="B52:I52"/>
    <mergeCell ref="A57:I57"/>
    <mergeCell ref="A71:I71"/>
    <mergeCell ref="A5:I5"/>
    <mergeCell ref="A143:D143"/>
    <mergeCell ref="E143:I143"/>
    <mergeCell ref="B42:C42"/>
    <mergeCell ref="B9:D9"/>
    <mergeCell ref="B6:D6"/>
    <mergeCell ref="A62:I62"/>
    <mergeCell ref="C58:I58"/>
    <mergeCell ref="B44:C44"/>
    <mergeCell ref="A13:C13"/>
    <mergeCell ref="D42:I42"/>
    <mergeCell ref="B53:I53"/>
    <mergeCell ref="A63:I63"/>
    <mergeCell ref="A10:I10"/>
    <mergeCell ref="A1:I4"/>
    <mergeCell ref="C54:I54"/>
    <mergeCell ref="D44:I44"/>
    <mergeCell ref="B7:D7"/>
    <mergeCell ref="C55:I55"/>
    <mergeCell ref="A64:I64"/>
    <mergeCell ref="A11:I11"/>
    <mergeCell ref="A51:I5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10.xml><?xml version="1.0" encoding="utf-8"?>
<worksheet xmlns="http://schemas.openxmlformats.org/spreadsheetml/2006/main">
  <sheetPr>
    <outlinePr summaryBelow="1" summaryRight="1"/>
    <pageSetUpPr fitToPage="1"/>
  </sheetPr>
  <dimension ref="A1:J204"/>
  <sheetViews>
    <sheetView view="pageBreakPreview" zoomScale="40" zoomScaleNormal="55" zoomScaleSheetLayoutView="40" workbookViewId="0">
      <selection activeCell="A65" sqref="A65:A70"/>
    </sheetView>
  </sheetViews>
  <sheetFormatPr baseColWidth="10" defaultColWidth="9.1640625" defaultRowHeight="15"/>
  <cols>
    <col width="62.1640625" bestFit="1" customWidth="1" style="213" min="1" max="1"/>
    <col width="41.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45941</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129</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24 degrees  Wind:  46km/h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row>
    <row r="16" ht="23.25" customHeight="1">
      <c r="A16" s="17" t="inlineStr">
        <is>
          <t>GRIFFITHS, Daniel</t>
        </is>
      </c>
      <c r="B16" s="18" t="inlineStr">
        <is>
          <t>Project Manager</t>
        </is>
      </c>
      <c r="C16" s="22" t="n"/>
      <c r="D16" s="20" t="inlineStr">
        <is>
          <t>Hanly,Thomas</t>
        </is>
      </c>
      <c r="E16" s="18" t="inlineStr">
        <is>
          <t>Operator</t>
        </is>
      </c>
      <c r="F16" s="18" t="n">
        <v>12</v>
      </c>
      <c r="G16" s="20" t="inlineStr">
        <is>
          <t>Mosley,Joshua</t>
        </is>
      </c>
      <c r="H16" s="18" t="inlineStr">
        <is>
          <t>Surveyor</t>
        </is>
      </c>
      <c r="I16" s="21" t="n"/>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row>
    <row r="19" ht="23.25" customHeight="1">
      <c r="A19" s="17" t="inlineStr">
        <is>
          <t>THOMPSON,Cheryl</t>
        </is>
      </c>
      <c r="B19" s="18" t="inlineStr">
        <is>
          <t>HSET</t>
        </is>
      </c>
      <c r="C19" s="22" t="n"/>
      <c r="D19" s="23" t="n"/>
      <c r="E19" s="23" t="n"/>
      <c r="F19" s="18" t="n"/>
      <c r="G19" s="20" t="inlineStr">
        <is>
          <t>Goodwin, Noah</t>
        </is>
      </c>
      <c r="H19" s="18" t="inlineStr">
        <is>
          <t>Labourer</t>
        </is>
      </c>
      <c r="I19" s="21" t="n"/>
    </row>
    <row r="20" ht="23.25" customHeight="1">
      <c r="A20" s="17" t="inlineStr">
        <is>
          <t>SKINNER,Jamie</t>
        </is>
      </c>
      <c r="B20" s="18" t="inlineStr">
        <is>
          <t>Supervisor</t>
        </is>
      </c>
      <c r="C20" s="22" t="n"/>
      <c r="D20" s="23" t="n"/>
      <c r="E20" s="23" t="n"/>
      <c r="F20" s="18" t="n"/>
      <c r="G20" s="20" t="inlineStr">
        <is>
          <t>Vac Truck</t>
        </is>
      </c>
      <c r="H20" s="18" t="inlineStr">
        <is>
          <t>Operators</t>
        </is>
      </c>
      <c r="I20" s="21" t="n"/>
    </row>
    <row r="21" ht="23.25" customHeight="1">
      <c r="A21" s="24" t="inlineStr">
        <is>
          <t>TONER, Ultan</t>
        </is>
      </c>
      <c r="B21" s="18" t="inlineStr">
        <is>
          <t>Supervisor</t>
        </is>
      </c>
      <c r="C21" s="22" t="n">
        <v>12</v>
      </c>
      <c r="D21" s="23" t="n"/>
      <c r="E21" s="23" t="n"/>
      <c r="F21" s="18" t="n"/>
      <c r="G21" s="20" t="inlineStr">
        <is>
          <t>Kerbers</t>
        </is>
      </c>
      <c r="H21" s="18" t="inlineStr">
        <is>
          <t>Labourer</t>
        </is>
      </c>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6</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5</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6</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c r="D37" s="22" t="n"/>
      <c r="E37" s="22" t="n"/>
      <c r="F37" s="22" t="n"/>
      <c r="G37" s="22" t="n"/>
      <c r="H37" s="18" t="n"/>
      <c r="I37" s="21" t="n"/>
    </row>
    <row r="38" ht="24" customHeight="1">
      <c r="A38" s="40" t="inlineStr">
        <is>
          <t>14t Excavator with GPS</t>
        </is>
      </c>
      <c r="B38" s="22" t="inlineStr">
        <is>
          <t>EX153</t>
        </is>
      </c>
      <c r="C38" s="22" t="n"/>
      <c r="D38" s="22" t="n"/>
      <c r="E38" s="22" t="n"/>
      <c r="F38" s="22" t="n"/>
      <c r="G38" s="41" t="n"/>
      <c r="H38" s="41" t="n"/>
      <c r="I38" s="42" t="n"/>
    </row>
    <row r="39" ht="24" customHeight="1">
      <c r="A39" s="40" t="inlineStr">
        <is>
          <t>Roller (1.5t)</t>
        </is>
      </c>
      <c r="B39" s="22" t="inlineStr">
        <is>
          <t>R538</t>
        </is>
      </c>
      <c r="C39" s="22" t="n"/>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New Detail Provided on Centrelink Carpark                                                               
Awaiting Confirmation on Batters Treatment 
Awaiting finalised fencing details
Awaiting COGG confirmation on "Ballast Pile"
Instructions Provided for Laneway Sewer, Drainage
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49.5" customHeight="1">
      <c r="A49" s="212" t="n"/>
      <c r="I49" s="214" t="n"/>
    </row>
    <row r="50"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PPE</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11</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Build up Verge post Kerbing</t>
        </is>
      </c>
      <c r="B65" s="58" t="n"/>
      <c r="C65" s="59" t="n"/>
      <c r="D65" s="59" t="n"/>
      <c r="E65" s="58" t="n"/>
      <c r="F65" s="58" t="n"/>
      <c r="G65" s="59" t="n"/>
      <c r="H65" s="58" t="n"/>
      <c r="I65" s="60" t="n"/>
    </row>
    <row r="66" ht="25" customHeight="1">
      <c r="A66" s="57" t="inlineStr">
        <is>
          <t>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57" t="inlineStr">
        <is>
          <t>Exposure of Laterals in Tree Pits</t>
        </is>
      </c>
      <c r="B68" s="58" t="n"/>
      <c r="C68" s="59" t="n"/>
      <c r="D68" s="59" t="n"/>
      <c r="E68" s="58" t="n"/>
      <c r="F68" s="58" t="n"/>
      <c r="G68" s="59" t="n"/>
      <c r="H68" s="58" t="n"/>
      <c r="I68" s="60" t="n"/>
    </row>
    <row r="69" ht="25" customHeight="1">
      <c r="A69" s="57" t="inlineStr">
        <is>
          <t>Trenching of Garden Bed Kerb</t>
        </is>
      </c>
      <c r="B69" s="58" t="n"/>
      <c r="C69" s="59" t="n"/>
      <c r="D69" s="59" t="n"/>
      <c r="E69" s="58" t="n"/>
      <c r="F69" s="58" t="n"/>
      <c r="G69" s="59" t="n"/>
      <c r="H69" s="58" t="n"/>
      <c r="I69" s="60" t="n"/>
    </row>
    <row r="70" ht="25" customHeight="1">
      <c r="A70" s="57" t="inlineStr">
        <is>
          <t>Tidy of Verges</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D13:F13"/>
    <mergeCell ref="G13:I13"/>
    <mergeCell ref="A46:I46"/>
    <mergeCell ref="B8:D8"/>
    <mergeCell ref="A45:B45"/>
    <mergeCell ref="A47:I50"/>
    <mergeCell ref="A12:I12"/>
    <mergeCell ref="B43:C43"/>
    <mergeCell ref="B56:I56"/>
    <mergeCell ref="D43:I43"/>
    <mergeCell ref="B52:I52"/>
    <mergeCell ref="A57:I57"/>
    <mergeCell ref="A71:I71"/>
    <mergeCell ref="A5:I5"/>
    <mergeCell ref="A143:D143"/>
    <mergeCell ref="E143:I143"/>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11.xml><?xml version="1.0" encoding="utf-8"?>
<worksheet xmlns="http://schemas.openxmlformats.org/spreadsheetml/2006/main">
  <sheetPr>
    <outlinePr summaryBelow="1" summaryRight="1"/>
    <pageSetUpPr fitToPage="1"/>
  </sheetPr>
  <dimension ref="A1:J204"/>
  <sheetViews>
    <sheetView view="pageBreakPreview" zoomScale="40" zoomScaleNormal="55" zoomScaleSheetLayoutView="40" workbookViewId="0">
      <selection activeCell="I6" sqref="I6"/>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45943</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130</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24 degrees  Wind:  46km/h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10</v>
      </c>
      <c r="D16" s="20" t="inlineStr">
        <is>
          <t>Hanly,Thomas</t>
        </is>
      </c>
      <c r="E16" s="18" t="inlineStr">
        <is>
          <t>Operator</t>
        </is>
      </c>
      <c r="F16" s="18" t="n">
        <v>12</v>
      </c>
      <c r="G16" s="20" t="inlineStr">
        <is>
          <t>Mosley,Joshua</t>
        </is>
      </c>
      <c r="H16" s="18" t="inlineStr">
        <is>
          <t>Surveyor</t>
        </is>
      </c>
      <c r="I16" s="21" t="n">
        <v>2</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Goodwin, Noah</t>
        </is>
      </c>
      <c r="H19" s="18" t="inlineStr">
        <is>
          <t>Labourer</t>
        </is>
      </c>
      <c r="I19" s="21" t="n">
        <v>10</v>
      </c>
    </row>
    <row r="20" ht="23.25" customHeight="1">
      <c r="A20" s="17" t="inlineStr">
        <is>
          <t>SKINNER,Jamie</t>
        </is>
      </c>
      <c r="B20" s="18" t="inlineStr">
        <is>
          <t>Supervisor</t>
        </is>
      </c>
      <c r="C20" s="22" t="n">
        <v>12</v>
      </c>
      <c r="D20" s="23" t="n"/>
      <c r="E20" s="23" t="n"/>
      <c r="F20" s="18" t="n"/>
      <c r="G20" s="20" t="inlineStr">
        <is>
          <t>Vac Truck</t>
        </is>
      </c>
      <c r="H20" s="18" t="inlineStr">
        <is>
          <t>Operators</t>
        </is>
      </c>
      <c r="I20" s="21" t="n"/>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40</v>
      </c>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3</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5</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4</v>
      </c>
      <c r="D34" s="22" t="n"/>
      <c r="E34" s="22" t="n"/>
      <c r="F34" s="22" t="n"/>
      <c r="G34" s="22" t="inlineStr">
        <is>
          <t>Skip Bin</t>
        </is>
      </c>
      <c r="H34" s="22" t="n"/>
      <c r="I34" s="21" t="n">
        <v>1</v>
      </c>
    </row>
    <row r="35" ht="23.25" customHeight="1">
      <c r="A35" s="22" t="inlineStr">
        <is>
          <t>Mini Tipper</t>
        </is>
      </c>
      <c r="B35" s="22" t="inlineStr">
        <is>
          <t>SLS05</t>
        </is>
      </c>
      <c r="C35" s="22" t="n">
        <v>2</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4</v>
      </c>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Verbal Instruction Given to End Cap Water at Forrest Street End
ATCO Gas has advised that Piece Up has not been scheduled ETA 3 Weeks (From 2/10/25)</t>
        </is>
      </c>
      <c r="B47" s="225" t="n"/>
      <c r="C47" s="225" t="n"/>
      <c r="D47" s="225" t="n"/>
      <c r="E47" s="225" t="n"/>
      <c r="F47" s="225" t="n"/>
      <c r="G47" s="225" t="n"/>
      <c r="H47" s="225" t="n"/>
      <c r="I47" s="226" t="n"/>
    </row>
    <row r="48">
      <c r="A48" s="212" t="n"/>
      <c r="I48" s="214" t="n"/>
    </row>
    <row r="49" ht="35.5"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12</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Verge Trimming for Pavers</t>
        </is>
      </c>
      <c r="B65" s="58" t="n"/>
      <c r="C65" s="59" t="n"/>
      <c r="D65" s="59" t="n"/>
      <c r="E65" s="58" t="n"/>
      <c r="F65" s="58" t="n"/>
      <c r="G65" s="59" t="n"/>
      <c r="H65" s="58" t="n"/>
      <c r="I65" s="60" t="n"/>
    </row>
    <row r="66" ht="25" customHeight="1">
      <c r="A66" s="57" t="inlineStr">
        <is>
          <t>Garden Bed 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57" t="inlineStr">
        <is>
          <t>Exposure of Laterals in Tree Pits</t>
        </is>
      </c>
      <c r="B68" s="58" t="n"/>
      <c r="C68" s="59" t="n"/>
      <c r="D68" s="59" t="n"/>
      <c r="E68" s="58" t="n"/>
      <c r="F68" s="58" t="n"/>
      <c r="G68" s="59" t="n"/>
      <c r="H68" s="58" t="n"/>
      <c r="I68" s="60" t="n"/>
    </row>
    <row r="69" ht="25" customHeight="1">
      <c r="A69" s="57" t="inlineStr">
        <is>
          <t>ACP Mobilised ot Site</t>
        </is>
      </c>
      <c r="B69" s="58" t="n"/>
      <c r="C69" s="59" t="n"/>
      <c r="D69" s="59" t="n"/>
      <c r="E69" s="58" t="n"/>
      <c r="F69" s="58" t="n"/>
      <c r="G69" s="59" t="n"/>
      <c r="H69" s="58" t="n"/>
      <c r="I69" s="60" t="n"/>
    </row>
    <row r="70" ht="25" customHeight="1">
      <c r="A70" s="57" t="inlineStr">
        <is>
          <t>Signage Installs</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D13:F13"/>
    <mergeCell ref="G13:I13"/>
    <mergeCell ref="A46:I46"/>
    <mergeCell ref="B8:D8"/>
    <mergeCell ref="A45:B45"/>
    <mergeCell ref="A47:I50"/>
    <mergeCell ref="A12:I12"/>
    <mergeCell ref="B43:C43"/>
    <mergeCell ref="B56:I56"/>
    <mergeCell ref="D43:I43"/>
    <mergeCell ref="B52:I52"/>
    <mergeCell ref="A57:I57"/>
    <mergeCell ref="A71:I71"/>
    <mergeCell ref="A5:I5"/>
    <mergeCell ref="A143:D143"/>
    <mergeCell ref="E143:I143"/>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12.xml><?xml version="1.0" encoding="utf-8"?>
<worksheet xmlns="http://schemas.openxmlformats.org/spreadsheetml/2006/main">
  <sheetPr>
    <outlinePr summaryBelow="1" summaryRight="1"/>
    <pageSetUpPr fitToPage="1"/>
  </sheetPr>
  <dimension ref="A1:J205"/>
  <sheetViews>
    <sheetView view="pageBreakPreview" topLeftCell="A26" zoomScale="70" zoomScaleNormal="55" zoomScaleSheetLayoutView="70" workbookViewId="0">
      <selection activeCell="A65" sqref="A65:A71"/>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45944</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131</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24 degrees  Wind:  46km/h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v>12</v>
      </c>
      <c r="G16" s="20" t="inlineStr">
        <is>
          <t>Mosley,Joshua</t>
        </is>
      </c>
      <c r="H16" s="18" t="inlineStr">
        <is>
          <t>Surveyor</t>
        </is>
      </c>
      <c r="I16" s="21" t="n">
        <v>5</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Goodwin, Noah</t>
        </is>
      </c>
      <c r="H19" s="18" t="inlineStr">
        <is>
          <t>Labourer</t>
        </is>
      </c>
      <c r="I19" s="21" t="n">
        <v>10</v>
      </c>
    </row>
    <row r="20" ht="23.25" customHeight="1">
      <c r="A20" s="17" t="inlineStr">
        <is>
          <t>SKINNER,Jamie</t>
        </is>
      </c>
      <c r="B20" s="18" t="inlineStr">
        <is>
          <t>Supervisor</t>
        </is>
      </c>
      <c r="C20" s="22" t="n">
        <v>12</v>
      </c>
      <c r="D20" s="23" t="n"/>
      <c r="E20" s="23" t="n"/>
      <c r="F20" s="18" t="n"/>
      <c r="G20" s="20" t="inlineStr">
        <is>
          <t>Vac Truck</t>
        </is>
      </c>
      <c r="H20" s="18" t="inlineStr">
        <is>
          <t>Operators</t>
        </is>
      </c>
      <c r="I20" s="21" t="n">
        <v>20</v>
      </c>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40</v>
      </c>
    </row>
    <row r="22" ht="23.25" customHeight="1">
      <c r="A22" s="17" t="n"/>
      <c r="B22" s="18" t="n"/>
      <c r="C22" s="22" t="n"/>
      <c r="D22" s="23" t="n"/>
      <c r="E22" s="23" t="n"/>
      <c r="F22" s="18" t="n"/>
      <c r="G22" s="20" t="inlineStr">
        <is>
          <t>Pavers</t>
        </is>
      </c>
      <c r="H22" s="18" t="inlineStr">
        <is>
          <t>Labourers</t>
        </is>
      </c>
      <c r="I22" s="21" t="n">
        <v>50</v>
      </c>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3</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5</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4</v>
      </c>
      <c r="D34" s="22" t="n"/>
      <c r="E34" s="22" t="n"/>
      <c r="F34" s="22" t="n"/>
      <c r="G34" s="22" t="inlineStr">
        <is>
          <t>Skip Bin</t>
        </is>
      </c>
      <c r="H34" s="22" t="n"/>
      <c r="I34" s="21" t="n">
        <v>1</v>
      </c>
    </row>
    <row r="35" ht="23.25" customHeight="1">
      <c r="A35" s="22" t="inlineStr">
        <is>
          <t>Mini Tipper</t>
        </is>
      </c>
      <c r="B35" s="22" t="inlineStr">
        <is>
          <t>SLS05</t>
        </is>
      </c>
      <c r="C35" s="22" t="n">
        <v>2</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4</v>
      </c>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58"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12</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Verge Trimming for Pavers</t>
        </is>
      </c>
      <c r="B65" s="58" t="n"/>
      <c r="C65" s="59" t="n"/>
      <c r="D65" s="59" t="n"/>
      <c r="E65" s="58" t="n"/>
      <c r="F65" s="58" t="n"/>
      <c r="G65" s="59" t="n"/>
      <c r="H65" s="58" t="n"/>
      <c r="I65" s="60" t="n"/>
    </row>
    <row r="66" ht="25" customHeight="1">
      <c r="A66" s="77" t="inlineStr">
        <is>
          <t>Garden Bed 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77" t="inlineStr">
        <is>
          <t xml:space="preserve">Light pole excavation </t>
        </is>
      </c>
      <c r="B68" s="58" t="n"/>
      <c r="C68" s="59" t="n"/>
      <c r="D68" s="59" t="n"/>
      <c r="E68" s="58" t="n"/>
      <c r="F68" s="58" t="n"/>
      <c r="G68" s="59" t="n"/>
      <c r="H68" s="58" t="n"/>
      <c r="I68" s="60" t="n"/>
    </row>
    <row r="69" ht="25" customHeight="1">
      <c r="A69" s="57" t="inlineStr">
        <is>
          <t>Exposure of Laterals in Tree Pits</t>
        </is>
      </c>
      <c r="B69" s="58" t="n"/>
      <c r="C69" s="59" t="n"/>
      <c r="D69" s="59" t="n"/>
      <c r="E69" s="58" t="n"/>
      <c r="F69" s="58" t="n"/>
      <c r="G69" s="59" t="n"/>
      <c r="H69" s="58" t="n"/>
      <c r="I69" s="60" t="n"/>
    </row>
    <row r="70" ht="25" customHeight="1">
      <c r="A70" s="57" t="inlineStr">
        <is>
          <t>Commencement of Paving</t>
        </is>
      </c>
      <c r="B70" s="58" t="n"/>
      <c r="C70" s="59" t="n"/>
      <c r="D70" s="59" t="n"/>
      <c r="E70" s="58" t="n"/>
      <c r="F70" s="58" t="n"/>
      <c r="G70" s="59" t="n"/>
      <c r="H70" s="58" t="n"/>
      <c r="I70" s="60" t="n"/>
    </row>
    <row r="71" ht="25" customHeight="1">
      <c r="A71" s="57" t="inlineStr">
        <is>
          <t>Signage Installs</t>
        </is>
      </c>
      <c r="B71" s="58" t="n"/>
      <c r="C71" s="59" t="n"/>
      <c r="D71" s="59" t="n"/>
      <c r="E71" s="58" t="n"/>
      <c r="F71" s="58" t="n"/>
      <c r="G71" s="59" t="n"/>
      <c r="H71" s="58" t="n"/>
      <c r="I71" s="60" t="n"/>
    </row>
    <row r="72" ht="26.25" customHeight="1" thickBot="1">
      <c r="A72" s="224" t="inlineStr">
        <is>
          <t>Photos</t>
        </is>
      </c>
      <c r="B72" s="225" t="n"/>
      <c r="C72" s="225" t="n"/>
      <c r="D72" s="225" t="n"/>
      <c r="E72" s="225" t="n"/>
      <c r="F72" s="225" t="n"/>
      <c r="G72" s="225" t="n"/>
      <c r="H72" s="225" t="n"/>
      <c r="I72" s="226" t="n"/>
    </row>
    <row r="73" ht="23.25" customHeight="1">
      <c r="A73" s="61" t="n"/>
      <c r="B73" s="62" t="n"/>
      <c r="C73" s="62" t="n"/>
      <c r="D73" s="62" t="n"/>
      <c r="E73" s="62" t="n"/>
      <c r="F73" s="62" t="n"/>
      <c r="G73" s="62" t="n"/>
      <c r="H73" s="62" t="n"/>
      <c r="I73" s="63" t="n"/>
    </row>
    <row r="74" ht="23.2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H95" s="65" t="n"/>
      <c r="I95" s="66" t="n"/>
    </row>
    <row r="96" ht="25" customFormat="1" customHeight="1" s="67">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thickBot="1">
      <c r="A111" s="68" t="n"/>
      <c r="B111" s="69" t="n"/>
      <c r="C111" s="69" t="n"/>
      <c r="D111" s="69" t="n"/>
      <c r="E111" s="69" t="n"/>
      <c r="F111" s="69" t="n"/>
      <c r="G111" s="69" t="n"/>
      <c r="H111" s="69" t="n"/>
      <c r="I111" s="70"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2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28"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thickBot="1">
      <c r="A136" s="64" t="n"/>
      <c r="B136" s="65" t="n"/>
      <c r="C136" s="65" t="n"/>
      <c r="D136" s="65" t="n"/>
      <c r="E136" s="65" t="n"/>
      <c r="F136" s="65" t="n"/>
      <c r="G136" s="65" t="n"/>
      <c r="H136" s="65" t="n"/>
      <c r="I136" s="66" t="n"/>
      <c r="J136" s="71"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5" customHeight="1">
      <c r="A142" s="64" t="n"/>
      <c r="B142" s="65" t="n"/>
      <c r="C142" s="65" t="n"/>
      <c r="D142" s="65" t="n"/>
      <c r="E142" s="65" t="n"/>
      <c r="F142" s="65" t="n"/>
      <c r="G142" s="65" t="n"/>
      <c r="H142" s="65" t="n"/>
      <c r="I142" s="66" t="n"/>
    </row>
    <row r="143" ht="16" customHeight="1">
      <c r="A143" s="64" t="n"/>
      <c r="B143" s="65" t="n"/>
      <c r="C143" s="65" t="n"/>
      <c r="D143" s="65" t="n"/>
      <c r="E143" s="65" t="n"/>
      <c r="F143" s="65" t="n"/>
      <c r="G143" s="65" t="n"/>
      <c r="H143" s="65" t="n"/>
      <c r="I143" s="66" t="n"/>
    </row>
    <row r="144" ht="30.75" customHeight="1">
      <c r="A144" s="244" t="n"/>
      <c r="E144" s="245" t="n"/>
      <c r="I144" s="214"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A178" s="72" t="n"/>
      <c r="I178" s="73" t="n"/>
    </row>
    <row r="179">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c r="A197" s="72" t="n"/>
      <c r="I197" s="73" t="n"/>
    </row>
    <row r="198" ht="16" customHeight="1" thickBot="1">
      <c r="A198" s="74" t="n"/>
      <c r="B198" s="75" t="n"/>
      <c r="C198" s="75" t="n"/>
      <c r="D198" s="75" t="n"/>
      <c r="E198" s="75" t="n"/>
      <c r="F198" s="75" t="n"/>
      <c r="G198" s="75" t="n"/>
      <c r="H198" s="75" t="n"/>
      <c r="I198" s="76" t="n"/>
    </row>
    <row r="199">
      <c r="A199" s="72" t="n"/>
      <c r="I199" s="73" t="n"/>
    </row>
    <row r="200">
      <c r="A200" s="72" t="n"/>
      <c r="I200" s="73" t="n"/>
    </row>
    <row r="201">
      <c r="A201" s="72" t="n"/>
      <c r="I201" s="73" t="n"/>
    </row>
    <row r="202">
      <c r="A202" s="72" t="n"/>
      <c r="I202" s="73" t="n"/>
    </row>
    <row r="203">
      <c r="A203" s="72" t="n"/>
      <c r="I203" s="73" t="n"/>
    </row>
    <row r="204">
      <c r="A204" s="72" t="n"/>
      <c r="I204" s="73" t="n"/>
    </row>
    <row r="205" ht="16" customHeight="1" thickBot="1">
      <c r="A205" s="74" t="n"/>
      <c r="B205" s="75" t="n"/>
      <c r="C205" s="75" t="n"/>
      <c r="D205" s="75" t="n"/>
      <c r="E205" s="75" t="n"/>
      <c r="F205" s="75" t="n"/>
      <c r="G205" s="75" t="n"/>
      <c r="H205" s="75" t="n"/>
      <c r="I205" s="76" t="n"/>
    </row>
  </sheetData>
  <mergeCells count="39">
    <mergeCell ref="C61:I61"/>
    <mergeCell ref="D13:F13"/>
    <mergeCell ref="A144:D144"/>
    <mergeCell ref="G13:I13"/>
    <mergeCell ref="A46:I46"/>
    <mergeCell ref="B8:D8"/>
    <mergeCell ref="A45:B45"/>
    <mergeCell ref="A47:I50"/>
    <mergeCell ref="A12:I12"/>
    <mergeCell ref="B43:C43"/>
    <mergeCell ref="B56:I56"/>
    <mergeCell ref="D43:I43"/>
    <mergeCell ref="B52:I52"/>
    <mergeCell ref="A57:I57"/>
    <mergeCell ref="A5:I5"/>
    <mergeCell ref="B42:C42"/>
    <mergeCell ref="B9:D9"/>
    <mergeCell ref="B6:D6"/>
    <mergeCell ref="A62:I62"/>
    <mergeCell ref="C58:I58"/>
    <mergeCell ref="A72:I72"/>
    <mergeCell ref="B44:C44"/>
    <mergeCell ref="B53:I53"/>
    <mergeCell ref="D42:I42"/>
    <mergeCell ref="A63:I63"/>
    <mergeCell ref="A13:C13"/>
    <mergeCell ref="A10:I10"/>
    <mergeCell ref="A1:I4"/>
    <mergeCell ref="C54:I54"/>
    <mergeCell ref="D44:I44"/>
    <mergeCell ref="B7:D7"/>
    <mergeCell ref="C55:I55"/>
    <mergeCell ref="A64:I64"/>
    <mergeCell ref="E144:I14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1" min="0" max="8" man="1"/>
  </rowBreaks>
</worksheet>
</file>

<file path=xl/worksheets/sheet13.xml><?xml version="1.0" encoding="utf-8"?>
<worksheet xmlns="http://schemas.openxmlformats.org/spreadsheetml/2006/main">
  <sheetPr>
    <outlinePr summaryBelow="1" summaryRight="1"/>
    <pageSetUpPr fitToPage="1"/>
  </sheetPr>
  <dimension ref="A1:J204"/>
  <sheetViews>
    <sheetView view="pageBreakPreview" topLeftCell="A29" zoomScale="70" zoomScaleNormal="55" zoomScaleSheetLayoutView="70" workbookViewId="0">
      <selection activeCell="A65" sqref="A65:A70"/>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45945</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132</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41km/h S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v>12</v>
      </c>
      <c r="G16" s="20" t="inlineStr">
        <is>
          <t>Mosley,Joshua</t>
        </is>
      </c>
      <c r="H16" s="18" t="inlineStr">
        <is>
          <t>Surveyor</t>
        </is>
      </c>
      <c r="I16" s="21" t="n">
        <v>4</v>
      </c>
    </row>
    <row r="17" ht="23.25" customHeight="1">
      <c r="A17" s="17" t="inlineStr">
        <is>
          <t>O"SHEA, John</t>
        </is>
      </c>
      <c r="B17" s="18" t="inlineStr">
        <is>
          <t>Senior Project Engineer</t>
        </is>
      </c>
      <c r="C17" s="22" t="n">
        <v>12</v>
      </c>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Goodwin, Noah</t>
        </is>
      </c>
      <c r="H19" s="18" t="inlineStr">
        <is>
          <t>Labourer</t>
        </is>
      </c>
      <c r="I19" s="21" t="n">
        <v>10</v>
      </c>
    </row>
    <row r="20" ht="23.25" customHeight="1">
      <c r="A20" s="17" t="inlineStr">
        <is>
          <t>SKINNER,Jamie</t>
        </is>
      </c>
      <c r="B20" s="18" t="inlineStr">
        <is>
          <t>Supervisor</t>
        </is>
      </c>
      <c r="C20" s="22" t="n">
        <v>12</v>
      </c>
      <c r="D20" s="23" t="n"/>
      <c r="E20" s="23" t="n"/>
      <c r="F20" s="18" t="n"/>
      <c r="G20" s="20" t="inlineStr">
        <is>
          <t>Vac Truck</t>
        </is>
      </c>
      <c r="H20" s="18" t="inlineStr">
        <is>
          <t>Operators</t>
        </is>
      </c>
      <c r="I20" s="21" t="n">
        <v>20</v>
      </c>
    </row>
    <row r="21" ht="23.25" customHeight="1">
      <c r="A21" s="24" t="inlineStr">
        <is>
          <t>TONER, Ultan</t>
        </is>
      </c>
      <c r="B21" s="18" t="inlineStr">
        <is>
          <t>Supervisor</t>
        </is>
      </c>
      <c r="C21" s="22" t="n">
        <v>12</v>
      </c>
      <c r="D21" s="23" t="n"/>
      <c r="E21" s="23" t="n"/>
      <c r="F21" s="18" t="n"/>
      <c r="G21" s="20" t="inlineStr">
        <is>
          <t>Kerbers</t>
        </is>
      </c>
      <c r="H21" s="18" t="inlineStr">
        <is>
          <t>Labourer</t>
        </is>
      </c>
      <c r="I21" s="21" t="n">
        <v>40</v>
      </c>
    </row>
    <row r="22" ht="23.25" customHeight="1">
      <c r="A22" s="17" t="n"/>
      <c r="B22" s="18" t="n"/>
      <c r="C22" s="22" t="n"/>
      <c r="D22" s="23" t="n"/>
      <c r="E22" s="23" t="n"/>
      <c r="F22" s="18" t="n"/>
      <c r="G22" s="20" t="inlineStr">
        <is>
          <t>Pavers</t>
        </is>
      </c>
      <c r="H22" s="18" t="inlineStr">
        <is>
          <t>Labourers</t>
        </is>
      </c>
      <c r="I22" s="21" t="n">
        <v>50</v>
      </c>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5</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5</v>
      </c>
      <c r="D34" s="22" t="n"/>
      <c r="E34" s="22" t="n"/>
      <c r="F34" s="22" t="n"/>
      <c r="G34" s="22" t="inlineStr">
        <is>
          <t>Skip Bin</t>
        </is>
      </c>
      <c r="H34" s="22" t="n"/>
      <c r="I34" s="21" t="n">
        <v>1</v>
      </c>
    </row>
    <row r="35" ht="23.25" customHeight="1">
      <c r="A35" s="22" t="inlineStr">
        <is>
          <t>Mini Tipper</t>
        </is>
      </c>
      <c r="B35" s="22" t="inlineStr">
        <is>
          <t>SLS05</t>
        </is>
      </c>
      <c r="C35" s="22" t="n">
        <v>4</v>
      </c>
      <c r="D35" s="22" t="n"/>
      <c r="E35" s="22" t="n"/>
      <c r="F35" s="22" t="n"/>
      <c r="G35" s="22" t="inlineStr">
        <is>
          <t>Hydrocarbon Bund</t>
        </is>
      </c>
      <c r="H35" s="22" t="n"/>
      <c r="I35" s="21" t="n">
        <v>1</v>
      </c>
    </row>
    <row r="36" ht="23.25" customHeight="1">
      <c r="A36" s="40" t="inlineStr">
        <is>
          <t>1 t Excavator</t>
        </is>
      </c>
      <c r="B36" s="22" t="inlineStr">
        <is>
          <t>SLS03</t>
        </is>
      </c>
      <c r="C36" s="22" t="n">
        <v>7</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9</v>
      </c>
      <c r="D38" s="22" t="n"/>
      <c r="E38" s="22" t="n"/>
      <c r="F38" s="22" t="n"/>
      <c r="G38" s="41" t="n"/>
      <c r="H38" s="41" t="n"/>
      <c r="I38" s="42" t="n"/>
    </row>
    <row r="39" ht="24" customHeight="1">
      <c r="A39" s="40" t="inlineStr">
        <is>
          <t>Roller (1.5t)</t>
        </is>
      </c>
      <c r="B39" s="22" t="inlineStr">
        <is>
          <t>R538</t>
        </is>
      </c>
      <c r="C39" s="22" t="n">
        <v>0</v>
      </c>
      <c r="D39" s="22" t="n"/>
      <c r="E39" s="22" t="n"/>
      <c r="F39" s="22" t="n"/>
      <c r="G39" s="41" t="n"/>
      <c r="H39" s="41" t="n"/>
      <c r="I39" s="42" t="n"/>
    </row>
    <row r="40" ht="24" customHeight="1">
      <c r="A40" s="38" t="inlineStr">
        <is>
          <t>Positrak SSL</t>
        </is>
      </c>
      <c r="B40" s="22" t="inlineStr">
        <is>
          <t>SSL08</t>
        </is>
      </c>
      <c r="C40" s="18" t="n">
        <v>0</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14</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77" t="inlineStr">
        <is>
          <t>Verge Trimming for Pavers</t>
        </is>
      </c>
      <c r="B65" s="58" t="n"/>
      <c r="C65" s="59" t="n"/>
      <c r="D65" s="59" t="n"/>
      <c r="E65" s="58" t="n"/>
      <c r="F65" s="58" t="n"/>
      <c r="G65" s="59" t="n"/>
      <c r="H65" s="58" t="n"/>
      <c r="I65" s="60" t="n"/>
    </row>
    <row r="66" ht="25" customHeight="1">
      <c r="A66" s="77" t="inlineStr">
        <is>
          <t>Garden Bed Kerbing Works</t>
        </is>
      </c>
      <c r="B66" s="58" t="n"/>
      <c r="C66" s="59" t="n"/>
      <c r="D66" s="59" t="n"/>
      <c r="E66" s="58" t="n"/>
      <c r="F66" s="58" t="n"/>
      <c r="G66" s="59" t="n"/>
      <c r="H66" s="58" t="n"/>
      <c r="I66" s="60" t="n"/>
    </row>
    <row r="67" ht="25" customHeight="1">
      <c r="A67" s="57" t="inlineStr">
        <is>
          <t>Pit Setting (NBN and Power)</t>
        </is>
      </c>
      <c r="B67" s="58" t="n"/>
      <c r="C67" s="59" t="n"/>
      <c r="D67" s="59" t="n"/>
      <c r="E67" s="58" t="n"/>
      <c r="F67" s="58" t="n"/>
      <c r="G67" s="59" t="n"/>
      <c r="H67" s="58" t="n"/>
      <c r="I67" s="60" t="n"/>
    </row>
    <row r="68" ht="25" customHeight="1">
      <c r="A68" s="77" t="inlineStr">
        <is>
          <t xml:space="preserve">Light pole excavation </t>
        </is>
      </c>
      <c r="B68" s="58" t="n"/>
      <c r="C68" s="59" t="n"/>
      <c r="D68" s="59" t="n"/>
      <c r="E68" s="58" t="n"/>
      <c r="F68" s="58" t="n"/>
      <c r="G68" s="59" t="n"/>
      <c r="H68" s="58" t="n"/>
      <c r="I68" s="60" t="n"/>
    </row>
    <row r="69" ht="25" customHeight="1">
      <c r="A69" s="57" t="inlineStr">
        <is>
          <t>Exposure of Laterals in Tree Pits</t>
        </is>
      </c>
      <c r="B69" s="58" t="n"/>
      <c r="C69" s="59" t="n"/>
      <c r="D69" s="59" t="n"/>
      <c r="E69" s="58" t="n"/>
      <c r="F69" s="58" t="n"/>
      <c r="G69" s="59" t="n"/>
      <c r="H69" s="58" t="n"/>
      <c r="I69" s="60" t="n"/>
    </row>
    <row r="70" ht="25" customHeight="1">
      <c r="A70" s="77" t="inlineStr">
        <is>
          <t>Ongoing paving TO Eastern Side of Project</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D13:F13"/>
    <mergeCell ref="G13:I13"/>
    <mergeCell ref="A46:I46"/>
    <mergeCell ref="B8:D8"/>
    <mergeCell ref="A45:B45"/>
    <mergeCell ref="A47:I50"/>
    <mergeCell ref="A12:I12"/>
    <mergeCell ref="B43:C43"/>
    <mergeCell ref="B56:I56"/>
    <mergeCell ref="D43:I43"/>
    <mergeCell ref="B52:I52"/>
    <mergeCell ref="A57:I57"/>
    <mergeCell ref="A71:I71"/>
    <mergeCell ref="A5:I5"/>
    <mergeCell ref="A143:D143"/>
    <mergeCell ref="E143:I143"/>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14.xml><?xml version="1.0" encoding="utf-8"?>
<worksheet xmlns="http://schemas.openxmlformats.org/spreadsheetml/2006/main">
  <sheetPr>
    <outlinePr summaryBelow="1" summaryRight="1"/>
    <pageSetUpPr fitToPage="1"/>
  </sheetPr>
  <dimension ref="A1:J203"/>
  <sheetViews>
    <sheetView view="pageBreakPreview" topLeftCell="C1" zoomScale="70" zoomScaleNormal="55" zoomScaleSheetLayoutView="70" workbookViewId="0">
      <selection activeCell="I6" sqref="I6"/>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45946</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133</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28 degrees  Wind:  43km/h SSW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v>12</v>
      </c>
      <c r="G16" s="20" t="inlineStr">
        <is>
          <t>Mosley,Joshua</t>
        </is>
      </c>
      <c r="H16" s="18" t="inlineStr">
        <is>
          <t>Surveyor</t>
        </is>
      </c>
      <c r="I16" s="21" t="n">
        <v>4</v>
      </c>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Kerbers</t>
        </is>
      </c>
      <c r="H19" s="18" t="inlineStr">
        <is>
          <t>Labourer</t>
        </is>
      </c>
      <c r="I19" s="21" t="n">
        <v>40</v>
      </c>
    </row>
    <row r="20" ht="23.25" customHeight="1">
      <c r="A20" s="17" t="inlineStr">
        <is>
          <t>SKINNER,Jamie</t>
        </is>
      </c>
      <c r="B20" s="18" t="inlineStr">
        <is>
          <t>Supervisor</t>
        </is>
      </c>
      <c r="C20" s="22" t="n">
        <v>12</v>
      </c>
      <c r="D20" s="23" t="n"/>
      <c r="E20" s="23" t="n"/>
      <c r="F20" s="18" t="n"/>
      <c r="G20" s="20" t="inlineStr">
        <is>
          <t>Pavers</t>
        </is>
      </c>
      <c r="H20" s="18" t="inlineStr">
        <is>
          <t>Labourers</t>
        </is>
      </c>
      <c r="I20" s="21" t="n">
        <v>50</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SUM(I11:I19)</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1</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3</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8</v>
      </c>
      <c r="D34" s="22" t="n"/>
      <c r="E34" s="22" t="n"/>
      <c r="F34" s="22" t="n"/>
      <c r="G34" s="22" t="inlineStr">
        <is>
          <t>Skip Bin</t>
        </is>
      </c>
      <c r="H34" s="22" t="n"/>
      <c r="I34" s="21" t="n">
        <v>1</v>
      </c>
    </row>
    <row r="35" ht="23.25" customHeight="1">
      <c r="A35" s="22" t="inlineStr">
        <is>
          <t>Mini Tipper</t>
        </is>
      </c>
      <c r="B35" s="22" t="inlineStr">
        <is>
          <t>SLS05</t>
        </is>
      </c>
      <c r="C35" s="22" t="n">
        <v>2</v>
      </c>
      <c r="D35" s="22" t="n"/>
      <c r="E35" s="22" t="n"/>
      <c r="F35" s="22" t="n"/>
      <c r="G35" s="22" t="inlineStr">
        <is>
          <t>Hydrocarbon Bund</t>
        </is>
      </c>
      <c r="H35" s="22" t="n"/>
      <c r="I35" s="21" t="n">
        <v>1</v>
      </c>
    </row>
    <row r="36" ht="23.25" customHeight="1">
      <c r="A36" s="40" t="inlineStr">
        <is>
          <t>1 t Excavator</t>
        </is>
      </c>
      <c r="B36" s="22" t="inlineStr">
        <is>
          <t>SLS03</t>
        </is>
      </c>
      <c r="C36" s="22" t="n">
        <v>9</v>
      </c>
      <c r="D36" s="22" t="n"/>
      <c r="E36" s="22" t="n"/>
      <c r="F36" s="22" t="n"/>
      <c r="G36" s="22" t="inlineStr">
        <is>
          <t>Temp Fence</t>
        </is>
      </c>
      <c r="H36" s="18" t="n"/>
      <c r="I36" s="21" t="n">
        <v>1</v>
      </c>
    </row>
    <row r="37" ht="23.25" customHeight="1">
      <c r="A37" s="40" t="inlineStr">
        <is>
          <t>8T Excavator (Wheeled)</t>
        </is>
      </c>
      <c r="B37" s="22" t="inlineStr">
        <is>
          <t>BCC12</t>
        </is>
      </c>
      <c r="C37" s="22" t="n">
        <v>6</v>
      </c>
      <c r="D37" s="22" t="n"/>
      <c r="E37" s="22" t="n"/>
      <c r="F37" s="22" t="n"/>
      <c r="G37" s="22" t="n"/>
      <c r="H37" s="18" t="n"/>
      <c r="I37" s="21" t="n"/>
    </row>
    <row r="38" ht="24" customHeight="1">
      <c r="A38" s="40" t="inlineStr">
        <is>
          <t>14t Excavator with GPS</t>
        </is>
      </c>
      <c r="B38" s="22" t="inlineStr">
        <is>
          <t>EX153</t>
        </is>
      </c>
      <c r="C38" s="22" t="n">
        <v>10</v>
      </c>
      <c r="D38" s="22" t="n"/>
      <c r="E38" s="22" t="n"/>
      <c r="F38" s="22" t="n"/>
      <c r="G38" s="41" t="n"/>
      <c r="H38" s="41" t="n"/>
      <c r="I38" s="42" t="n"/>
    </row>
    <row r="39" ht="24" customHeight="1">
      <c r="A39" s="40" t="inlineStr">
        <is>
          <t>Roller (1.5t)</t>
        </is>
      </c>
      <c r="B39" s="22" t="inlineStr">
        <is>
          <t>R538</t>
        </is>
      </c>
      <c r="C39" s="22" t="n">
        <v>5</v>
      </c>
      <c r="D39" s="22" t="n"/>
      <c r="E39" s="22" t="n"/>
      <c r="F39" s="22" t="n"/>
      <c r="G39" s="41" t="n"/>
      <c r="H39" s="41" t="n"/>
      <c r="I39" s="42" t="n"/>
    </row>
    <row r="40" ht="24" customHeight="1">
      <c r="A40" s="38" t="inlineStr">
        <is>
          <t>Positrak SSL</t>
        </is>
      </c>
      <c r="B40" s="22" t="inlineStr">
        <is>
          <t>SSL08</t>
        </is>
      </c>
      <c r="C40" s="18" t="n">
        <v>1</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15</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Verge Trimming for Pavers</t>
        </is>
      </c>
      <c r="B65" s="58" t="n"/>
      <c r="C65" s="59" t="n"/>
      <c r="D65" s="59" t="n"/>
      <c r="E65" s="58" t="n"/>
      <c r="F65" s="58" t="n"/>
      <c r="G65" s="59" t="n"/>
      <c r="H65" s="58" t="n"/>
      <c r="I65" s="60" t="n"/>
    </row>
    <row r="66" ht="25" customHeight="1">
      <c r="A66" s="77" t="inlineStr">
        <is>
          <t>Tree Pit Preparation</t>
        </is>
      </c>
      <c r="B66" s="58" t="n"/>
      <c r="C66" s="59" t="n"/>
      <c r="D66" s="59" t="n"/>
      <c r="E66" s="58" t="n"/>
      <c r="F66" s="58" t="n"/>
      <c r="G66" s="59" t="n"/>
      <c r="H66" s="58" t="n"/>
      <c r="I66" s="60" t="n"/>
    </row>
    <row r="67" ht="25" customHeight="1">
      <c r="A67" s="77" t="inlineStr">
        <is>
          <t>Form of Pram Ramps and On Ramps Forrest Street</t>
        </is>
      </c>
      <c r="B67" s="58" t="n"/>
      <c r="C67" s="59" t="n"/>
      <c r="D67" s="59" t="n"/>
      <c r="E67" s="58" t="n"/>
      <c r="F67" s="58" t="n"/>
      <c r="G67" s="59" t="n"/>
      <c r="H67" s="58" t="n"/>
      <c r="I67" s="60" t="n"/>
    </row>
    <row r="68" ht="25" customHeight="1">
      <c r="A68" s="77" t="inlineStr">
        <is>
          <t>Light Pole Installation</t>
        </is>
      </c>
      <c r="B68" s="58" t="n"/>
      <c r="C68" s="59" t="n"/>
      <c r="D68" s="59" t="n"/>
      <c r="E68" s="58" t="n"/>
      <c r="F68" s="58" t="n"/>
      <c r="G68" s="59" t="n"/>
      <c r="H68" s="58" t="n"/>
      <c r="I68" s="60" t="n"/>
    </row>
    <row r="69" ht="25" customHeight="1">
      <c r="A69" s="77" t="inlineStr">
        <is>
          <t>Ongoing paving</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C61:I61"/>
    <mergeCell ref="D13:F13"/>
    <mergeCell ref="G13:I13"/>
    <mergeCell ref="A46:I46"/>
    <mergeCell ref="B8:D8"/>
    <mergeCell ref="A45:B45"/>
    <mergeCell ref="E142:I142"/>
    <mergeCell ref="A47:I50"/>
    <mergeCell ref="A12:I12"/>
    <mergeCell ref="B43:C43"/>
    <mergeCell ref="B56:I56"/>
    <mergeCell ref="D43:I43"/>
    <mergeCell ref="B52:I52"/>
    <mergeCell ref="A57:I57"/>
    <mergeCell ref="A5:I5"/>
    <mergeCell ref="B42:C42"/>
    <mergeCell ref="B9:D9"/>
    <mergeCell ref="A142:D142"/>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A70:I70"/>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15.xml><?xml version="1.0" encoding="utf-8"?>
<worksheet xmlns="http://schemas.openxmlformats.org/spreadsheetml/2006/main">
  <sheetPr>
    <outlinePr summaryBelow="1" summaryRight="1"/>
    <pageSetUpPr fitToPage="1"/>
  </sheetPr>
  <dimension ref="A1:J203"/>
  <sheetViews>
    <sheetView view="pageBreakPreview" topLeftCell="A19" zoomScale="70" zoomScaleNormal="55" zoomScaleSheetLayoutView="70" workbookViewId="0">
      <selection activeCell="A64" sqref="A64:A69"/>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45947</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134</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34 degrees  Wind:  43km/h 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20" t="inlineStr">
        <is>
          <t>Hanly,Thomas</t>
        </is>
      </c>
      <c r="E16" s="18" t="inlineStr">
        <is>
          <t>Operator</t>
        </is>
      </c>
      <c r="F16" s="18" t="n">
        <v>12</v>
      </c>
      <c r="G16" s="20" t="inlineStr">
        <is>
          <t>Mosley,Joshua</t>
        </is>
      </c>
      <c r="H16" s="18" t="inlineStr">
        <is>
          <t>Surveyor</t>
        </is>
      </c>
      <c r="I16" s="21" t="n"/>
    </row>
    <row r="17" ht="23.25" customHeight="1">
      <c r="A17" s="17" t="inlineStr">
        <is>
          <t>O"SHEA, John</t>
        </is>
      </c>
      <c r="B17" s="18" t="inlineStr">
        <is>
          <t>Senior Project Engineer</t>
        </is>
      </c>
      <c r="C17" s="22" t="n"/>
      <c r="D17" s="18" t="inlineStr">
        <is>
          <t>McGahon,Aideen</t>
        </is>
      </c>
      <c r="E17" s="18" t="inlineStr">
        <is>
          <t>Operator</t>
        </is>
      </c>
      <c r="F17" s="18" t="n">
        <v>12</v>
      </c>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Vac Truck</t>
        </is>
      </c>
      <c r="H19" s="18" t="inlineStr">
        <is>
          <t>Operators</t>
        </is>
      </c>
      <c r="I19" s="21" t="n">
        <v>20</v>
      </c>
    </row>
    <row r="20" ht="23.25" customHeight="1">
      <c r="A20" s="17" t="inlineStr">
        <is>
          <t>SKINNER,Jamie</t>
        </is>
      </c>
      <c r="B20" s="18" t="inlineStr">
        <is>
          <t>Supervisor</t>
        </is>
      </c>
      <c r="C20" s="22" t="n">
        <v>12</v>
      </c>
      <c r="D20" s="23" t="n"/>
      <c r="E20" s="23" t="n"/>
      <c r="F20" s="18" t="n"/>
      <c r="G20" s="20" t="inlineStr">
        <is>
          <t>Kerbers</t>
        </is>
      </c>
      <c r="H20" s="18" t="inlineStr">
        <is>
          <t>Labourer</t>
        </is>
      </c>
      <c r="I20" s="21" t="n">
        <v>12</v>
      </c>
    </row>
    <row r="21" ht="23.25" customHeight="1">
      <c r="A21" s="24" t="inlineStr">
        <is>
          <t>TONER, Ultan</t>
        </is>
      </c>
      <c r="B21" s="18" t="inlineStr">
        <is>
          <t>Supervisor</t>
        </is>
      </c>
      <c r="C21" s="22" t="n">
        <v>12</v>
      </c>
      <c r="D21" s="23" t="n"/>
      <c r="E21" s="23" t="n"/>
      <c r="F21" s="18" t="n"/>
      <c r="G21" s="20" t="inlineStr">
        <is>
          <t>Pavers</t>
        </is>
      </c>
      <c r="H21" s="18" t="inlineStr">
        <is>
          <t>Labourers</t>
        </is>
      </c>
      <c r="I21" s="21" t="n">
        <v>50</v>
      </c>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232" t="inlineStr">
        <is>
          <t xml:space="preserve">Total Indirect Personnel onsite: </t>
        </is>
      </c>
      <c r="B24" s="26">
        <f>COUNT(C15:C24)</f>
        <v/>
      </c>
      <c r="C24" s="23" t="n"/>
      <c r="D24" s="23" t="n"/>
      <c r="E24" s="23" t="n"/>
      <c r="F24" s="18" t="n"/>
      <c r="G24" s="27" t="n"/>
      <c r="H24" s="28" t="n"/>
      <c r="I24" s="21" t="n"/>
    </row>
    <row r="25" ht="23.25" customHeight="1">
      <c r="A25" s="232" t="inlineStr">
        <is>
          <t xml:space="preserve">Total Indirect Personnel hours: </t>
        </is>
      </c>
      <c r="B25" s="26">
        <f>SUM(C15:C21)</f>
        <v/>
      </c>
      <c r="C25" s="22" t="n"/>
      <c r="D25" s="23" t="n"/>
      <c r="E25" s="23" t="n"/>
      <c r="F25" s="18" t="n"/>
      <c r="G25" s="29" t="inlineStr">
        <is>
          <t>Total Subcontractor on-site:</t>
        </is>
      </c>
      <c r="H25" s="30" t="n">
        <v>13</v>
      </c>
      <c r="I25" s="21" t="n"/>
    </row>
    <row r="26" ht="23.25" customHeight="1">
      <c r="A26" s="232" t="inlineStr">
        <is>
          <t xml:space="preserve">Total Direct Personnel onsite:  </t>
        </is>
      </c>
      <c r="B26" s="26">
        <f>COUNTIF(F15:F27,"&gt;0")</f>
        <v/>
      </c>
      <c r="C26" s="26" t="n"/>
      <c r="D26" s="23" t="n"/>
      <c r="E26" s="23" t="n"/>
      <c r="F26" s="31" t="n"/>
      <c r="G26" s="29" t="inlineStr">
        <is>
          <t>Total Subcontractor hours:</t>
        </is>
      </c>
      <c r="H26" s="30">
        <f>SUM(I11:I20)</f>
        <v/>
      </c>
      <c r="I26" s="231" t="n"/>
    </row>
    <row r="27" ht="23.25" customHeight="1">
      <c r="A27" s="232" t="inlineStr">
        <is>
          <t xml:space="preserve">Total Direct Personnel hours: </t>
        </is>
      </c>
      <c r="B27" s="26">
        <f>SUM(F15:F27)</f>
        <v/>
      </c>
      <c r="C27" s="26" t="n"/>
      <c r="D27" s="26" t="n"/>
      <c r="E27" s="26" t="n"/>
      <c r="F27" s="26" t="n"/>
      <c r="G27" s="26" t="n"/>
      <c r="H27" s="26" t="n"/>
      <c r="I27" s="231" t="n"/>
    </row>
    <row r="28" ht="25" customHeight="1">
      <c r="A28" s="33" t="inlineStr">
        <is>
          <t>PLANT &amp; EQUIPMENT</t>
        </is>
      </c>
      <c r="B28" s="34" t="n"/>
      <c r="C28" s="34" t="n"/>
      <c r="D28" s="34" t="n"/>
      <c r="E28" s="34" t="n"/>
      <c r="F28" s="34" t="n"/>
      <c r="G28" s="34" t="n"/>
      <c r="H28" s="34" t="n"/>
      <c r="I28" s="35" t="n"/>
    </row>
    <row r="29" ht="24" customHeight="1">
      <c r="A29" s="227" t="inlineStr">
        <is>
          <t>Plant</t>
        </is>
      </c>
      <c r="B29" s="228" t="inlineStr">
        <is>
          <t>ID</t>
        </is>
      </c>
      <c r="C29" s="228" t="inlineStr">
        <is>
          <t>Hours</t>
        </is>
      </c>
      <c r="D29" s="228" t="inlineStr">
        <is>
          <t xml:space="preserve"> Vehicles</t>
        </is>
      </c>
      <c r="E29" s="228" t="inlineStr">
        <is>
          <t>ID</t>
        </is>
      </c>
      <c r="F29" s="228" t="inlineStr">
        <is>
          <t>QTY</t>
        </is>
      </c>
      <c r="G29" s="36" t="inlineStr">
        <is>
          <t>Site Facilities</t>
        </is>
      </c>
      <c r="H29" s="36" t="inlineStr">
        <is>
          <t>ID</t>
        </is>
      </c>
      <c r="I29" s="37" t="inlineStr">
        <is>
          <t>Qty</t>
        </is>
      </c>
    </row>
    <row r="30" ht="23.25" customHeight="1">
      <c r="A30" s="17" t="inlineStr">
        <is>
          <t>Komatsu WA320</t>
        </is>
      </c>
      <c r="B30" s="18" t="inlineStr">
        <is>
          <t>FWL18</t>
        </is>
      </c>
      <c r="C30" s="18" t="n">
        <v>2</v>
      </c>
      <c r="D30" s="22" t="inlineStr">
        <is>
          <t>Hilux</t>
        </is>
      </c>
      <c r="E30" s="22" t="inlineStr">
        <is>
          <t>DLV90</t>
        </is>
      </c>
      <c r="F30" s="22" t="n">
        <v>1</v>
      </c>
      <c r="G30" s="22" t="inlineStr">
        <is>
          <t>Office 40ft</t>
        </is>
      </c>
      <c r="H30" s="22" t="n">
        <v>9255540</v>
      </c>
      <c r="I30" s="21" t="n">
        <v>1</v>
      </c>
    </row>
    <row r="31" ht="23.25" customHeight="1">
      <c r="A31" s="17" t="inlineStr">
        <is>
          <t>Wacker Neuson DPU</t>
        </is>
      </c>
      <c r="B31" s="18" t="inlineStr">
        <is>
          <t>DPC15</t>
        </is>
      </c>
      <c r="C31" s="18" t="n">
        <v>1</v>
      </c>
      <c r="D31" s="22" t="inlineStr">
        <is>
          <t>Hilux</t>
        </is>
      </c>
      <c r="E31" s="22" t="inlineStr">
        <is>
          <t>1DLV04</t>
        </is>
      </c>
      <c r="F31" s="22" t="n">
        <v>1</v>
      </c>
      <c r="G31" s="22" t="inlineStr">
        <is>
          <t>Sea Container 20ft</t>
        </is>
      </c>
      <c r="H31" s="18" t="n">
        <v>951200</v>
      </c>
      <c r="I31" s="21" t="n">
        <v>1</v>
      </c>
    </row>
    <row r="32" ht="23.25" customHeight="1">
      <c r="A32" s="38" t="inlineStr">
        <is>
          <t>Watercart</t>
        </is>
      </c>
      <c r="B32" s="22" t="inlineStr">
        <is>
          <t>WC04</t>
        </is>
      </c>
      <c r="C32" s="18" t="n">
        <v>2</v>
      </c>
      <c r="D32" s="22" t="n"/>
      <c r="E32" s="18" t="n"/>
      <c r="F32" s="22" t="n"/>
      <c r="G32" s="22" t="inlineStr">
        <is>
          <t>Site Sentry Tower</t>
        </is>
      </c>
      <c r="H32" s="22" t="n"/>
      <c r="I32" s="21" t="n">
        <v>2</v>
      </c>
    </row>
    <row r="33" ht="23.25" customHeight="1">
      <c r="A33" s="38" t="inlineStr">
        <is>
          <t>8T Excavator</t>
        </is>
      </c>
      <c r="B33" s="39" t="inlineStr">
        <is>
          <t>AMG 014</t>
        </is>
      </c>
      <c r="C33" s="18" t="n">
        <v>6</v>
      </c>
      <c r="D33" s="22" t="n"/>
      <c r="E33" s="22" t="n"/>
      <c r="F33" s="22" t="n"/>
      <c r="G33" s="22" t="inlineStr">
        <is>
          <t>Skip Bin</t>
        </is>
      </c>
      <c r="H33" s="22" t="n"/>
      <c r="I33" s="21" t="n">
        <v>1</v>
      </c>
    </row>
    <row r="34" ht="23.25" customHeight="1">
      <c r="A34" s="22" t="inlineStr">
        <is>
          <t>Mini Tipper</t>
        </is>
      </c>
      <c r="B34" s="22" t="inlineStr">
        <is>
          <t>SLS05</t>
        </is>
      </c>
      <c r="C34" s="22" t="n">
        <v>2</v>
      </c>
      <c r="D34" s="22" t="n"/>
      <c r="E34" s="22" t="n"/>
      <c r="F34" s="22" t="n"/>
      <c r="G34" s="22" t="inlineStr">
        <is>
          <t>Hydrocarbon Bund</t>
        </is>
      </c>
      <c r="H34" s="22" t="n"/>
      <c r="I34" s="21" t="n">
        <v>1</v>
      </c>
    </row>
    <row r="35" ht="23.25" customHeight="1">
      <c r="A35" s="40" t="inlineStr">
        <is>
          <t>1 t Excavator</t>
        </is>
      </c>
      <c r="B35" s="22" t="inlineStr">
        <is>
          <t>SLS03</t>
        </is>
      </c>
      <c r="C35" s="22" t="n">
        <v>8</v>
      </c>
      <c r="D35" s="22" t="n"/>
      <c r="E35" s="22" t="n"/>
      <c r="F35" s="22" t="n"/>
      <c r="G35" s="22" t="inlineStr">
        <is>
          <t>Temp Fence</t>
        </is>
      </c>
      <c r="H35" s="18" t="n"/>
      <c r="I35" s="21" t="n">
        <v>1</v>
      </c>
    </row>
    <row r="36" ht="23.25" customHeight="1">
      <c r="A36" s="40" t="inlineStr">
        <is>
          <t>8T Excavator (Wheeled)</t>
        </is>
      </c>
      <c r="B36" s="22" t="inlineStr">
        <is>
          <t>BCC12</t>
        </is>
      </c>
      <c r="C36" s="22" t="n">
        <v>2</v>
      </c>
      <c r="D36" s="22" t="n"/>
      <c r="E36" s="22" t="n"/>
      <c r="F36" s="22" t="n"/>
      <c r="G36" s="22" t="n"/>
      <c r="H36" s="18" t="n"/>
      <c r="I36" s="21" t="n"/>
    </row>
    <row r="37" ht="24" customHeight="1">
      <c r="A37" s="40" t="inlineStr">
        <is>
          <t>14t Excavator with GPS</t>
        </is>
      </c>
      <c r="B37" s="22" t="inlineStr">
        <is>
          <t>EX153</t>
        </is>
      </c>
      <c r="C37" s="22" t="n">
        <v>8</v>
      </c>
      <c r="D37" s="22" t="n"/>
      <c r="E37" s="22" t="n"/>
      <c r="F37" s="22" t="n"/>
      <c r="G37" s="41" t="n"/>
      <c r="H37" s="41" t="n"/>
      <c r="I37" s="42" t="n"/>
    </row>
    <row r="38" ht="24" customHeight="1">
      <c r="A38" s="40" t="inlineStr">
        <is>
          <t>Roller (1.5t)</t>
        </is>
      </c>
      <c r="B38" s="22" t="inlineStr">
        <is>
          <t>R538</t>
        </is>
      </c>
      <c r="C38" s="22" t="n">
        <v>0</v>
      </c>
      <c r="D38" s="22" t="n"/>
      <c r="E38" s="22" t="n"/>
      <c r="F38" s="22" t="n"/>
      <c r="G38" s="41" t="n"/>
      <c r="H38" s="41" t="n"/>
      <c r="I38" s="42" t="n"/>
    </row>
    <row r="39" ht="24" customHeight="1">
      <c r="A39" s="38" t="inlineStr">
        <is>
          <t>Positrak SSL</t>
        </is>
      </c>
      <c r="B39" s="22" t="inlineStr">
        <is>
          <t>SSL08</t>
        </is>
      </c>
      <c r="C39" s="18" t="n">
        <v>2</v>
      </c>
      <c r="D39" s="22" t="n"/>
      <c r="E39" s="22" t="n"/>
      <c r="F39" s="22" t="n"/>
      <c r="G39" s="41" t="n"/>
      <c r="H39" s="41" t="n"/>
      <c r="I39" s="42" t="n"/>
    </row>
    <row r="40" ht="24" customHeight="1">
      <c r="A40" s="38" t="n"/>
      <c r="B40" s="22" t="n"/>
      <c r="C40" s="18" t="n"/>
      <c r="D40" s="41" t="n"/>
      <c r="E40" s="41" t="n"/>
      <c r="F40" s="41" t="n"/>
      <c r="G40" s="41" t="n"/>
      <c r="H40" s="41" t="n"/>
      <c r="I40" s="42" t="n"/>
    </row>
    <row r="41" ht="18" customHeight="1">
      <c r="A41" s="43" t="n">
        <v>0</v>
      </c>
      <c r="B41" s="229" t="inlineStr">
        <is>
          <t xml:space="preserve">Repairs Required </t>
        </is>
      </c>
      <c r="C41" s="219" t="n"/>
      <c r="D41" s="230" t="inlineStr">
        <is>
          <t>N/A</t>
        </is>
      </c>
      <c r="E41" s="218" t="n"/>
      <c r="F41" s="218" t="n"/>
      <c r="G41" s="218" t="n"/>
      <c r="H41" s="218" t="n"/>
      <c r="I41" s="222" t="n"/>
    </row>
    <row r="42" ht="18" customHeight="1">
      <c r="A42" s="44" t="n">
        <v>0</v>
      </c>
      <c r="B42" s="229" t="inlineStr">
        <is>
          <t>Scheduled Service</t>
        </is>
      </c>
      <c r="C42" s="219" t="n"/>
      <c r="D42" s="230" t="inlineStr">
        <is>
          <t>N/A</t>
        </is>
      </c>
      <c r="E42" s="218" t="n"/>
      <c r="F42" s="218" t="n"/>
      <c r="G42" s="218" t="n"/>
      <c r="H42" s="218" t="n"/>
      <c r="I42" s="222" t="n"/>
    </row>
    <row r="43" ht="18" customHeight="1">
      <c r="A43" s="45" t="n">
        <v>0</v>
      </c>
      <c r="B43" s="229" t="n"/>
      <c r="C43" s="219" t="n"/>
      <c r="D43" s="230" t="inlineStr">
        <is>
          <t>N/A</t>
        </is>
      </c>
      <c r="E43" s="218" t="n"/>
      <c r="F43" s="218" t="n"/>
      <c r="G43" s="218" t="n"/>
      <c r="H43" s="218" t="n"/>
      <c r="I43" s="222" t="n"/>
    </row>
    <row r="44" ht="23.25" customHeight="1">
      <c r="A44" s="232" t="inlineStr">
        <is>
          <t xml:space="preserve">Total Plant and Equipment Hours: </t>
        </is>
      </c>
      <c r="B44" s="219" t="n"/>
      <c r="C44" s="46">
        <f>SUM(C30:C40)</f>
        <v/>
      </c>
      <c r="D44" s="233" t="n"/>
      <c r="E44" s="218" t="n"/>
      <c r="F44" s="218" t="n"/>
      <c r="G44" s="218" t="n"/>
      <c r="H44" s="218" t="n"/>
      <c r="I44" s="222" t="n"/>
    </row>
    <row r="45" ht="25" customHeight="1">
      <c r="A45" s="221" t="inlineStr">
        <is>
          <t>DELAYS-OPPORTUNITY</t>
        </is>
      </c>
      <c r="B45" s="218" t="n"/>
      <c r="C45" s="218" t="n"/>
      <c r="D45" s="218" t="n"/>
      <c r="E45" s="218" t="n"/>
      <c r="F45" s="218" t="n"/>
      <c r="G45" s="218" t="n"/>
      <c r="H45" s="218" t="n"/>
      <c r="I45" s="222" t="n"/>
    </row>
    <row r="46" ht="15" customHeight="1" thickBot="1">
      <c r="A46"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6" s="225" t="n"/>
      <c r="C46" s="225" t="n"/>
      <c r="D46" s="225" t="n"/>
      <c r="E46" s="225" t="n"/>
      <c r="F46" s="225" t="n"/>
      <c r="G46" s="225" t="n"/>
      <c r="H46" s="225" t="n"/>
      <c r="I46" s="226" t="n"/>
    </row>
    <row r="47" ht="91.5" customHeight="1">
      <c r="A47" s="212" t="n"/>
      <c r="I47" s="214" t="n"/>
    </row>
    <row r="48" ht="70" customHeight="1" thickBot="1">
      <c r="A48" s="212" t="n"/>
      <c r="I48" s="214" t="n"/>
    </row>
    <row r="49" hidden="1" ht="84" customHeight="1" thickBot="1">
      <c r="A49" s="235" t="n"/>
      <c r="B49" s="236" t="n"/>
      <c r="C49" s="236" t="n"/>
      <c r="D49" s="236" t="n"/>
      <c r="E49" s="236" t="n"/>
      <c r="F49" s="236" t="n"/>
      <c r="G49" s="236" t="n"/>
      <c r="H49" s="236" t="n"/>
      <c r="I49" s="237" t="n"/>
    </row>
    <row r="50" ht="25" customHeight="1">
      <c r="A50" s="238" t="inlineStr">
        <is>
          <t>HSEQ MESSAGES</t>
        </is>
      </c>
      <c r="B50" s="239" t="n"/>
      <c r="C50" s="239" t="n"/>
      <c r="D50" s="239" t="n"/>
      <c r="E50" s="239" t="n"/>
      <c r="F50" s="239" t="n"/>
      <c r="G50" s="239" t="n"/>
      <c r="H50" s="239" t="n"/>
      <c r="I50" s="240" t="n"/>
    </row>
    <row r="51" ht="18" customHeight="1">
      <c r="A51" s="47" t="inlineStr">
        <is>
          <t>TCD - Monthly Safety Focus:</t>
        </is>
      </c>
      <c r="B51" s="241" t="inlineStr">
        <is>
          <t>Prestart Checks</t>
        </is>
      </c>
      <c r="C51" s="218" t="n"/>
      <c r="D51" s="218" t="n"/>
      <c r="E51" s="218" t="n"/>
      <c r="F51" s="218" t="n"/>
      <c r="G51" s="218" t="n"/>
      <c r="H51" s="218" t="n"/>
      <c r="I51" s="219" t="n"/>
    </row>
    <row r="52" ht="24" customHeight="1">
      <c r="A52" s="47" t="inlineStr">
        <is>
          <t>TCD - Daily Safety Focus:</t>
        </is>
      </c>
      <c r="B52" s="242" t="inlineStr">
        <is>
          <t>Manual Handling</t>
        </is>
      </c>
      <c r="C52" s="218" t="n"/>
      <c r="D52" s="218" t="n"/>
      <c r="E52" s="218" t="n"/>
      <c r="F52" s="218" t="n"/>
      <c r="G52" s="218" t="n"/>
      <c r="H52" s="218" t="n"/>
      <c r="I52" s="222" t="n"/>
    </row>
    <row r="53" ht="18" customHeight="1">
      <c r="A53" s="48" t="inlineStr">
        <is>
          <t xml:space="preserve">Hazards Reported: </t>
        </is>
      </c>
      <c r="B53" s="49" t="inlineStr">
        <is>
          <t>Nil</t>
        </is>
      </c>
      <c r="C53" s="242" t="n"/>
      <c r="D53" s="218" t="n"/>
      <c r="E53" s="218" t="n"/>
      <c r="F53" s="218" t="n"/>
      <c r="G53" s="218" t="n"/>
      <c r="H53" s="218" t="n"/>
      <c r="I53" s="222" t="n"/>
    </row>
    <row r="54" ht="18" customHeight="1">
      <c r="A54" s="48" t="inlineStr">
        <is>
          <t>Incident Free Days</t>
        </is>
      </c>
      <c r="B54" s="49" t="n">
        <v>16</v>
      </c>
      <c r="C54" s="241" t="n"/>
      <c r="D54" s="218" t="n"/>
      <c r="E54" s="218" t="n"/>
      <c r="F54" s="218" t="n"/>
      <c r="G54" s="218" t="n"/>
      <c r="H54" s="218" t="n"/>
      <c r="I54" s="219" t="n"/>
    </row>
    <row r="55" ht="18" customHeight="1">
      <c r="A55" s="50" t="inlineStr">
        <is>
          <t>Other Notes</t>
        </is>
      </c>
      <c r="B55" s="243" t="n"/>
      <c r="C55" s="225" t="n"/>
      <c r="D55" s="225" t="n"/>
      <c r="E55" s="225" t="n"/>
      <c r="F55" s="225" t="n"/>
      <c r="G55" s="225" t="n"/>
      <c r="H55" s="225" t="n"/>
      <c r="I55" s="226" t="n"/>
    </row>
    <row r="56" ht="20.25" customHeight="1">
      <c r="A56" s="221" t="inlineStr">
        <is>
          <t xml:space="preserve">INCIDENTS &amp; REPORTS </t>
        </is>
      </c>
      <c r="B56" s="218" t="n"/>
      <c r="C56" s="218" t="n"/>
      <c r="D56" s="218" t="n"/>
      <c r="E56" s="218" t="n"/>
      <c r="F56" s="218" t="n"/>
      <c r="G56" s="218" t="n"/>
      <c r="H56" s="218" t="n"/>
      <c r="I56" s="222" t="n"/>
    </row>
    <row r="57" ht="25" customHeight="1">
      <c r="A57" s="51" t="n"/>
      <c r="B57" s="228" t="inlineStr">
        <is>
          <t>QTY</t>
        </is>
      </c>
      <c r="C57" s="231" t="inlineStr">
        <is>
          <t>Comments</t>
        </is>
      </c>
      <c r="D57" s="218" t="n"/>
      <c r="E57" s="218" t="n"/>
      <c r="F57" s="218" t="n"/>
      <c r="G57" s="218" t="n"/>
      <c r="H57" s="218" t="n"/>
      <c r="I57" s="222" t="n"/>
    </row>
    <row r="58" ht="25" customHeight="1">
      <c r="A58" s="52" t="inlineStr">
        <is>
          <t>INCIDENT</t>
        </is>
      </c>
      <c r="B58" s="228" t="n">
        <v>0</v>
      </c>
      <c r="C58" s="246" t="inlineStr">
        <is>
          <t>NA</t>
        </is>
      </c>
      <c r="D58" s="225" t="n"/>
      <c r="E58" s="225" t="n"/>
      <c r="F58" s="225" t="n"/>
      <c r="G58" s="225" t="n"/>
      <c r="H58" s="225" t="n"/>
      <c r="I58" s="226" t="n"/>
    </row>
    <row r="59" ht="25" customHeight="1">
      <c r="A59" s="53" t="inlineStr">
        <is>
          <t>IR</t>
        </is>
      </c>
      <c r="B59" s="54" t="n">
        <v>0</v>
      </c>
      <c r="C59" s="246" t="inlineStr">
        <is>
          <t>NA</t>
        </is>
      </c>
      <c r="D59" s="225" t="n"/>
      <c r="E59" s="225" t="n"/>
      <c r="F59" s="225" t="n"/>
      <c r="G59" s="225" t="n"/>
      <c r="H59" s="225" t="n"/>
      <c r="I59" s="226" t="n"/>
    </row>
    <row r="60" ht="25" customHeight="1" thickBot="1">
      <c r="A60" s="55" t="inlineStr">
        <is>
          <t>NCR</t>
        </is>
      </c>
      <c r="B60" s="56" t="n">
        <v>0</v>
      </c>
      <c r="C60" s="247" t="inlineStr">
        <is>
          <t>NA</t>
        </is>
      </c>
      <c r="D60" s="248" t="n"/>
      <c r="E60" s="248" t="n"/>
      <c r="F60" s="248" t="n"/>
      <c r="G60" s="248" t="n"/>
      <c r="H60" s="248" t="n"/>
      <c r="I60" s="249" t="n"/>
    </row>
    <row r="61" ht="20.25" customHeight="1">
      <c r="A61" s="238" t="inlineStr">
        <is>
          <t>COMMUNICATIONS</t>
        </is>
      </c>
      <c r="B61" s="239" t="n"/>
      <c r="C61" s="239" t="n"/>
      <c r="D61" s="239" t="n"/>
      <c r="E61" s="239" t="n"/>
      <c r="F61" s="239" t="n"/>
      <c r="G61" s="239" t="n"/>
      <c r="H61" s="239" t="n"/>
      <c r="I61" s="240" t="n"/>
    </row>
    <row r="62" ht="25" customHeight="1">
      <c r="A62" s="250" t="inlineStr">
        <is>
          <t>TGS MB1119-05 Scheme D implemented</t>
        </is>
      </c>
      <c r="B62" s="218" t="n"/>
      <c r="C62" s="218" t="n"/>
      <c r="D62" s="218" t="n"/>
      <c r="E62" s="218" t="n"/>
      <c r="F62" s="218" t="n"/>
      <c r="G62" s="218" t="n"/>
      <c r="H62" s="218" t="n"/>
      <c r="I62" s="222" t="n"/>
    </row>
    <row r="63" ht="25" customHeight="1">
      <c r="A63" s="221" t="inlineStr">
        <is>
          <t>PRODUCTION (CONSTRUCTION STATUS &amp; PROGRESS)</t>
        </is>
      </c>
      <c r="B63" s="218" t="n"/>
      <c r="C63" s="218" t="n"/>
      <c r="D63" s="218" t="n"/>
      <c r="E63" s="218" t="n"/>
      <c r="F63" s="218" t="n"/>
      <c r="G63" s="218" t="n"/>
      <c r="H63" s="218" t="n"/>
      <c r="I63" s="222" t="n"/>
    </row>
    <row r="64" ht="25" customHeight="1">
      <c r="A64" s="57" t="inlineStr">
        <is>
          <t>Verge Trimming for Pavers</t>
        </is>
      </c>
      <c r="B64" s="58" t="n"/>
      <c r="C64" s="59" t="n"/>
      <c r="D64" s="59" t="n"/>
      <c r="E64" s="58" t="n"/>
      <c r="F64" s="58" t="n"/>
      <c r="G64" s="59" t="n"/>
      <c r="H64" s="58" t="n"/>
      <c r="I64" s="60" t="n"/>
    </row>
    <row r="65" ht="25" customHeight="1">
      <c r="A65" s="77" t="inlineStr">
        <is>
          <t>Tree Pit Preparation</t>
        </is>
      </c>
      <c r="B65" s="58" t="n"/>
      <c r="C65" s="59" t="n"/>
      <c r="D65" s="59" t="n"/>
      <c r="E65" s="58" t="n"/>
      <c r="F65" s="58" t="n"/>
      <c r="G65" s="59" t="n"/>
      <c r="H65" s="58" t="n"/>
      <c r="I65" s="60" t="n"/>
    </row>
    <row r="66" ht="25" customHeight="1">
      <c r="A66" s="77" t="inlineStr">
        <is>
          <t>Form of Pram Ramps and On Ramps Forrest Street</t>
        </is>
      </c>
      <c r="B66" s="58" t="n"/>
      <c r="C66" s="59" t="n"/>
      <c r="D66" s="59" t="n"/>
      <c r="E66" s="58" t="n"/>
      <c r="F66" s="58" t="n"/>
      <c r="G66" s="59" t="n"/>
      <c r="H66" s="58" t="n"/>
      <c r="I66" s="60" t="n"/>
    </row>
    <row r="67" ht="25" customHeight="1">
      <c r="A67" s="77" t="inlineStr">
        <is>
          <t>Kerbers Stopped Early Unable to Obtain Concrete</t>
        </is>
      </c>
      <c r="B67" s="58" t="n"/>
      <c r="C67" s="59" t="n"/>
      <c r="D67" s="59" t="n"/>
      <c r="E67" s="58" t="n"/>
      <c r="F67" s="58" t="n"/>
      <c r="G67" s="59" t="n"/>
      <c r="H67" s="58" t="n"/>
      <c r="I67" s="60" t="n"/>
    </row>
    <row r="68" ht="25" customHeight="1">
      <c r="A68" s="77" t="inlineStr">
        <is>
          <t>Setting of Lids</t>
        </is>
      </c>
      <c r="B68" s="58" t="n"/>
      <c r="C68" s="59" t="n"/>
      <c r="D68" s="59" t="n"/>
      <c r="E68" s="58" t="n"/>
      <c r="F68" s="58" t="n"/>
      <c r="G68" s="59" t="n"/>
      <c r="H68" s="58" t="n"/>
      <c r="I68" s="60" t="n"/>
    </row>
    <row r="69" ht="25" customHeight="1">
      <c r="A69" s="77" t="inlineStr">
        <is>
          <t>Ongoing paving</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D13:F13"/>
    <mergeCell ref="G13:I13"/>
    <mergeCell ref="B8:D8"/>
    <mergeCell ref="D41:I41"/>
    <mergeCell ref="A56:I56"/>
    <mergeCell ref="E142:I142"/>
    <mergeCell ref="A12:I12"/>
    <mergeCell ref="A50:I50"/>
    <mergeCell ref="C57:I57"/>
    <mergeCell ref="B43:C43"/>
    <mergeCell ref="C53:I53"/>
    <mergeCell ref="D43:I43"/>
    <mergeCell ref="B52:I52"/>
    <mergeCell ref="A5:I5"/>
    <mergeCell ref="B42:C42"/>
    <mergeCell ref="B9:D9"/>
    <mergeCell ref="A142:D142"/>
    <mergeCell ref="B6:D6"/>
    <mergeCell ref="A62:I62"/>
    <mergeCell ref="C58:I58"/>
    <mergeCell ref="D42:I42"/>
    <mergeCell ref="A13:C13"/>
    <mergeCell ref="A63:I63"/>
    <mergeCell ref="A10:I10"/>
    <mergeCell ref="A1:I4"/>
    <mergeCell ref="C54:I54"/>
    <mergeCell ref="D44:I44"/>
    <mergeCell ref="B7:D7"/>
    <mergeCell ref="A11:I11"/>
    <mergeCell ref="B55:I55"/>
    <mergeCell ref="B51:I51"/>
    <mergeCell ref="C59:I59"/>
    <mergeCell ref="A45:I45"/>
    <mergeCell ref="A70:I70"/>
    <mergeCell ref="A44:B44"/>
    <mergeCell ref="A61:I61"/>
    <mergeCell ref="A46:I49"/>
    <mergeCell ref="C60:I60"/>
    <mergeCell ref="B41:C41"/>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16.xml><?xml version="1.0" encoding="utf-8"?>
<worksheet xmlns="http://schemas.openxmlformats.org/spreadsheetml/2006/main">
  <sheetPr>
    <outlinePr summaryBelow="1" summaryRight="1"/>
    <pageSetUpPr fitToPage="1"/>
  </sheetPr>
  <dimension ref="A1:P201"/>
  <sheetViews>
    <sheetView view="pageBreakPreview" topLeftCell="A7" zoomScale="70" zoomScaleNormal="55" zoomScaleSheetLayoutView="70" workbookViewId="0">
      <selection activeCell="A65" sqref="A65:A67"/>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45948</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135</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25 degrees  Wind:  43km/h 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row>
    <row r="17" ht="23.25" customHeight="1">
      <c r="A17" s="17" t="inlineStr">
        <is>
          <t>O"SHEA, John</t>
        </is>
      </c>
      <c r="B17" s="18" t="inlineStr">
        <is>
          <t>Senior Project Engineer</t>
        </is>
      </c>
      <c r="C17" s="22" t="n"/>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row>
    <row r="19" ht="23.25" customHeight="1">
      <c r="A19" s="17" t="inlineStr">
        <is>
          <t>THOMPSON,Cheryl</t>
        </is>
      </c>
      <c r="B19" s="18" t="inlineStr">
        <is>
          <t>HSET</t>
        </is>
      </c>
      <c r="C19" s="22" t="n"/>
      <c r="D19" s="23" t="n"/>
      <c r="E19" s="23" t="n"/>
      <c r="F19" s="18" t="n"/>
      <c r="G19" s="20" t="inlineStr">
        <is>
          <t>Goodwin, Noah</t>
        </is>
      </c>
      <c r="H19" s="18" t="inlineStr">
        <is>
          <t>Labourer</t>
        </is>
      </c>
      <c r="I19" s="21" t="n"/>
    </row>
    <row r="20" ht="23.25" customHeight="1">
      <c r="A20" s="17" t="inlineStr">
        <is>
          <t>SKINNER,Jamie</t>
        </is>
      </c>
      <c r="B20" s="18" t="inlineStr">
        <is>
          <t>Supervisor</t>
        </is>
      </c>
      <c r="C20" s="22" t="n"/>
      <c r="D20" s="23" t="n"/>
      <c r="E20" s="23" t="n"/>
      <c r="F20" s="18" t="n"/>
      <c r="G20" s="20" t="inlineStr">
        <is>
          <t>Pavers</t>
        </is>
      </c>
      <c r="H20" s="18" t="inlineStr">
        <is>
          <t>Labourers</t>
        </is>
      </c>
      <c r="I20" s="21" t="n">
        <v>25</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thickBo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thickBot="1">
      <c r="A27" s="232" t="inlineStr">
        <is>
          <t xml:space="preserve">Total Direct Personnel onsite:  </t>
        </is>
      </c>
      <c r="B27" s="26">
        <f>COUNTIF(F15:F28,"&gt;0")</f>
        <v/>
      </c>
      <c r="C27" s="26" t="n"/>
      <c r="D27" s="23" t="n"/>
      <c r="E27" s="23" t="n"/>
      <c r="F27" s="31" t="n"/>
      <c r="G27" s="29" t="inlineStr">
        <is>
          <t>Total Subcontractor hours:</t>
        </is>
      </c>
      <c r="H27" s="30">
        <f>SUM(I11:I21)</f>
        <v/>
      </c>
      <c r="I27" s="231" t="n"/>
      <c r="K27" s="78" t="n">
        <v>316.16</v>
      </c>
      <c r="L27" s="78" t="n">
        <v>718.79</v>
      </c>
      <c r="M27" s="78" t="n">
        <v>208.65</v>
      </c>
      <c r="N27" s="78" t="n">
        <v>54.35</v>
      </c>
      <c r="O27" s="78" t="n">
        <v>15.84</v>
      </c>
      <c r="P27" s="213">
        <f>-O28*2.2</f>
        <v/>
      </c>
    </row>
    <row r="28" ht="23.25" customHeight="1">
      <c r="A28" s="232" t="inlineStr">
        <is>
          <t xml:space="preserve">Total Direct Personnel hours: </t>
        </is>
      </c>
      <c r="B28" s="26">
        <f>SUM(F15:F28)</f>
        <v/>
      </c>
      <c r="C28" s="26" t="n"/>
      <c r="D28" s="26" t="n"/>
      <c r="E28" s="26" t="n"/>
      <c r="F28" s="26" t="n"/>
      <c r="G28" s="26" t="n"/>
      <c r="H28" s="26" t="n"/>
      <c r="I28" s="231" t="n"/>
      <c r="O28" s="213" t="n">
        <v>51</v>
      </c>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c r="K30" s="213" t="n">
        <v>473.03</v>
      </c>
    </row>
    <row r="31" ht="23.25" customHeight="1">
      <c r="A31" s="17" t="inlineStr">
        <is>
          <t>Komatsu WA320</t>
        </is>
      </c>
      <c r="B31" s="18" t="inlineStr">
        <is>
          <t>FWL18</t>
        </is>
      </c>
      <c r="C31" s="18" t="n">
        <v>3</v>
      </c>
      <c r="D31" s="22" t="inlineStr">
        <is>
          <t>Hilux</t>
        </is>
      </c>
      <c r="E31" s="22" t="inlineStr">
        <is>
          <t>DLV90</t>
        </is>
      </c>
      <c r="F31" s="22" t="n">
        <v>1</v>
      </c>
      <c r="G31" s="22" t="inlineStr">
        <is>
          <t>Office 40ft</t>
        </is>
      </c>
      <c r="H31" s="22" t="n">
        <v>9255540</v>
      </c>
      <c r="I31" s="21" t="n">
        <v>1</v>
      </c>
      <c r="K31" s="213" t="n">
        <v>125</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c r="K32" s="213" t="n">
        <v>230</v>
      </c>
    </row>
    <row r="33" ht="23.25" customHeight="1">
      <c r="A33" s="38" t="inlineStr">
        <is>
          <t>Watercart</t>
        </is>
      </c>
      <c r="B33" s="22" t="inlineStr">
        <is>
          <t>WC04</t>
        </is>
      </c>
      <c r="C33" s="18" t="n">
        <v>2</v>
      </c>
      <c r="D33" s="22" t="n"/>
      <c r="E33" s="18" t="n"/>
      <c r="F33" s="22" t="n"/>
      <c r="G33" s="22" t="inlineStr">
        <is>
          <t>Site Sentry Tower</t>
        </is>
      </c>
      <c r="H33" s="22" t="n"/>
      <c r="I33" s="21" t="n">
        <v>2</v>
      </c>
      <c r="K33" s="213" t="n">
        <v>21</v>
      </c>
    </row>
    <row r="34" ht="23.25" customHeight="1">
      <c r="A34" s="38" t="inlineStr">
        <is>
          <t>8T Excavator</t>
        </is>
      </c>
      <c r="B34" s="39" t="inlineStr">
        <is>
          <t>AMG 014</t>
        </is>
      </c>
      <c r="C34" s="18" t="n">
        <v>2</v>
      </c>
      <c r="D34" s="22" t="n"/>
      <c r="E34" s="22" t="n"/>
      <c r="F34" s="22" t="n"/>
      <c r="G34" s="22" t="inlineStr">
        <is>
          <t>Skip Bin</t>
        </is>
      </c>
      <c r="H34" s="22" t="n"/>
      <c r="I34" s="21" t="n">
        <v>1</v>
      </c>
      <c r="K34" s="213" t="n">
        <v>38.92</v>
      </c>
    </row>
    <row r="35" ht="23.25" customHeight="1">
      <c r="A35" s="22" t="inlineStr">
        <is>
          <t>Mini Tipper</t>
        </is>
      </c>
      <c r="B35" s="22" t="inlineStr">
        <is>
          <t>SLS05</t>
        </is>
      </c>
      <c r="C35" s="22" t="n">
        <v>2</v>
      </c>
      <c r="D35" s="22" t="n"/>
      <c r="E35" s="22" t="n"/>
      <c r="F35" s="22" t="n"/>
      <c r="G35" s="22" t="inlineStr">
        <is>
          <t>Hydrocarbon Bund</t>
        </is>
      </c>
      <c r="H35" s="22" t="n"/>
      <c r="I35" s="21" t="n">
        <v>1</v>
      </c>
      <c r="K35" s="213" t="n">
        <v>48</v>
      </c>
    </row>
    <row r="36" ht="23.25" customHeight="1">
      <c r="A36" s="40" t="inlineStr">
        <is>
          <t>1 t Excavator</t>
        </is>
      </c>
      <c r="B36" s="22" t="inlineStr">
        <is>
          <t>SLS03</t>
        </is>
      </c>
      <c r="C36" s="22" t="n">
        <v>6</v>
      </c>
      <c r="D36" s="22" t="n"/>
      <c r="E36" s="22" t="n"/>
      <c r="F36" s="22" t="n"/>
      <c r="G36" s="22" t="inlineStr">
        <is>
          <t>Temp Fence</t>
        </is>
      </c>
      <c r="H36" s="18" t="n"/>
      <c r="I36" s="21" t="n">
        <v>1</v>
      </c>
      <c r="K36" s="213" t="n">
        <v>64</v>
      </c>
    </row>
    <row r="37" ht="23.25" customHeight="1">
      <c r="A37" s="40" t="inlineStr">
        <is>
          <t>8T Excavator (Wheeled)</t>
        </is>
      </c>
      <c r="B37" s="22" t="inlineStr">
        <is>
          <t>BCC12</t>
        </is>
      </c>
      <c r="C37" s="22" t="n">
        <v>4</v>
      </c>
      <c r="D37" s="22" t="n"/>
      <c r="E37" s="22" t="n"/>
      <c r="F37" s="22" t="n"/>
      <c r="G37" s="22" t="n"/>
      <c r="H37" s="18" t="n"/>
      <c r="I37" s="21" t="n"/>
      <c r="K37" s="213" t="n">
        <v>52</v>
      </c>
    </row>
    <row r="38" ht="24" customHeight="1">
      <c r="A38" s="40" t="inlineStr">
        <is>
          <t>14t Excavator with GPS</t>
        </is>
      </c>
      <c r="B38" s="22" t="inlineStr">
        <is>
          <t>EX153</t>
        </is>
      </c>
      <c r="C38" s="22" t="n"/>
      <c r="D38" s="22" t="n"/>
      <c r="E38" s="22" t="n"/>
      <c r="F38" s="22" t="n"/>
      <c r="G38" s="41" t="n"/>
      <c r="H38" s="41" t="n"/>
      <c r="I38" s="42" t="n"/>
    </row>
    <row r="39" ht="24" customHeight="1">
      <c r="A39" s="40" t="inlineStr">
        <is>
          <t>Roller (1.5t)</t>
        </is>
      </c>
      <c r="B39" s="22" t="inlineStr">
        <is>
          <t>R538</t>
        </is>
      </c>
      <c r="C39" s="22" t="n"/>
      <c r="D39" s="22" t="n"/>
      <c r="E39" s="22" t="n"/>
      <c r="F39" s="22" t="n"/>
      <c r="G39" s="41" t="n"/>
      <c r="H39" s="41" t="n"/>
      <c r="I39" s="42" t="n"/>
    </row>
    <row r="40" ht="24" customHeight="1">
      <c r="A40" s="38" t="inlineStr">
        <is>
          <t>Positrak SSL</t>
        </is>
      </c>
      <c r="B40" s="22" t="inlineStr">
        <is>
          <t>SSL08</t>
        </is>
      </c>
      <c r="C40" s="18" t="n"/>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Manual Handling</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17</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57" t="inlineStr">
        <is>
          <t>Verge Trimming for Pavers</t>
        </is>
      </c>
      <c r="B65" s="58" t="n"/>
      <c r="C65" s="59" t="n"/>
      <c r="D65" s="59" t="n"/>
      <c r="E65" s="58" t="n"/>
      <c r="F65" s="58" t="n"/>
      <c r="G65" s="59" t="n"/>
      <c r="H65" s="58" t="n"/>
      <c r="I65" s="60" t="n"/>
    </row>
    <row r="66" ht="25" customHeight="1">
      <c r="A66" s="77" t="inlineStr">
        <is>
          <t>Prepping of Damaged Seal for Asphalt</t>
        </is>
      </c>
      <c r="B66" s="58" t="n"/>
      <c r="C66" s="59" t="n"/>
      <c r="D66" s="59" t="n"/>
      <c r="E66" s="58" t="n"/>
      <c r="F66" s="58" t="n"/>
      <c r="G66" s="59" t="n"/>
      <c r="H66" s="58" t="n"/>
      <c r="I66" s="60" t="n"/>
    </row>
    <row r="67" ht="25" customHeight="1">
      <c r="A67" s="77" t="inlineStr">
        <is>
          <t>Paving Stopped Due to Rain</t>
        </is>
      </c>
      <c r="B67" s="58" t="n"/>
      <c r="C67" s="59" t="n"/>
      <c r="D67" s="59" t="n"/>
      <c r="E67" s="58" t="n"/>
      <c r="F67" s="58" t="n"/>
      <c r="G67" s="59" t="n"/>
      <c r="H67" s="58" t="n"/>
      <c r="I67" s="60" t="n"/>
    </row>
    <row r="68" ht="26.25" customHeight="1" thickBot="1">
      <c r="A68" s="224" t="inlineStr">
        <is>
          <t>Photos</t>
        </is>
      </c>
      <c r="B68" s="225" t="n"/>
      <c r="C68" s="225" t="n"/>
      <c r="D68" s="225" t="n"/>
      <c r="E68" s="225" t="n"/>
      <c r="F68" s="225" t="n"/>
      <c r="G68" s="225" t="n"/>
      <c r="H68" s="225" t="n"/>
      <c r="I68" s="226" t="n"/>
    </row>
    <row r="69" ht="23.25" customHeight="1">
      <c r="A69" s="61" t="n"/>
      <c r="B69" s="62" t="n"/>
      <c r="C69" s="62" t="n"/>
      <c r="D69" s="62" t="n"/>
      <c r="E69" s="62" t="n"/>
      <c r="F69" s="62" t="n"/>
      <c r="G69" s="62" t="n"/>
      <c r="H69" s="62" t="n"/>
      <c r="I69" s="63" t="n"/>
    </row>
    <row r="70" ht="23.25" customHeight="1">
      <c r="A70" s="64" t="n"/>
      <c r="B70" s="65" t="n"/>
      <c r="C70" s="65" t="n"/>
      <c r="D70" s="65" t="n"/>
      <c r="E70" s="65" t="n"/>
      <c r="F70" s="65" t="n"/>
      <c r="G70" s="65" t="n"/>
      <c r="H70" s="65" t="n"/>
      <c r="I70" s="66" t="n"/>
    </row>
    <row r="71" ht="15" customHeight="1">
      <c r="A71" s="64" t="n"/>
      <c r="B71" s="65" t="n"/>
      <c r="C71" s="65" t="n"/>
      <c r="D71" s="65" t="n"/>
      <c r="E71" s="65" t="n"/>
      <c r="F71" s="65" t="n"/>
      <c r="G71" s="65" t="n"/>
      <c r="H71" s="65" t="n"/>
      <c r="I71" s="66" t="n"/>
    </row>
    <row r="72" ht="1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H91" s="65" t="n"/>
      <c r="I91" s="66" t="n"/>
    </row>
    <row r="92" ht="25" customFormat="1" customHeight="1" s="67">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thickBot="1">
      <c r="A107" s="68" t="n"/>
      <c r="B107" s="69" t="n"/>
      <c r="C107" s="69" t="n"/>
      <c r="D107" s="69" t="n"/>
      <c r="E107" s="69" t="n"/>
      <c r="F107" s="69" t="n"/>
      <c r="G107" s="69" t="n"/>
      <c r="H107" s="69" t="n"/>
      <c r="I107" s="70"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2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8"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thickBot="1">
      <c r="A132" s="64" t="n"/>
      <c r="B132" s="65" t="n"/>
      <c r="C132" s="65" t="n"/>
      <c r="D132" s="65" t="n"/>
      <c r="E132" s="65" t="n"/>
      <c r="F132" s="65" t="n"/>
      <c r="G132" s="65" t="n"/>
      <c r="H132" s="65" t="n"/>
      <c r="I132" s="66" t="n"/>
      <c r="J132" s="71"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6" customHeight="1">
      <c r="A139" s="64" t="n"/>
      <c r="B139" s="65" t="n"/>
      <c r="C139" s="65" t="n"/>
      <c r="D139" s="65" t="n"/>
      <c r="E139" s="65" t="n"/>
      <c r="F139" s="65" t="n"/>
      <c r="G139" s="65" t="n"/>
      <c r="H139" s="65" t="n"/>
      <c r="I139" s="66" t="n"/>
    </row>
    <row r="140" ht="30.75" customHeight="1">
      <c r="A140" s="244" t="n"/>
      <c r="E140" s="245" t="n"/>
      <c r="I140" s="214" t="n"/>
    </row>
    <row r="141">
      <c r="A141" s="72" t="n"/>
      <c r="I141" s="73" t="n"/>
    </row>
    <row r="142">
      <c r="A142" s="72" t="n"/>
      <c r="I142" s="73"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I175" s="73" t="n"/>
    </row>
    <row r="176">
      <c r="A176" s="72" t="n"/>
      <c r="I176" s="73" t="n"/>
    </row>
    <row r="177">
      <c r="A177" s="72" t="n"/>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ht="16" customHeight="1" thickBot="1">
      <c r="A194" s="74" t="n"/>
      <c r="B194" s="75" t="n"/>
      <c r="C194" s="75" t="n"/>
      <c r="D194" s="75" t="n"/>
      <c r="E194" s="75" t="n"/>
      <c r="F194" s="75" t="n"/>
      <c r="G194" s="75" t="n"/>
      <c r="H194" s="75" t="n"/>
      <c r="I194" s="76" t="n"/>
    </row>
    <row r="195">
      <c r="A195" s="72" t="n"/>
      <c r="I195" s="73" t="n"/>
    </row>
    <row r="196">
      <c r="A196" s="72" t="n"/>
      <c r="I196" s="73" t="n"/>
    </row>
    <row r="197">
      <c r="A197" s="72" t="n"/>
      <c r="I197" s="73" t="n"/>
    </row>
    <row r="198">
      <c r="A198" s="72" t="n"/>
      <c r="I198" s="73" t="n"/>
    </row>
    <row r="199">
      <c r="A199" s="72" t="n"/>
      <c r="I199" s="73" t="n"/>
    </row>
    <row r="200">
      <c r="A200" s="72" t="n"/>
      <c r="I200" s="73" t="n"/>
    </row>
    <row r="201" ht="16" customHeight="1" thickBot="1">
      <c r="A201" s="74" t="n"/>
      <c r="B201" s="75" t="n"/>
      <c r="C201" s="75" t="n"/>
      <c r="D201" s="75" t="n"/>
      <c r="E201" s="75" t="n"/>
      <c r="F201" s="75" t="n"/>
      <c r="G201" s="75" t="n"/>
      <c r="H201" s="75" t="n"/>
      <c r="I201" s="76" t="n"/>
    </row>
  </sheetData>
  <mergeCells count="39">
    <mergeCell ref="C61:I61"/>
    <mergeCell ref="D13:F13"/>
    <mergeCell ref="G13:I13"/>
    <mergeCell ref="A46:I46"/>
    <mergeCell ref="B8:D8"/>
    <mergeCell ref="A140:D140"/>
    <mergeCell ref="A45:B45"/>
    <mergeCell ref="A47:I50"/>
    <mergeCell ref="A12:I12"/>
    <mergeCell ref="B43:C43"/>
    <mergeCell ref="B56:I56"/>
    <mergeCell ref="D43:I43"/>
    <mergeCell ref="E140:I140"/>
    <mergeCell ref="B52:I52"/>
    <mergeCell ref="A57:I57"/>
    <mergeCell ref="A5:I5"/>
    <mergeCell ref="B42:C42"/>
    <mergeCell ref="B9:D9"/>
    <mergeCell ref="A62:I62"/>
    <mergeCell ref="B6:D6"/>
    <mergeCell ref="C58:I58"/>
    <mergeCell ref="B44:C44"/>
    <mergeCell ref="B53:I53"/>
    <mergeCell ref="A68:I68"/>
    <mergeCell ref="A63:I63"/>
    <mergeCell ref="D42:I42"/>
    <mergeCell ref="A10:I10"/>
    <mergeCell ref="A13:C13"/>
    <mergeCell ref="A1:I4"/>
    <mergeCell ref="C54:I54"/>
    <mergeCell ref="D44:I44"/>
    <mergeCell ref="B7:D7"/>
    <mergeCell ref="C55:I55"/>
    <mergeCell ref="A64:I6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7" min="0" max="8" man="1"/>
  </rowBreaks>
</worksheet>
</file>

<file path=xl/worksheets/sheet17.xml><?xml version="1.0" encoding="utf-8"?>
<worksheet xmlns="http://schemas.openxmlformats.org/spreadsheetml/2006/main">
  <sheetPr>
    <outlinePr summaryBelow="1" summaryRight="1"/>
    <pageSetUpPr fitToPage="1"/>
  </sheetPr>
  <dimension ref="A1:J204"/>
  <sheetViews>
    <sheetView view="pageBreakPreview" topLeftCell="A23" zoomScale="70" zoomScaleNormal="55" zoomScaleSheetLayoutView="70" workbookViewId="0">
      <selection activeCell="A65" sqref="A65:A70"/>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45950</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136</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57km/h S Precip: 1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v>8</v>
      </c>
    </row>
    <row r="17" ht="23.25" customHeight="1">
      <c r="A17" s="17" t="inlineStr">
        <is>
          <t>O"SHEA, John</t>
        </is>
      </c>
      <c r="B17" s="18" t="inlineStr">
        <is>
          <t>Senior Project Engineer</t>
        </is>
      </c>
      <c r="C17" s="22" t="n"/>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Kerbers</t>
        </is>
      </c>
      <c r="H19" s="18" t="inlineStr">
        <is>
          <t>Labourers</t>
        </is>
      </c>
      <c r="I19" s="21" t="n">
        <v>25</v>
      </c>
    </row>
    <row r="20" ht="23.25" customHeight="1">
      <c r="A20" s="17" t="inlineStr">
        <is>
          <t>SKINNER,Jamie</t>
        </is>
      </c>
      <c r="B20" s="18" t="inlineStr">
        <is>
          <t>Supervisor</t>
        </is>
      </c>
      <c r="C20" s="22" t="n">
        <v>12</v>
      </c>
      <c r="D20" s="23" t="n"/>
      <c r="E20" s="23" t="n"/>
      <c r="F20" s="18" t="n"/>
      <c r="G20" s="20" t="inlineStr">
        <is>
          <t>Asphalters</t>
        </is>
      </c>
      <c r="H20" s="18" t="inlineStr">
        <is>
          <t>Asphalters</t>
        </is>
      </c>
      <c r="I20" s="21" t="n">
        <v>120</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2</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0</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6</v>
      </c>
      <c r="D34" s="22" t="n"/>
      <c r="E34" s="22" t="n"/>
      <c r="F34" s="22" t="n"/>
      <c r="G34" s="22" t="inlineStr">
        <is>
          <t>Skip Bin</t>
        </is>
      </c>
      <c r="H34" s="22" t="n"/>
      <c r="I34" s="21" t="n">
        <v>1</v>
      </c>
    </row>
    <row r="35" ht="23.25" customHeight="1">
      <c r="A35" s="22" t="inlineStr">
        <is>
          <t>Mini Tipper</t>
        </is>
      </c>
      <c r="B35" s="22" t="inlineStr">
        <is>
          <t>SLS05</t>
        </is>
      </c>
      <c r="C35" s="22" t="n">
        <v>3</v>
      </c>
      <c r="D35" s="22" t="n"/>
      <c r="E35" s="22" t="n"/>
      <c r="F35" s="22" t="n"/>
      <c r="G35" s="22" t="inlineStr">
        <is>
          <t>Hydrocarbon Bund</t>
        </is>
      </c>
      <c r="H35" s="22" t="n"/>
      <c r="I35" s="21" t="n">
        <v>1</v>
      </c>
    </row>
    <row r="36" ht="23.25" customHeight="1">
      <c r="A36" s="40" t="inlineStr">
        <is>
          <t>1 t Excavator</t>
        </is>
      </c>
      <c r="B36" s="22" t="inlineStr">
        <is>
          <t>SLS03</t>
        </is>
      </c>
      <c r="C36" s="22" t="n">
        <v>8</v>
      </c>
      <c r="D36" s="22" t="n"/>
      <c r="E36" s="22" t="n"/>
      <c r="F36" s="22" t="n"/>
      <c r="G36" s="22" t="inlineStr">
        <is>
          <t>Temp Fence</t>
        </is>
      </c>
      <c r="H36" s="18" t="n"/>
      <c r="I36" s="21" t="n">
        <v>1</v>
      </c>
    </row>
    <row r="37" ht="23.25" customHeight="1">
      <c r="A37" s="40" t="inlineStr">
        <is>
          <t>8T Excavator (Wheeled)</t>
        </is>
      </c>
      <c r="B37" s="22" t="inlineStr">
        <is>
          <t>BCC12</t>
        </is>
      </c>
      <c r="C37" s="22" t="n">
        <v>3</v>
      </c>
      <c r="D37" s="22" t="n"/>
      <c r="E37" s="22" t="n"/>
      <c r="F37" s="22" t="n"/>
      <c r="G37" s="22" t="n"/>
      <c r="H37" s="18" t="n"/>
      <c r="I37" s="21" t="n"/>
    </row>
    <row r="38" ht="24" customHeight="1">
      <c r="A38" s="40" t="inlineStr">
        <is>
          <t>14t Excavator with GPS</t>
        </is>
      </c>
      <c r="B38" s="22" t="inlineStr">
        <is>
          <t>EX153</t>
        </is>
      </c>
      <c r="C38" s="22" t="n">
        <v>8</v>
      </c>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18</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77" t="inlineStr">
        <is>
          <t>Patching of Seal</t>
        </is>
      </c>
      <c r="B65" s="58" t="n"/>
      <c r="C65" s="59" t="n"/>
      <c r="D65" s="59" t="n"/>
      <c r="E65" s="58" t="n"/>
      <c r="F65" s="58" t="n"/>
      <c r="G65" s="59" t="n"/>
      <c r="H65" s="58" t="n"/>
      <c r="I65" s="60" t="n"/>
    </row>
    <row r="66" ht="25" customHeight="1">
      <c r="A66" s="77" t="inlineStr">
        <is>
          <t>Setting of Pits</t>
        </is>
      </c>
      <c r="B66" s="58" t="n"/>
      <c r="C66" s="59" t="n"/>
      <c r="D66" s="59" t="n"/>
      <c r="E66" s="58" t="n"/>
      <c r="F66" s="58" t="n"/>
      <c r="G66" s="59" t="n"/>
      <c r="H66" s="58" t="n"/>
      <c r="I66" s="60" t="n"/>
    </row>
    <row r="67" ht="25" customHeight="1">
      <c r="A67" s="77" t="inlineStr">
        <is>
          <t>Commenced Asphalt Works</t>
        </is>
      </c>
      <c r="B67" s="58" t="n"/>
      <c r="C67" s="59" t="n"/>
      <c r="D67" s="59" t="n"/>
      <c r="E67" s="58" t="n"/>
      <c r="F67" s="58" t="n"/>
      <c r="G67" s="59" t="n"/>
      <c r="H67" s="58" t="n"/>
      <c r="I67" s="60" t="n"/>
    </row>
    <row r="68" ht="25" customHeight="1">
      <c r="A68" s="77" t="inlineStr">
        <is>
          <t>Adjustment of Pit Levels</t>
        </is>
      </c>
      <c r="B68" s="58" t="n"/>
      <c r="C68" s="59" t="n"/>
      <c r="D68" s="59" t="n"/>
      <c r="E68" s="58" t="n"/>
      <c r="F68" s="58" t="n"/>
      <c r="G68" s="59" t="n"/>
      <c r="H68" s="58" t="n"/>
      <c r="I68" s="60" t="n"/>
    </row>
    <row r="69" ht="25" customHeight="1">
      <c r="A69" s="77" t="inlineStr">
        <is>
          <t>Tree Pit Excavation</t>
        </is>
      </c>
      <c r="B69" s="58" t="n"/>
      <c r="C69" s="59" t="n"/>
      <c r="D69" s="59" t="n"/>
      <c r="E69" s="58" t="n"/>
      <c r="F69" s="58" t="n"/>
      <c r="G69" s="59" t="n"/>
      <c r="H69" s="58" t="n"/>
      <c r="I69" s="60" t="n"/>
    </row>
    <row r="70" ht="25" customHeight="1">
      <c r="A70" s="77" t="inlineStr">
        <is>
          <t>Trimming of Verges for Pavers</t>
        </is>
      </c>
      <c r="B70" s="58" t="n"/>
      <c r="C70" s="59" t="n"/>
      <c r="D70" s="59" t="n"/>
      <c r="E70" s="58" t="n"/>
      <c r="F70" s="58" t="n"/>
      <c r="G70" s="59" t="n"/>
      <c r="H70" s="58" t="n"/>
      <c r="I70" s="60" t="n"/>
    </row>
    <row r="71" ht="26.25" customHeight="1" thickBot="1">
      <c r="A71" s="224" t="inlineStr">
        <is>
          <t>Photos</t>
        </is>
      </c>
      <c r="B71" s="225" t="n"/>
      <c r="C71" s="225" t="n"/>
      <c r="D71" s="225" t="n"/>
      <c r="E71" s="225" t="n"/>
      <c r="F71" s="225" t="n"/>
      <c r="G71" s="225" t="n"/>
      <c r="H71" s="225" t="n"/>
      <c r="I71" s="226" t="n"/>
    </row>
    <row r="72" ht="23.25" customHeight="1">
      <c r="A72" s="61" t="n"/>
      <c r="B72" s="62" t="n"/>
      <c r="C72" s="62" t="n"/>
      <c r="D72" s="62" t="n"/>
      <c r="E72" s="62" t="n"/>
      <c r="F72" s="62" t="n"/>
      <c r="G72" s="62" t="n"/>
      <c r="H72" s="62" t="n"/>
      <c r="I72" s="63" t="n"/>
    </row>
    <row r="73" ht="23.2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H94" s="65" t="n"/>
      <c r="I94" s="66" t="n"/>
    </row>
    <row r="95" ht="25" customFormat="1" customHeight="1" s="67">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thickBot="1">
      <c r="A110" s="68" t="n"/>
      <c r="B110" s="69" t="n"/>
      <c r="C110" s="69" t="n"/>
      <c r="D110" s="69" t="n"/>
      <c r="E110" s="69" t="n"/>
      <c r="F110" s="69" t="n"/>
      <c r="G110" s="69" t="n"/>
      <c r="H110" s="69" t="n"/>
      <c r="I110" s="70"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2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28"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thickBot="1">
      <c r="A135" s="64" t="n"/>
      <c r="B135" s="65" t="n"/>
      <c r="C135" s="65" t="n"/>
      <c r="D135" s="65" t="n"/>
      <c r="E135" s="65" t="n"/>
      <c r="F135" s="65" t="n"/>
      <c r="G135" s="65" t="n"/>
      <c r="H135" s="65" t="n"/>
      <c r="I135" s="66" t="n"/>
      <c r="J135" s="71"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6" customHeight="1">
      <c r="A142" s="64" t="n"/>
      <c r="B142" s="65" t="n"/>
      <c r="C142" s="65" t="n"/>
      <c r="D142" s="65" t="n"/>
      <c r="E142" s="65" t="n"/>
      <c r="F142" s="65" t="n"/>
      <c r="G142" s="65" t="n"/>
      <c r="H142" s="65" t="n"/>
      <c r="I142" s="66" t="n"/>
    </row>
    <row r="143" ht="30.75" customHeight="1">
      <c r="A143" s="244" t="n"/>
      <c r="E143" s="245" t="n"/>
      <c r="I143" s="214"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ht="16" customHeight="1" thickBot="1">
      <c r="A197" s="74" t="n"/>
      <c r="B197" s="75" t="n"/>
      <c r="C197" s="75" t="n"/>
      <c r="D197" s="75" t="n"/>
      <c r="E197" s="75" t="n"/>
      <c r="F197" s="75" t="n"/>
      <c r="G197" s="75" t="n"/>
      <c r="H197" s="75" t="n"/>
      <c r="I197" s="76" t="n"/>
    </row>
    <row r="198">
      <c r="A198" s="72" t="n"/>
      <c r="I198" s="73" t="n"/>
    </row>
    <row r="199">
      <c r="A199" s="72" t="n"/>
      <c r="I199" s="73" t="n"/>
    </row>
    <row r="200">
      <c r="A200" s="72" t="n"/>
      <c r="I200" s="73" t="n"/>
    </row>
    <row r="201">
      <c r="A201" s="72" t="n"/>
      <c r="I201" s="73" t="n"/>
    </row>
    <row r="202">
      <c r="A202" s="72" t="n"/>
      <c r="I202" s="73" t="n"/>
    </row>
    <row r="203">
      <c r="A203" s="72" t="n"/>
      <c r="I203" s="73" t="n"/>
    </row>
    <row r="204" ht="16" customHeight="1" thickBot="1">
      <c r="A204" s="74" t="n"/>
      <c r="B204" s="75" t="n"/>
      <c r="C204" s="75" t="n"/>
      <c r="D204" s="75" t="n"/>
      <c r="E204" s="75" t="n"/>
      <c r="F204" s="75" t="n"/>
      <c r="G204" s="75" t="n"/>
      <c r="H204" s="75" t="n"/>
      <c r="I204" s="76" t="n"/>
    </row>
  </sheetData>
  <mergeCells count="39">
    <mergeCell ref="C61:I61"/>
    <mergeCell ref="D13:F13"/>
    <mergeCell ref="G13:I13"/>
    <mergeCell ref="A46:I46"/>
    <mergeCell ref="B8:D8"/>
    <mergeCell ref="A45:B45"/>
    <mergeCell ref="A47:I50"/>
    <mergeCell ref="A12:I12"/>
    <mergeCell ref="B43:C43"/>
    <mergeCell ref="B56:I56"/>
    <mergeCell ref="D43:I43"/>
    <mergeCell ref="B52:I52"/>
    <mergeCell ref="A57:I57"/>
    <mergeCell ref="A71:I71"/>
    <mergeCell ref="A5:I5"/>
    <mergeCell ref="A143:D143"/>
    <mergeCell ref="E143:I143"/>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0" min="0" max="8" man="1"/>
  </rowBreaks>
</worksheet>
</file>

<file path=xl/worksheets/sheet18.xml><?xml version="1.0" encoding="utf-8"?>
<worksheet xmlns="http://schemas.openxmlformats.org/spreadsheetml/2006/main">
  <sheetPr>
    <outlinePr summaryBelow="1" summaryRight="1"/>
    <pageSetUpPr fitToPage="1"/>
  </sheetPr>
  <dimension ref="A1:J202"/>
  <sheetViews>
    <sheetView view="pageBreakPreview" topLeftCell="A22" zoomScale="55" zoomScaleNormal="55" zoomScaleSheetLayoutView="55" workbookViewId="0">
      <selection activeCell="A65" sqref="A65:A68"/>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45951</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137</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46km/h SSW Precip: 1.4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v>8</v>
      </c>
    </row>
    <row r="17" ht="23.25" customHeight="1">
      <c r="A17" s="17" t="inlineStr">
        <is>
          <t>O"SHEA, John</t>
        </is>
      </c>
      <c r="B17" s="18" t="inlineStr">
        <is>
          <t>Senior Project Engineer</t>
        </is>
      </c>
      <c r="C17" s="22" t="n">
        <v>12</v>
      </c>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McConnell, Adam</t>
        </is>
      </c>
      <c r="H18" s="18" t="inlineStr">
        <is>
          <t>Labourer</t>
        </is>
      </c>
      <c r="I18" s="21" t="n">
        <v>12</v>
      </c>
    </row>
    <row r="19" ht="23.25" customHeight="1">
      <c r="A19" s="17" t="inlineStr">
        <is>
          <t>THOMPSON,Cheryl</t>
        </is>
      </c>
      <c r="B19" s="18" t="inlineStr">
        <is>
          <t>HSET</t>
        </is>
      </c>
      <c r="C19" s="22" t="n"/>
      <c r="D19" s="23" t="n"/>
      <c r="E19" s="23" t="n"/>
      <c r="F19" s="18" t="n"/>
      <c r="G19" s="20" t="inlineStr">
        <is>
          <t>Griffiths, Jaquai</t>
        </is>
      </c>
      <c r="H19" s="18" t="inlineStr">
        <is>
          <t>Operator</t>
        </is>
      </c>
      <c r="I19" s="21" t="n">
        <v>10</v>
      </c>
    </row>
    <row r="20" ht="23.25" customHeight="1">
      <c r="A20" s="17" t="inlineStr">
        <is>
          <t>SKINNER,Jamie</t>
        </is>
      </c>
      <c r="B20" s="18" t="inlineStr">
        <is>
          <t>Supervisor</t>
        </is>
      </c>
      <c r="C20" s="22" t="n">
        <v>12</v>
      </c>
      <c r="D20" s="23" t="n"/>
      <c r="E20" s="23" t="n"/>
      <c r="F20" s="18" t="n"/>
      <c r="G20" s="20" t="inlineStr">
        <is>
          <t>Asphalters</t>
        </is>
      </c>
      <c r="H20" s="18" t="inlineStr">
        <is>
          <t>Asphalters</t>
        </is>
      </c>
      <c r="I20" s="21" t="n">
        <v>120</v>
      </c>
    </row>
    <row r="21" ht="23.25" customHeight="1">
      <c r="A21" s="24" t="inlineStr">
        <is>
          <t>TONER, Ultan</t>
        </is>
      </c>
      <c r="B21" s="18" t="inlineStr">
        <is>
          <t>Supervisor</t>
        </is>
      </c>
      <c r="C21" s="22" t="n">
        <v>12</v>
      </c>
      <c r="D21" s="23" t="n"/>
      <c r="E21" s="23" t="n"/>
      <c r="F21" s="18" t="n"/>
      <c r="G21" s="20" t="n"/>
      <c r="H21" s="18" t="n"/>
      <c r="I21" s="21" t="n"/>
    </row>
    <row r="22" ht="23.25" customHeight="1">
      <c r="A22" s="17" t="n"/>
      <c r="B22" s="18" t="n"/>
      <c r="C22" s="22" t="n"/>
      <c r="D22" s="23" t="n"/>
      <c r="E22" s="23" t="n"/>
      <c r="F22" s="18" t="n"/>
      <c r="G22" s="20" t="n"/>
      <c r="H22" s="18" t="n"/>
      <c r="I22" s="21" t="n"/>
    </row>
    <row r="23" ht="23.25" customHeight="1">
      <c r="A23" s="17" t="n"/>
      <c r="B23" s="18" t="n"/>
      <c r="C23" s="22" t="n"/>
      <c r="D23" s="23" t="n"/>
      <c r="E23" s="23" t="n"/>
      <c r="F23" s="18" t="n"/>
      <c r="G23" s="18"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SUM(I11:I21)</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3</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v>7</v>
      </c>
      <c r="D34" s="22" t="n"/>
      <c r="E34" s="22" t="n"/>
      <c r="F34" s="22" t="n"/>
      <c r="G34" s="22" t="inlineStr">
        <is>
          <t>Skip Bin</t>
        </is>
      </c>
      <c r="H34" s="22" t="n"/>
      <c r="I34" s="21" t="n">
        <v>1</v>
      </c>
    </row>
    <row r="35" ht="23.25" customHeight="1">
      <c r="A35" s="22" t="inlineStr">
        <is>
          <t>Mini Tipper</t>
        </is>
      </c>
      <c r="B35" s="22" t="inlineStr">
        <is>
          <t>SLS05</t>
        </is>
      </c>
      <c r="C35" s="22" t="n">
        <v>3</v>
      </c>
      <c r="D35" s="22" t="n"/>
      <c r="E35" s="22" t="n"/>
      <c r="F35" s="22" t="n"/>
      <c r="G35" s="22" t="inlineStr">
        <is>
          <t>Hydrocarbon Bund</t>
        </is>
      </c>
      <c r="H35" s="22" t="n"/>
      <c r="I35" s="21" t="n">
        <v>1</v>
      </c>
    </row>
    <row r="36" ht="23.25" customHeight="1">
      <c r="A36" s="40" t="inlineStr">
        <is>
          <t>1 t Excavator</t>
        </is>
      </c>
      <c r="B36" s="22" t="inlineStr">
        <is>
          <t>SLS03</t>
        </is>
      </c>
      <c r="C36" s="22" t="n">
        <v>6</v>
      </c>
      <c r="D36" s="22" t="n"/>
      <c r="E36" s="22" t="n"/>
      <c r="F36" s="22" t="n"/>
      <c r="G36" s="22" t="inlineStr">
        <is>
          <t>Temp Fence</t>
        </is>
      </c>
      <c r="H36" s="18" t="n"/>
      <c r="I36" s="21" t="n">
        <v>1</v>
      </c>
    </row>
    <row r="37" ht="23.25" customHeight="1">
      <c r="A37" s="40" t="inlineStr">
        <is>
          <t>8T Excavator (Wheeled)</t>
        </is>
      </c>
      <c r="B37" s="22" t="inlineStr">
        <is>
          <t>BCC12</t>
        </is>
      </c>
      <c r="C37" s="22" t="n">
        <v>2</v>
      </c>
      <c r="D37" s="22" t="n"/>
      <c r="E37" s="22" t="n"/>
      <c r="F37" s="22" t="n"/>
      <c r="G37" s="22" t="n"/>
      <c r="H37" s="18" t="n"/>
      <c r="I37" s="21" t="n"/>
    </row>
    <row r="38" ht="24" customHeight="1">
      <c r="A38" s="40" t="inlineStr">
        <is>
          <t>14t Excavator with GPS</t>
        </is>
      </c>
      <c r="B38" s="22" t="inlineStr">
        <is>
          <t>EX153</t>
        </is>
      </c>
      <c r="C38" s="22" t="n">
        <v>8</v>
      </c>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19</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77" t="inlineStr">
        <is>
          <t>Patching of Seal</t>
        </is>
      </c>
      <c r="B65" s="58" t="n"/>
      <c r="C65" s="59" t="n"/>
      <c r="D65" s="59" t="n"/>
      <c r="E65" s="58" t="n"/>
      <c r="F65" s="58" t="n"/>
      <c r="G65" s="59" t="n"/>
      <c r="H65" s="58" t="n"/>
      <c r="I65" s="60" t="n"/>
    </row>
    <row r="66" ht="25" customHeight="1">
      <c r="A66" s="77" t="inlineStr">
        <is>
          <t>Setting of Pits &amp; Redirecting Conflicting Irrigation Laterals</t>
        </is>
      </c>
      <c r="B66" s="58" t="n"/>
      <c r="C66" s="59" t="n"/>
      <c r="D66" s="59" t="n"/>
      <c r="E66" s="58" t="n"/>
      <c r="F66" s="58" t="n"/>
      <c r="G66" s="59" t="n"/>
      <c r="H66" s="58" t="n"/>
      <c r="I66" s="60" t="n"/>
    </row>
    <row r="67" ht="25" customHeight="1">
      <c r="A67" s="77" t="inlineStr">
        <is>
          <t>Asphalting Monument South</t>
        </is>
      </c>
      <c r="B67" s="58" t="n"/>
      <c r="C67" s="59" t="n"/>
      <c r="D67" s="59" t="n"/>
      <c r="E67" s="58" t="n"/>
      <c r="F67" s="58" t="n"/>
      <c r="G67" s="59" t="n"/>
      <c r="H67" s="58" t="n"/>
      <c r="I67" s="60" t="n"/>
    </row>
    <row r="68" ht="25" customHeight="1">
      <c r="A68" s="77" t="inlineStr">
        <is>
          <t>Trimming of Verges for Pavers</t>
        </is>
      </c>
      <c r="B68" s="58" t="n"/>
      <c r="C68" s="59" t="n"/>
      <c r="D68" s="59" t="n"/>
      <c r="E68" s="58" t="n"/>
      <c r="F68" s="58" t="n"/>
      <c r="G68" s="59" t="n"/>
      <c r="H68" s="58" t="n"/>
      <c r="I68" s="60" t="n"/>
    </row>
    <row r="69" ht="26.25" customHeight="1" thickBot="1">
      <c r="A69" s="224" t="inlineStr">
        <is>
          <t>Photos</t>
        </is>
      </c>
      <c r="B69" s="225" t="n"/>
      <c r="C69" s="225" t="n"/>
      <c r="D69" s="225" t="n"/>
      <c r="E69" s="225" t="n"/>
      <c r="F69" s="225" t="n"/>
      <c r="G69" s="225" t="n"/>
      <c r="H69" s="225" t="n"/>
      <c r="I69" s="226" t="n"/>
    </row>
    <row r="70" ht="23.25" customHeight="1">
      <c r="A70" s="61" t="n"/>
      <c r="B70" s="62" t="n"/>
      <c r="C70" s="62" t="n"/>
      <c r="D70" s="62" t="n"/>
      <c r="E70" s="62" t="n"/>
      <c r="F70" s="62" t="n"/>
      <c r="G70" s="62" t="n"/>
      <c r="H70" s="62" t="n"/>
      <c r="I70" s="63" t="n"/>
    </row>
    <row r="71" ht="23.25" customHeight="1">
      <c r="A71" s="64" t="n"/>
      <c r="B71" s="65" t="n"/>
      <c r="C71" s="65" t="n"/>
      <c r="D71" s="65" t="n"/>
      <c r="E71" s="65" t="n"/>
      <c r="F71" s="65" t="n"/>
      <c r="G71" s="65" t="n"/>
      <c r="H71" s="65" t="n"/>
      <c r="I71" s="66" t="n"/>
    </row>
    <row r="72" ht="1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H92" s="65" t="n"/>
      <c r="I92" s="66" t="n"/>
    </row>
    <row r="93" ht="25" customFormat="1" customHeight="1" s="67">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thickBot="1">
      <c r="A108" s="68" t="n"/>
      <c r="B108" s="69" t="n"/>
      <c r="C108" s="69" t="n"/>
      <c r="D108" s="69" t="n"/>
      <c r="E108" s="69" t="n"/>
      <c r="F108" s="69" t="n"/>
      <c r="G108" s="69" t="n"/>
      <c r="H108" s="69" t="n"/>
      <c r="I108" s="70"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2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28"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thickBot="1">
      <c r="A133" s="64" t="n"/>
      <c r="B133" s="65" t="n"/>
      <c r="C133" s="65" t="n"/>
      <c r="D133" s="65" t="n"/>
      <c r="E133" s="65" t="n"/>
      <c r="F133" s="65" t="n"/>
      <c r="G133" s="65" t="n"/>
      <c r="H133" s="65" t="n"/>
      <c r="I133" s="66" t="n"/>
      <c r="J133" s="71"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6" customHeight="1">
      <c r="A140" s="64" t="n"/>
      <c r="B140" s="65" t="n"/>
      <c r="C140" s="65" t="n"/>
      <c r="D140" s="65" t="n"/>
      <c r="E140" s="65" t="n"/>
      <c r="F140" s="65" t="n"/>
      <c r="G140" s="65" t="n"/>
      <c r="H140" s="65" t="n"/>
      <c r="I140" s="66" t="n"/>
    </row>
    <row r="141" ht="30.75" customHeight="1">
      <c r="A141" s="244" t="n"/>
      <c r="E141" s="245" t="n"/>
      <c r="I141" s="214" t="n"/>
    </row>
    <row r="142">
      <c r="A142" s="72" t="n"/>
      <c r="I142" s="73"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I176" s="73" t="n"/>
    </row>
    <row r="177">
      <c r="A177" s="72" t="n"/>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ht="16" customHeight="1" thickBot="1">
      <c r="A195" s="74" t="n"/>
      <c r="B195" s="75" t="n"/>
      <c r="C195" s="75" t="n"/>
      <c r="D195" s="75" t="n"/>
      <c r="E195" s="75" t="n"/>
      <c r="F195" s="75" t="n"/>
      <c r="G195" s="75" t="n"/>
      <c r="H195" s="75" t="n"/>
      <c r="I195" s="76" t="n"/>
    </row>
    <row r="196">
      <c r="A196" s="72" t="n"/>
      <c r="I196" s="73" t="n"/>
    </row>
    <row r="197">
      <c r="A197" s="72" t="n"/>
      <c r="I197" s="73" t="n"/>
    </row>
    <row r="198">
      <c r="A198" s="72" t="n"/>
      <c r="I198" s="73" t="n"/>
    </row>
    <row r="199">
      <c r="A199" s="72" t="n"/>
      <c r="I199" s="73" t="n"/>
    </row>
    <row r="200">
      <c r="A200" s="72" t="n"/>
      <c r="I200" s="73" t="n"/>
    </row>
    <row r="201">
      <c r="A201" s="72" t="n"/>
      <c r="I201" s="73" t="n"/>
    </row>
    <row r="202" ht="16" customHeight="1" thickBot="1">
      <c r="A202" s="74" t="n"/>
      <c r="B202" s="75" t="n"/>
      <c r="C202" s="75" t="n"/>
      <c r="D202" s="75" t="n"/>
      <c r="E202" s="75" t="n"/>
      <c r="F202" s="75" t="n"/>
      <c r="G202" s="75" t="n"/>
      <c r="H202" s="75" t="n"/>
      <c r="I202" s="76" t="n"/>
    </row>
  </sheetData>
  <mergeCells count="39">
    <mergeCell ref="C61:I61"/>
    <mergeCell ref="D13:F13"/>
    <mergeCell ref="A141:D141"/>
    <mergeCell ref="G13:I13"/>
    <mergeCell ref="A46:I46"/>
    <mergeCell ref="B8:D8"/>
    <mergeCell ref="A45:B45"/>
    <mergeCell ref="A47:I50"/>
    <mergeCell ref="A12:I12"/>
    <mergeCell ref="E141:I141"/>
    <mergeCell ref="B43:C43"/>
    <mergeCell ref="B56:I56"/>
    <mergeCell ref="D43:I43"/>
    <mergeCell ref="B52:I52"/>
    <mergeCell ref="A57:I57"/>
    <mergeCell ref="A5:I5"/>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8" min="0" max="8" man="1"/>
  </rowBreaks>
</worksheet>
</file>

<file path=xl/worksheets/sheet19.xml><?xml version="1.0" encoding="utf-8"?>
<worksheet xmlns="http://schemas.openxmlformats.org/spreadsheetml/2006/main">
  <sheetPr>
    <outlinePr summaryBelow="1" summaryRight="1"/>
    <pageSetUpPr fitToPage="1"/>
  </sheetPr>
  <dimension ref="A1:J203"/>
  <sheetViews>
    <sheetView view="pageBreakPreview" topLeftCell="A67" zoomScale="70" zoomScaleNormal="55" zoomScaleSheetLayoutView="70" workbookViewId="0">
      <selection activeCell="A65" sqref="A65:A69"/>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45952</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138</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25 degrees  Wind:  44km/h S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v>8</v>
      </c>
    </row>
    <row r="17" ht="23.25" customHeight="1">
      <c r="A17" s="17" t="inlineStr">
        <is>
          <t>O"SHEA, John</t>
        </is>
      </c>
      <c r="B17" s="18" t="inlineStr">
        <is>
          <t>Senior Project Engineer</t>
        </is>
      </c>
      <c r="C17" s="22" t="n"/>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Asphalters</t>
        </is>
      </c>
      <c r="H19" s="18" t="inlineStr">
        <is>
          <t>Asphalters</t>
        </is>
      </c>
      <c r="I19" s="21" t="n">
        <v>120</v>
      </c>
    </row>
    <row r="20" ht="23.25" customHeight="1">
      <c r="A20" s="17" t="inlineStr">
        <is>
          <t>SKINNER,Jamie</t>
        </is>
      </c>
      <c r="B20" s="18" t="inlineStr">
        <is>
          <t>Supervisor</t>
        </is>
      </c>
      <c r="C20" s="22" t="n">
        <v>12</v>
      </c>
      <c r="D20" s="23" t="n"/>
      <c r="E20" s="23" t="n"/>
      <c r="F20" s="18" t="n"/>
      <c r="G20" s="20" t="inlineStr">
        <is>
          <t>Ferstat, Frank</t>
        </is>
      </c>
      <c r="H20" s="18" t="inlineStr">
        <is>
          <t>Operator</t>
        </is>
      </c>
      <c r="I20" s="21" t="n">
        <v>8.5</v>
      </c>
    </row>
    <row r="21" ht="23.25" customHeight="1">
      <c r="A21" s="24" t="inlineStr">
        <is>
          <t>TONER, Ultan</t>
        </is>
      </c>
      <c r="B21" s="18" t="inlineStr">
        <is>
          <t>Supervisor</t>
        </is>
      </c>
      <c r="C21" s="22" t="n">
        <v>12</v>
      </c>
      <c r="D21" s="23" t="n"/>
      <c r="E21" s="23" t="n"/>
      <c r="F21" s="18" t="n"/>
      <c r="G21" s="20" t="inlineStr">
        <is>
          <t>McConnell, Adam</t>
        </is>
      </c>
      <c r="H21" s="18" t="inlineStr">
        <is>
          <t>Labourer</t>
        </is>
      </c>
      <c r="I21" s="21" t="n">
        <v>12</v>
      </c>
    </row>
    <row r="22" ht="23.25" customHeight="1">
      <c r="A22" s="17" t="inlineStr">
        <is>
          <t>JOGI, Amit</t>
        </is>
      </c>
      <c r="B22" s="18" t="inlineStr">
        <is>
          <t>Project Engineer</t>
        </is>
      </c>
      <c r="C22" s="22" t="n">
        <v>12</v>
      </c>
      <c r="D22" s="23" t="n"/>
      <c r="E22" s="23" t="n"/>
      <c r="F22" s="18" t="n"/>
      <c r="G22" s="20" t="n"/>
      <c r="H22" s="18" t="n"/>
      <c r="I22" s="21" t="n"/>
    </row>
    <row r="23" ht="23.25" customHeight="1">
      <c r="A23" s="17" t="n"/>
      <c r="B23" s="18" t="n"/>
      <c r="C23" s="22" t="n"/>
      <c r="D23" s="23" t="n"/>
      <c r="E23" s="23" t="n"/>
      <c r="F23" s="18" t="n"/>
      <c r="G23" s="20" t="n"/>
      <c r="H23" s="18" t="n"/>
      <c r="I23" s="21" t="n"/>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SUM(I11:I19)</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2</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v>2</v>
      </c>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3</v>
      </c>
      <c r="D33" s="22" t="n"/>
      <c r="E33" s="18" t="n"/>
      <c r="F33" s="22" t="n"/>
      <c r="G33" s="22" t="inlineStr">
        <is>
          <t>Site Sentry Tower</t>
        </is>
      </c>
      <c r="H33" s="22" t="n"/>
      <c r="I33" s="21" t="n">
        <v>2</v>
      </c>
    </row>
    <row r="34" ht="23.25" customHeight="1">
      <c r="A34" s="38" t="inlineStr">
        <is>
          <t>8T Excavator</t>
        </is>
      </c>
      <c r="B34" s="39" t="inlineStr">
        <is>
          <t>AMG 014</t>
        </is>
      </c>
      <c r="C34" s="18" t="n">
        <v>4</v>
      </c>
      <c r="D34" s="22" t="n"/>
      <c r="E34" s="22" t="n"/>
      <c r="F34" s="22" t="n"/>
      <c r="G34" s="22" t="inlineStr">
        <is>
          <t>Skip Bin</t>
        </is>
      </c>
      <c r="H34" s="22" t="n"/>
      <c r="I34" s="21" t="n">
        <v>1</v>
      </c>
    </row>
    <row r="35" ht="23.25" customHeight="1">
      <c r="A35" s="22" t="inlineStr">
        <is>
          <t>Mini Tipper</t>
        </is>
      </c>
      <c r="B35" s="22" t="inlineStr">
        <is>
          <t>SLS05</t>
        </is>
      </c>
      <c r="C35" s="22" t="n">
        <v>2</v>
      </c>
      <c r="D35" s="22" t="n"/>
      <c r="E35" s="22" t="n"/>
      <c r="F35" s="22" t="n"/>
      <c r="G35" s="22" t="inlineStr">
        <is>
          <t>Hydrocarbon Bund</t>
        </is>
      </c>
      <c r="H35" s="22" t="n"/>
      <c r="I35" s="21" t="n">
        <v>1</v>
      </c>
    </row>
    <row r="36" ht="23.25" customHeight="1">
      <c r="A36" s="40" t="inlineStr">
        <is>
          <t>1 t Excavator</t>
        </is>
      </c>
      <c r="B36" s="22" t="inlineStr">
        <is>
          <t>SLS03</t>
        </is>
      </c>
      <c r="C36" s="22" t="n">
        <v>8</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8</v>
      </c>
      <c r="D38" s="22" t="n"/>
      <c r="E38" s="22" t="n"/>
      <c r="F38" s="22" t="n"/>
      <c r="G38" s="41" t="n"/>
      <c r="H38" s="41" t="n"/>
      <c r="I38" s="42" t="n"/>
    </row>
    <row r="39" ht="24" customHeight="1">
      <c r="A39" s="40" t="inlineStr">
        <is>
          <t>Roller (1.5t)</t>
        </is>
      </c>
      <c r="B39" s="22" t="inlineStr">
        <is>
          <t>R538</t>
        </is>
      </c>
      <c r="C39" s="22" t="n">
        <v>3</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15"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20</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77" t="inlineStr">
        <is>
          <t>Patching of Seal</t>
        </is>
      </c>
      <c r="B65" s="58" t="n"/>
      <c r="C65" s="59" t="n"/>
      <c r="D65" s="59" t="n"/>
      <c r="E65" s="58" t="n"/>
      <c r="F65" s="58" t="n"/>
      <c r="G65" s="59" t="n"/>
      <c r="H65" s="58" t="n"/>
      <c r="I65" s="60" t="n"/>
    </row>
    <row r="66" ht="25" customHeight="1">
      <c r="A66" s="77" t="inlineStr">
        <is>
          <t>Setting of Pits &amp; Redirecting Conflicting Irrigation Laterals</t>
        </is>
      </c>
      <c r="B66" s="58" t="n"/>
      <c r="C66" s="59" t="n"/>
      <c r="D66" s="59" t="n"/>
      <c r="E66" s="58" t="n"/>
      <c r="F66" s="58" t="n"/>
      <c r="G66" s="59" t="n"/>
      <c r="H66" s="58" t="n"/>
      <c r="I66" s="60" t="n"/>
    </row>
    <row r="67" ht="25" customHeight="1">
      <c r="A67" s="77" t="inlineStr">
        <is>
          <t>Exposure of Gas Pipe Bayley Street</t>
        </is>
      </c>
      <c r="B67" s="58" t="n"/>
      <c r="C67" s="59" t="n"/>
      <c r="D67" s="59" t="n"/>
      <c r="E67" s="58" t="n"/>
      <c r="F67" s="58" t="n"/>
      <c r="G67" s="59" t="n"/>
      <c r="H67" s="58" t="n"/>
      <c r="I67" s="60" t="n"/>
    </row>
    <row r="68" ht="25" customHeight="1">
      <c r="A68" s="77" t="inlineStr">
        <is>
          <t>Ongoing Asphalt Works</t>
        </is>
      </c>
      <c r="B68" s="58" t="n"/>
      <c r="C68" s="59" t="n"/>
      <c r="D68" s="59" t="n"/>
      <c r="E68" s="58" t="n"/>
      <c r="F68" s="58" t="n"/>
      <c r="G68" s="59" t="n"/>
      <c r="H68" s="58" t="n"/>
      <c r="I68" s="60" t="n"/>
    </row>
    <row r="69" ht="25" customHeight="1">
      <c r="A69" s="77" t="inlineStr">
        <is>
          <t>Trimming of Verges for Pavers</t>
        </is>
      </c>
      <c r="B69" s="58" t="n"/>
      <c r="C69" s="59" t="n"/>
      <c r="D69" s="59" t="n"/>
      <c r="E69" s="58" t="n"/>
      <c r="F69" s="58" t="n"/>
      <c r="G69" s="59" t="n"/>
      <c r="H69" s="58" t="n"/>
      <c r="I69" s="60" t="n"/>
    </row>
    <row r="70" ht="26.25" customHeight="1" thickBot="1">
      <c r="A70" s="224" t="inlineStr">
        <is>
          <t>Photos</t>
        </is>
      </c>
      <c r="B70" s="225" t="n"/>
      <c r="C70" s="225" t="n"/>
      <c r="D70" s="225" t="n"/>
      <c r="E70" s="225" t="n"/>
      <c r="F70" s="225" t="n"/>
      <c r="G70" s="225" t="n"/>
      <c r="H70" s="225" t="n"/>
      <c r="I70" s="226" t="n"/>
    </row>
    <row r="71" ht="23.25" customHeight="1">
      <c r="A71" s="61" t="n"/>
      <c r="B71" s="62" t="n"/>
      <c r="C71" s="62" t="n"/>
      <c r="D71" s="62" t="n"/>
      <c r="E71" s="62" t="n"/>
      <c r="F71" s="62" t="n"/>
      <c r="G71" s="62" t="n"/>
      <c r="H71" s="62" t="n"/>
      <c r="I71" s="63" t="n"/>
    </row>
    <row r="72" ht="23.2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H93" s="65" t="n"/>
      <c r="I93" s="66" t="n"/>
    </row>
    <row r="94" ht="25" customFormat="1" customHeight="1" s="67">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thickBot="1">
      <c r="A109" s="68" t="n"/>
      <c r="B109" s="69" t="n"/>
      <c r="C109" s="69" t="n"/>
      <c r="D109" s="69" t="n"/>
      <c r="E109" s="69" t="n"/>
      <c r="F109" s="69" t="n"/>
      <c r="G109" s="69" t="n"/>
      <c r="H109" s="69" t="n"/>
      <c r="I109" s="70"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2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8"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thickBot="1">
      <c r="A134" s="64" t="n"/>
      <c r="B134" s="65" t="n"/>
      <c r="C134" s="65" t="n"/>
      <c r="D134" s="65" t="n"/>
      <c r="E134" s="65" t="n"/>
      <c r="F134" s="65" t="n"/>
      <c r="G134" s="65" t="n"/>
      <c r="H134" s="65" t="n"/>
      <c r="I134" s="66" t="n"/>
      <c r="J134" s="71"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6" customHeight="1">
      <c r="A141" s="64" t="n"/>
      <c r="B141" s="65" t="n"/>
      <c r="C141" s="65" t="n"/>
      <c r="D141" s="65" t="n"/>
      <c r="E141" s="65" t="n"/>
      <c r="F141" s="65" t="n"/>
      <c r="G141" s="65" t="n"/>
      <c r="H141" s="65" t="n"/>
      <c r="I141" s="66" t="n"/>
    </row>
    <row r="142" ht="30.75" customHeight="1">
      <c r="A142" s="244" t="n"/>
      <c r="E142" s="245" t="n"/>
      <c r="I142" s="214"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ht="16" customHeight="1" thickBot="1">
      <c r="A196" s="74" t="n"/>
      <c r="B196" s="75" t="n"/>
      <c r="C196" s="75" t="n"/>
      <c r="D196" s="75" t="n"/>
      <c r="E196" s="75" t="n"/>
      <c r="F196" s="75" t="n"/>
      <c r="G196" s="75" t="n"/>
      <c r="H196" s="75" t="n"/>
      <c r="I196" s="76" t="n"/>
    </row>
    <row r="197">
      <c r="A197" s="72" t="n"/>
      <c r="I197" s="73" t="n"/>
    </row>
    <row r="198">
      <c r="A198" s="72" t="n"/>
      <c r="I198" s="73" t="n"/>
    </row>
    <row r="199">
      <c r="A199" s="72" t="n"/>
      <c r="I199" s="73" t="n"/>
    </row>
    <row r="200">
      <c r="A200" s="72" t="n"/>
      <c r="I200" s="73" t="n"/>
    </row>
    <row r="201">
      <c r="A201" s="72" t="n"/>
      <c r="I201" s="73" t="n"/>
    </row>
    <row r="202">
      <c r="A202" s="72" t="n"/>
      <c r="I202" s="73" t="n"/>
    </row>
    <row r="203" ht="16" customHeight="1" thickBot="1">
      <c r="A203" s="74" t="n"/>
      <c r="B203" s="75" t="n"/>
      <c r="C203" s="75" t="n"/>
      <c r="D203" s="75" t="n"/>
      <c r="E203" s="75" t="n"/>
      <c r="F203" s="75" t="n"/>
      <c r="G203" s="75" t="n"/>
      <c r="H203" s="75" t="n"/>
      <c r="I203" s="76" t="n"/>
    </row>
  </sheetData>
  <mergeCells count="39">
    <mergeCell ref="C61:I61"/>
    <mergeCell ref="D13:F13"/>
    <mergeCell ref="G13:I13"/>
    <mergeCell ref="A46:I46"/>
    <mergeCell ref="B8:D8"/>
    <mergeCell ref="A45:B45"/>
    <mergeCell ref="E142:I142"/>
    <mergeCell ref="A47:I50"/>
    <mergeCell ref="A12:I12"/>
    <mergeCell ref="B43:C43"/>
    <mergeCell ref="B56:I56"/>
    <mergeCell ref="D43:I43"/>
    <mergeCell ref="B52:I52"/>
    <mergeCell ref="A57:I57"/>
    <mergeCell ref="A5:I5"/>
    <mergeCell ref="B42:C42"/>
    <mergeCell ref="B9:D9"/>
    <mergeCell ref="A142:D142"/>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A70:I70"/>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9" min="0" max="8" man="1"/>
  </rowBreaks>
</worksheet>
</file>

<file path=xl/worksheets/sheet20.xml><?xml version="1.0" encoding="utf-8"?>
<worksheet xmlns="http://schemas.openxmlformats.org/spreadsheetml/2006/main">
  <sheetPr>
    <outlinePr summaryBelow="1" summaryRight="1"/>
    <pageSetUpPr fitToPage="1"/>
  </sheetPr>
  <dimension ref="A1:J206"/>
  <sheetViews>
    <sheetView view="pageBreakPreview" topLeftCell="C4" zoomScale="70" zoomScaleNormal="55" zoomScaleSheetLayoutView="70" workbookViewId="0">
      <selection activeCell="A48" sqref="A48:I51"/>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45953</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139</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24 degrees  Wind:  44km/h SW Precip: 0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v>8</v>
      </c>
    </row>
    <row r="17" ht="23.25" customHeight="1">
      <c r="A17" s="17" t="inlineStr">
        <is>
          <t>O"SHEA, John</t>
        </is>
      </c>
      <c r="B17" s="18" t="inlineStr">
        <is>
          <t>Senior Project Engineer</t>
        </is>
      </c>
      <c r="C17" s="22" t="n">
        <v>12</v>
      </c>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v>10</v>
      </c>
      <c r="D18" s="23" t="n"/>
      <c r="E18" s="23" t="n"/>
      <c r="F18" s="18" t="n"/>
      <c r="G18" s="20" t="inlineStr">
        <is>
          <t>Griffiths, Jaquai</t>
        </is>
      </c>
      <c r="H18" s="18" t="inlineStr">
        <is>
          <t>Operator</t>
        </is>
      </c>
      <c r="I18" s="21" t="n">
        <v>10</v>
      </c>
    </row>
    <row r="19" ht="23.25" customHeight="1">
      <c r="A19" s="17" t="inlineStr">
        <is>
          <t>THOMPSON,Cheryl</t>
        </is>
      </c>
      <c r="B19" s="18" t="inlineStr">
        <is>
          <t>HSET</t>
        </is>
      </c>
      <c r="C19" s="22" t="n"/>
      <c r="D19" s="23" t="n"/>
      <c r="E19" s="23" t="n"/>
      <c r="F19" s="18" t="n"/>
      <c r="G19" s="20" t="inlineStr">
        <is>
          <t>Asphalters</t>
        </is>
      </c>
      <c r="H19" s="18" t="inlineStr">
        <is>
          <t>Asphalters</t>
        </is>
      </c>
      <c r="I19" s="21" t="n">
        <v>120</v>
      </c>
    </row>
    <row r="20" ht="23.25" customHeight="1">
      <c r="A20" s="17" t="inlineStr">
        <is>
          <t>SKINNER,Jamie</t>
        </is>
      </c>
      <c r="B20" s="18" t="inlineStr">
        <is>
          <t>Supervisor</t>
        </is>
      </c>
      <c r="C20" s="22" t="n">
        <v>6</v>
      </c>
      <c r="D20" s="23" t="n"/>
      <c r="E20" s="23" t="n"/>
      <c r="F20" s="18" t="n"/>
      <c r="G20" s="20" t="inlineStr">
        <is>
          <t>Vac Truck</t>
        </is>
      </c>
      <c r="H20" s="18" t="inlineStr">
        <is>
          <t>Labourers</t>
        </is>
      </c>
      <c r="I20" s="21" t="n">
        <v>16</v>
      </c>
    </row>
    <row r="21" ht="23.25" customHeight="1">
      <c r="A21" s="24" t="inlineStr">
        <is>
          <t>TONER, Ultan</t>
        </is>
      </c>
      <c r="B21" s="18" t="inlineStr">
        <is>
          <t>Supervisor</t>
        </is>
      </c>
      <c r="C21" s="22" t="n">
        <v>12</v>
      </c>
      <c r="D21" s="23" t="n"/>
      <c r="E21" s="23" t="n"/>
      <c r="F21" s="18" t="n"/>
      <c r="G21" s="20" t="inlineStr">
        <is>
          <t>Elite Electrical</t>
        </is>
      </c>
      <c r="H21" s="18" t="inlineStr">
        <is>
          <t>Electricians</t>
        </is>
      </c>
      <c r="I21" s="21" t="n">
        <v>15</v>
      </c>
    </row>
    <row r="22" ht="23.25" customHeight="1">
      <c r="A22" s="17" t="inlineStr">
        <is>
          <t>JOGI, Amit</t>
        </is>
      </c>
      <c r="B22" s="18" t="inlineStr">
        <is>
          <t>Project Engineer</t>
        </is>
      </c>
      <c r="C22" s="22" t="n">
        <v>12</v>
      </c>
      <c r="D22" s="23" t="n"/>
      <c r="E22" s="23" t="n"/>
      <c r="F22" s="18" t="n"/>
      <c r="G22" s="20" t="inlineStr">
        <is>
          <t>Traffic Controllers</t>
        </is>
      </c>
      <c r="H22" s="18" t="inlineStr">
        <is>
          <t>Labourers</t>
        </is>
      </c>
      <c r="I22" s="21" t="n">
        <v>8</v>
      </c>
    </row>
    <row r="23" ht="23.25" customHeight="1">
      <c r="A23" s="17" t="n"/>
      <c r="B23" s="18" t="n"/>
      <c r="C23" s="22" t="n"/>
      <c r="D23" s="23" t="n"/>
      <c r="E23" s="23" t="n"/>
      <c r="F23" s="18" t="n"/>
      <c r="G23" s="20" t="inlineStr">
        <is>
          <t>Ferstat, Frank</t>
        </is>
      </c>
      <c r="H23" s="18" t="inlineStr">
        <is>
          <t>Operator</t>
        </is>
      </c>
      <c r="I23" s="21" t="n">
        <v>4.5</v>
      </c>
    </row>
    <row r="24" ht="23.25" customHeight="1">
      <c r="A24" s="17" t="n"/>
      <c r="B24" s="18" t="n"/>
      <c r="C24" s="22" t="n"/>
      <c r="D24" s="23" t="n"/>
      <c r="E24" s="23" t="n"/>
      <c r="F24" s="18" t="n"/>
      <c r="G24" s="20" t="inlineStr">
        <is>
          <t>Superstruct</t>
        </is>
      </c>
      <c r="H24" s="18" t="inlineStr">
        <is>
          <t>Concreters</t>
        </is>
      </c>
      <c r="I24" s="21" t="n">
        <v>15</v>
      </c>
    </row>
    <row r="25" ht="23.25" customHeight="1">
      <c r="A25" s="17" t="n"/>
      <c r="B25" s="18" t="n"/>
      <c r="C25" s="22" t="n"/>
      <c r="D25" s="23" t="n"/>
      <c r="E25" s="23" t="n"/>
      <c r="F25" s="18" t="n"/>
      <c r="G25" s="20" t="inlineStr">
        <is>
          <t>McConnell, Adam</t>
        </is>
      </c>
      <c r="H25" s="18" t="inlineStr">
        <is>
          <t>Labourer</t>
        </is>
      </c>
      <c r="I25" s="21" t="n">
        <v>12</v>
      </c>
    </row>
    <row r="26" ht="23.25" customHeight="1">
      <c r="A26" s="232" t="inlineStr">
        <is>
          <t xml:space="preserve">Total Indirect Personnel onsite: </t>
        </is>
      </c>
      <c r="B26" s="26">
        <f>COUNT(C15:C26)</f>
        <v/>
      </c>
      <c r="C26" s="23" t="n"/>
      <c r="D26" s="23" t="n"/>
      <c r="E26" s="23" t="n"/>
      <c r="F26" s="18" t="n"/>
      <c r="G26" s="27" t="n"/>
      <c r="H26" s="28" t="n"/>
      <c r="I26" s="21" t="n"/>
    </row>
    <row r="27" ht="23.25" customHeight="1">
      <c r="A27" s="232" t="inlineStr">
        <is>
          <t xml:space="preserve">Total Indirect Personnel hours: </t>
        </is>
      </c>
      <c r="B27" s="26">
        <f>SUM(C15:C22)</f>
        <v/>
      </c>
      <c r="C27" s="22" t="n"/>
      <c r="D27" s="23" t="n"/>
      <c r="E27" s="23" t="n"/>
      <c r="F27" s="18" t="n"/>
      <c r="G27" s="29" t="inlineStr">
        <is>
          <t>Total Subcontractor on-site:</t>
        </is>
      </c>
      <c r="H27" s="30" t="n">
        <v>13</v>
      </c>
      <c r="I27" s="21" t="n"/>
    </row>
    <row r="28" ht="23.25" customHeight="1">
      <c r="A28" s="232" t="inlineStr">
        <is>
          <t xml:space="preserve">Total Direct Personnel onsite:  </t>
        </is>
      </c>
      <c r="B28" s="26">
        <f>COUNTIF(F15:F29,"&gt;0")</f>
        <v/>
      </c>
      <c r="C28" s="26" t="n"/>
      <c r="D28" s="23" t="n"/>
      <c r="E28" s="23" t="n"/>
      <c r="F28" s="31" t="n"/>
      <c r="G28" s="29" t="inlineStr">
        <is>
          <t>Total Subcontractor hours:</t>
        </is>
      </c>
      <c r="H28" s="30">
        <f>SUM(I11:I20)</f>
        <v/>
      </c>
      <c r="I28" s="231" t="n"/>
    </row>
    <row r="29" ht="23.25" customHeight="1">
      <c r="A29" s="232" t="inlineStr">
        <is>
          <t xml:space="preserve">Total Direct Personnel hours: </t>
        </is>
      </c>
      <c r="B29" s="26">
        <f>SUM(F15:F29)</f>
        <v/>
      </c>
      <c r="C29" s="26" t="n"/>
      <c r="D29" s="26" t="n"/>
      <c r="E29" s="26" t="n"/>
      <c r="F29" s="26" t="n"/>
      <c r="G29" s="26" t="n"/>
      <c r="H29" s="26" t="n"/>
      <c r="I29" s="231" t="n"/>
    </row>
    <row r="30" ht="25" customHeight="1">
      <c r="A30" s="33" t="inlineStr">
        <is>
          <t>PLANT &amp; EQUIPMENT</t>
        </is>
      </c>
      <c r="B30" s="34" t="n"/>
      <c r="C30" s="34" t="n"/>
      <c r="D30" s="34" t="n"/>
      <c r="E30" s="34" t="n"/>
      <c r="F30" s="34" t="n"/>
      <c r="G30" s="34" t="n"/>
      <c r="H30" s="34" t="n"/>
      <c r="I30" s="35" t="n"/>
    </row>
    <row r="31" ht="24" customHeight="1">
      <c r="A31" s="227" t="inlineStr">
        <is>
          <t>Plant</t>
        </is>
      </c>
      <c r="B31" s="228" t="inlineStr">
        <is>
          <t>ID</t>
        </is>
      </c>
      <c r="C31" s="228" t="inlineStr">
        <is>
          <t>Hours</t>
        </is>
      </c>
      <c r="D31" s="228" t="inlineStr">
        <is>
          <t xml:space="preserve"> Vehicles</t>
        </is>
      </c>
      <c r="E31" s="228" t="inlineStr">
        <is>
          <t>ID</t>
        </is>
      </c>
      <c r="F31" s="228" t="inlineStr">
        <is>
          <t>QTY</t>
        </is>
      </c>
      <c r="G31" s="36" t="inlineStr">
        <is>
          <t>Site Facilities</t>
        </is>
      </c>
      <c r="H31" s="36" t="inlineStr">
        <is>
          <t>ID</t>
        </is>
      </c>
      <c r="I31" s="37" t="inlineStr">
        <is>
          <t>Qty</t>
        </is>
      </c>
    </row>
    <row r="32" ht="23.25" customHeight="1">
      <c r="A32" s="17" t="inlineStr">
        <is>
          <t>Komatsu WA320</t>
        </is>
      </c>
      <c r="B32" s="18" t="inlineStr">
        <is>
          <t>FWL18</t>
        </is>
      </c>
      <c r="C32" s="18" t="n">
        <v>2</v>
      </c>
      <c r="D32" s="22" t="inlineStr">
        <is>
          <t>Hilux</t>
        </is>
      </c>
      <c r="E32" s="22" t="inlineStr">
        <is>
          <t>DLV90</t>
        </is>
      </c>
      <c r="F32" s="22" t="n">
        <v>1</v>
      </c>
      <c r="G32" s="22" t="inlineStr">
        <is>
          <t>Office 40ft</t>
        </is>
      </c>
      <c r="H32" s="22" t="n">
        <v>9255540</v>
      </c>
      <c r="I32" s="21" t="n">
        <v>1</v>
      </c>
    </row>
    <row r="33" ht="23.25" customHeight="1">
      <c r="A33" s="17" t="inlineStr">
        <is>
          <t>Wacker Neuson DPU</t>
        </is>
      </c>
      <c r="B33" s="18" t="inlineStr">
        <is>
          <t>DPC15</t>
        </is>
      </c>
      <c r="C33" s="18" t="n">
        <v>2</v>
      </c>
      <c r="D33" s="22" t="inlineStr">
        <is>
          <t>Hilux</t>
        </is>
      </c>
      <c r="E33" s="22" t="inlineStr">
        <is>
          <t>1DLV04</t>
        </is>
      </c>
      <c r="F33" s="22" t="n">
        <v>1</v>
      </c>
      <c r="G33" s="22" t="inlineStr">
        <is>
          <t>Sea Container 20ft</t>
        </is>
      </c>
      <c r="H33" s="18" t="n">
        <v>951200</v>
      </c>
      <c r="I33" s="21" t="n">
        <v>1</v>
      </c>
    </row>
    <row r="34" ht="23.25" customHeight="1">
      <c r="A34" s="38" t="inlineStr">
        <is>
          <t>Watercart</t>
        </is>
      </c>
      <c r="B34" s="22" t="inlineStr">
        <is>
          <t>WC04</t>
        </is>
      </c>
      <c r="C34" s="18" t="n">
        <v>2</v>
      </c>
      <c r="D34" s="22" t="n"/>
      <c r="E34" s="18" t="n"/>
      <c r="F34" s="22" t="n"/>
      <c r="G34" s="22" t="inlineStr">
        <is>
          <t>Site Sentry Tower</t>
        </is>
      </c>
      <c r="H34" s="22" t="n"/>
      <c r="I34" s="21" t="n">
        <v>2</v>
      </c>
    </row>
    <row r="35" ht="23.25" customHeight="1">
      <c r="A35" s="38" t="inlineStr">
        <is>
          <t>8T Excavator</t>
        </is>
      </c>
      <c r="B35" s="39" t="inlineStr">
        <is>
          <t>AMG 014</t>
        </is>
      </c>
      <c r="C35" s="18" t="n">
        <v>8</v>
      </c>
      <c r="D35" s="22" t="n"/>
      <c r="E35" s="22" t="n"/>
      <c r="F35" s="22" t="n"/>
      <c r="G35" s="22" t="inlineStr">
        <is>
          <t>Skip Bin</t>
        </is>
      </c>
      <c r="H35" s="22" t="n"/>
      <c r="I35" s="21" t="n">
        <v>1</v>
      </c>
    </row>
    <row r="36" ht="23.25" customHeight="1">
      <c r="A36" s="22" t="inlineStr">
        <is>
          <t>Mini Tipper</t>
        </is>
      </c>
      <c r="B36" s="22" t="inlineStr">
        <is>
          <t>SLS05</t>
        </is>
      </c>
      <c r="C36" s="22" t="n">
        <v>3</v>
      </c>
      <c r="D36" s="22" t="n"/>
      <c r="E36" s="22" t="n"/>
      <c r="F36" s="22" t="n"/>
      <c r="G36" s="22" t="inlineStr">
        <is>
          <t>Hydrocarbon Bund</t>
        </is>
      </c>
      <c r="H36" s="22" t="n"/>
      <c r="I36" s="21" t="n">
        <v>1</v>
      </c>
    </row>
    <row r="37" ht="23.25" customHeight="1">
      <c r="A37" s="40" t="inlineStr">
        <is>
          <t>1 t Excavator</t>
        </is>
      </c>
      <c r="B37" s="22" t="inlineStr">
        <is>
          <t>SLS03</t>
        </is>
      </c>
      <c r="C37" s="22" t="n">
        <v>8</v>
      </c>
      <c r="D37" s="22" t="n"/>
      <c r="E37" s="22" t="n"/>
      <c r="F37" s="22" t="n"/>
      <c r="G37" s="22" t="inlineStr">
        <is>
          <t>Temp Fence</t>
        </is>
      </c>
      <c r="H37" s="18" t="n"/>
      <c r="I37" s="21" t="n">
        <v>1</v>
      </c>
    </row>
    <row r="38" ht="23.25" customHeight="1">
      <c r="A38" s="40" t="inlineStr">
        <is>
          <t>8T Excavator (Wheeled)</t>
        </is>
      </c>
      <c r="B38" s="22" t="inlineStr">
        <is>
          <t>BCC12</t>
        </is>
      </c>
      <c r="C38" s="22" t="n">
        <v>2</v>
      </c>
      <c r="D38" s="22" t="n"/>
      <c r="E38" s="22" t="n"/>
      <c r="F38" s="22" t="n"/>
      <c r="G38" s="22" t="n"/>
      <c r="H38" s="18" t="n"/>
      <c r="I38" s="21" t="n"/>
    </row>
    <row r="39" ht="24" customHeight="1">
      <c r="A39" s="40" t="inlineStr">
        <is>
          <t>14t Excavator with GPS</t>
        </is>
      </c>
      <c r="B39" s="22" t="inlineStr">
        <is>
          <t>EX153</t>
        </is>
      </c>
      <c r="C39" s="22" t="n">
        <v>9</v>
      </c>
      <c r="D39" s="22" t="n"/>
      <c r="E39" s="22" t="n"/>
      <c r="F39" s="22" t="n"/>
      <c r="G39" s="41" t="n"/>
      <c r="H39" s="41" t="n"/>
      <c r="I39" s="42" t="n"/>
    </row>
    <row r="40" ht="24" customHeight="1">
      <c r="A40" s="40" t="inlineStr">
        <is>
          <t>Roller (1.5t)</t>
        </is>
      </c>
      <c r="B40" s="22" t="inlineStr">
        <is>
          <t>R538</t>
        </is>
      </c>
      <c r="C40" s="22" t="n">
        <v>3</v>
      </c>
      <c r="D40" s="22" t="n"/>
      <c r="E40" s="22" t="n"/>
      <c r="F40" s="22" t="n"/>
      <c r="G40" s="41" t="n"/>
      <c r="H40" s="41" t="n"/>
      <c r="I40" s="42" t="n"/>
    </row>
    <row r="41" ht="24" customHeight="1">
      <c r="A41" s="38" t="inlineStr">
        <is>
          <t>Positrak SSL</t>
        </is>
      </c>
      <c r="B41" s="22" t="inlineStr">
        <is>
          <t>SSL08</t>
        </is>
      </c>
      <c r="C41" s="18" t="n">
        <v>1</v>
      </c>
      <c r="D41" s="22" t="n"/>
      <c r="E41" s="22" t="n"/>
      <c r="F41" s="22" t="n"/>
      <c r="G41" s="41" t="n"/>
      <c r="H41" s="41" t="n"/>
      <c r="I41" s="42" t="n"/>
    </row>
    <row r="42" ht="24" customHeight="1">
      <c r="A42" s="38" t="n"/>
      <c r="B42" s="22" t="n"/>
      <c r="C42" s="18" t="n"/>
      <c r="D42" s="41" t="n"/>
      <c r="E42" s="41" t="n"/>
      <c r="F42" s="41" t="n"/>
      <c r="G42" s="41" t="n"/>
      <c r="H42" s="41" t="n"/>
      <c r="I42" s="42" t="n"/>
    </row>
    <row r="43" ht="18" customHeight="1">
      <c r="A43" s="43" t="n">
        <v>0</v>
      </c>
      <c r="B43" s="229" t="inlineStr">
        <is>
          <t xml:space="preserve">Repairs Required </t>
        </is>
      </c>
      <c r="C43" s="219" t="n"/>
      <c r="D43" s="230" t="inlineStr">
        <is>
          <t>N/A</t>
        </is>
      </c>
      <c r="E43" s="218" t="n"/>
      <c r="F43" s="218" t="n"/>
      <c r="G43" s="218" t="n"/>
      <c r="H43" s="218" t="n"/>
      <c r="I43" s="222" t="n"/>
    </row>
    <row r="44" ht="18" customHeight="1">
      <c r="A44" s="44" t="n">
        <v>0</v>
      </c>
      <c r="B44" s="229" t="inlineStr">
        <is>
          <t>Scheduled Service</t>
        </is>
      </c>
      <c r="C44" s="219" t="n"/>
      <c r="D44" s="230" t="inlineStr">
        <is>
          <t>N/A</t>
        </is>
      </c>
      <c r="E44" s="218" t="n"/>
      <c r="F44" s="218" t="n"/>
      <c r="G44" s="218" t="n"/>
      <c r="H44" s="218" t="n"/>
      <c r="I44" s="222" t="n"/>
    </row>
    <row r="45" ht="18" customHeight="1">
      <c r="A45" s="45" t="n">
        <v>0</v>
      </c>
      <c r="B45" s="229" t="n"/>
      <c r="C45" s="219" t="n"/>
      <c r="D45" s="230" t="inlineStr">
        <is>
          <t>N/A</t>
        </is>
      </c>
      <c r="E45" s="218" t="n"/>
      <c r="F45" s="218" t="n"/>
      <c r="G45" s="218" t="n"/>
      <c r="H45" s="218" t="n"/>
      <c r="I45" s="222" t="n"/>
    </row>
    <row r="46" ht="23.25" customHeight="1">
      <c r="A46" s="232" t="inlineStr">
        <is>
          <t xml:space="preserve">Total Plant and Equipment Hours: </t>
        </is>
      </c>
      <c r="B46" s="219" t="n"/>
      <c r="C46" s="46">
        <f>SUM(C32:C42)</f>
        <v/>
      </c>
      <c r="D46" s="233" t="n"/>
      <c r="E46" s="218" t="n"/>
      <c r="F46" s="218" t="n"/>
      <c r="G46" s="218" t="n"/>
      <c r="H46" s="218" t="n"/>
      <c r="I46" s="222" t="n"/>
    </row>
    <row r="47" ht="25" customHeight="1">
      <c r="A47" s="221" t="inlineStr">
        <is>
          <t>DELAYS-OPPORTUNITY</t>
        </is>
      </c>
      <c r="B47" s="218" t="n"/>
      <c r="C47" s="218" t="n"/>
      <c r="D47" s="218" t="n"/>
      <c r="E47" s="218" t="n"/>
      <c r="F47" s="218" t="n"/>
      <c r="G47" s="218" t="n"/>
      <c r="H47" s="218" t="n"/>
      <c r="I47" s="222" t="n"/>
    </row>
    <row r="48" ht="54.5" customHeight="1" thickBot="1">
      <c r="A48"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Issues around Traffic Control have been identified
</t>
        </is>
      </c>
      <c r="B48" s="225" t="n"/>
      <c r="C48" s="225" t="n"/>
      <c r="D48" s="225" t="n"/>
      <c r="E48" s="225" t="n"/>
      <c r="F48" s="225" t="n"/>
      <c r="G48" s="225" t="n"/>
      <c r="H48" s="225" t="n"/>
      <c r="I48" s="226" t="n"/>
    </row>
    <row r="49" ht="91.5" customHeight="1">
      <c r="A49" s="212" t="n"/>
      <c r="I49" s="214" t="n"/>
    </row>
    <row r="50" ht="62.5" customHeight="1" thickBot="1">
      <c r="A50" s="212" t="n"/>
      <c r="I50" s="214" t="n"/>
    </row>
    <row r="51" hidden="1" ht="84" customHeight="1" thickBot="1">
      <c r="A51" s="235" t="n"/>
      <c r="B51" s="236" t="n"/>
      <c r="C51" s="236" t="n"/>
      <c r="D51" s="236" t="n"/>
      <c r="E51" s="236" t="n"/>
      <c r="F51" s="236" t="n"/>
      <c r="G51" s="236" t="n"/>
      <c r="H51" s="236" t="n"/>
      <c r="I51" s="237" t="n"/>
    </row>
    <row r="52" ht="25" customHeight="1">
      <c r="A52" s="238" t="inlineStr">
        <is>
          <t>HSEQ MESSAGES</t>
        </is>
      </c>
      <c r="B52" s="239" t="n"/>
      <c r="C52" s="239" t="n"/>
      <c r="D52" s="239" t="n"/>
      <c r="E52" s="239" t="n"/>
      <c r="F52" s="239" t="n"/>
      <c r="G52" s="239" t="n"/>
      <c r="H52" s="239" t="n"/>
      <c r="I52" s="240" t="n"/>
    </row>
    <row r="53" ht="18" customHeight="1">
      <c r="A53" s="47" t="inlineStr">
        <is>
          <t>TCD - Monthly Safety Focus:</t>
        </is>
      </c>
      <c r="B53" s="241" t="inlineStr">
        <is>
          <t>Prestart Checks</t>
        </is>
      </c>
      <c r="C53" s="218" t="n"/>
      <c r="D53" s="218" t="n"/>
      <c r="E53" s="218" t="n"/>
      <c r="F53" s="218" t="n"/>
      <c r="G53" s="218" t="n"/>
      <c r="H53" s="218" t="n"/>
      <c r="I53" s="219" t="n"/>
    </row>
    <row r="54" ht="24" customHeight="1">
      <c r="A54" s="47" t="inlineStr">
        <is>
          <t>TCD - Daily Safety Focus:</t>
        </is>
      </c>
      <c r="B54" s="242" t="inlineStr">
        <is>
          <t>SIMOPS</t>
        </is>
      </c>
      <c r="C54" s="218" t="n"/>
      <c r="D54" s="218" t="n"/>
      <c r="E54" s="218" t="n"/>
      <c r="F54" s="218" t="n"/>
      <c r="G54" s="218" t="n"/>
      <c r="H54" s="218" t="n"/>
      <c r="I54" s="222" t="n"/>
    </row>
    <row r="55" ht="18" customHeight="1">
      <c r="A55" s="48" t="inlineStr">
        <is>
          <t xml:space="preserve">Hazards Reported: </t>
        </is>
      </c>
      <c r="B55" s="49" t="inlineStr">
        <is>
          <t>Nil</t>
        </is>
      </c>
      <c r="C55" s="242" t="n"/>
      <c r="D55" s="218" t="n"/>
      <c r="E55" s="218" t="n"/>
      <c r="F55" s="218" t="n"/>
      <c r="G55" s="218" t="n"/>
      <c r="H55" s="218" t="n"/>
      <c r="I55" s="222" t="n"/>
    </row>
    <row r="56" ht="18" customHeight="1">
      <c r="A56" s="48" t="inlineStr">
        <is>
          <t>Incident Free Days</t>
        </is>
      </c>
      <c r="B56" s="49" t="n">
        <v>21</v>
      </c>
      <c r="C56" s="241" t="n"/>
      <c r="D56" s="218" t="n"/>
      <c r="E56" s="218" t="n"/>
      <c r="F56" s="218" t="n"/>
      <c r="G56" s="218" t="n"/>
      <c r="H56" s="218" t="n"/>
      <c r="I56" s="219" t="n"/>
    </row>
    <row r="57" ht="18" customHeight="1">
      <c r="A57" s="50" t="inlineStr">
        <is>
          <t>Other Notes</t>
        </is>
      </c>
      <c r="B57" s="243" t="n"/>
      <c r="C57" s="225" t="n"/>
      <c r="D57" s="225" t="n"/>
      <c r="E57" s="225" t="n"/>
      <c r="F57" s="225" t="n"/>
      <c r="G57" s="225" t="n"/>
      <c r="H57" s="225" t="n"/>
      <c r="I57" s="226" t="n"/>
    </row>
    <row r="58" ht="20.25" customHeight="1">
      <c r="A58" s="221" t="inlineStr">
        <is>
          <t xml:space="preserve">INCIDENTS &amp; REPORTS </t>
        </is>
      </c>
      <c r="B58" s="218" t="n"/>
      <c r="C58" s="218" t="n"/>
      <c r="D58" s="218" t="n"/>
      <c r="E58" s="218" t="n"/>
      <c r="F58" s="218" t="n"/>
      <c r="G58" s="218" t="n"/>
      <c r="H58" s="218" t="n"/>
      <c r="I58" s="222" t="n"/>
    </row>
    <row r="59" ht="25" customHeight="1">
      <c r="A59" s="51" t="n"/>
      <c r="B59" s="228" t="inlineStr">
        <is>
          <t>QTY</t>
        </is>
      </c>
      <c r="C59" s="231" t="inlineStr">
        <is>
          <t>Comments</t>
        </is>
      </c>
      <c r="D59" s="218" t="n"/>
      <c r="E59" s="218" t="n"/>
      <c r="F59" s="218" t="n"/>
      <c r="G59" s="218" t="n"/>
      <c r="H59" s="218" t="n"/>
      <c r="I59" s="222" t="n"/>
    </row>
    <row r="60" ht="25" customHeight="1">
      <c r="A60" s="52" t="inlineStr">
        <is>
          <t>INCIDENT</t>
        </is>
      </c>
      <c r="B60" s="228" t="n">
        <v>0</v>
      </c>
      <c r="C60" s="246" t="inlineStr">
        <is>
          <t>NA</t>
        </is>
      </c>
      <c r="D60" s="225" t="n"/>
      <c r="E60" s="225" t="n"/>
      <c r="F60" s="225" t="n"/>
      <c r="G60" s="225" t="n"/>
      <c r="H60" s="225" t="n"/>
      <c r="I60" s="226" t="n"/>
    </row>
    <row r="61" ht="25" customHeight="1">
      <c r="A61" s="53" t="inlineStr">
        <is>
          <t>IR</t>
        </is>
      </c>
      <c r="B61" s="54" t="n">
        <v>0</v>
      </c>
      <c r="C61" s="246" t="inlineStr">
        <is>
          <t>NA</t>
        </is>
      </c>
      <c r="D61" s="225" t="n"/>
      <c r="E61" s="225" t="n"/>
      <c r="F61" s="225" t="n"/>
      <c r="G61" s="225" t="n"/>
      <c r="H61" s="225" t="n"/>
      <c r="I61" s="226" t="n"/>
    </row>
    <row r="62" ht="25" customHeight="1" thickBot="1">
      <c r="A62" s="55" t="inlineStr">
        <is>
          <t>NCR</t>
        </is>
      </c>
      <c r="B62" s="56" t="n">
        <v>0</v>
      </c>
      <c r="C62" s="247" t="inlineStr">
        <is>
          <t>NA</t>
        </is>
      </c>
      <c r="D62" s="248" t="n"/>
      <c r="E62" s="248" t="n"/>
      <c r="F62" s="248" t="n"/>
      <c r="G62" s="248" t="n"/>
      <c r="H62" s="248" t="n"/>
      <c r="I62" s="249" t="n"/>
    </row>
    <row r="63" ht="20.25" customHeight="1">
      <c r="A63" s="238" t="inlineStr">
        <is>
          <t>COMMUNICATIONS</t>
        </is>
      </c>
      <c r="B63" s="239" t="n"/>
      <c r="C63" s="239" t="n"/>
      <c r="D63" s="239" t="n"/>
      <c r="E63" s="239" t="n"/>
      <c r="F63" s="239" t="n"/>
      <c r="G63" s="239" t="n"/>
      <c r="H63" s="239" t="n"/>
      <c r="I63" s="240" t="n"/>
    </row>
    <row r="64" ht="25" customHeight="1">
      <c r="A64" s="250" t="inlineStr">
        <is>
          <t>TGS MB1119-05 Scheme D implemented</t>
        </is>
      </c>
      <c r="B64" s="218" t="n"/>
      <c r="C64" s="218" t="n"/>
      <c r="D64" s="218" t="n"/>
      <c r="E64" s="218" t="n"/>
      <c r="F64" s="218" t="n"/>
      <c r="G64" s="218" t="n"/>
      <c r="H64" s="218" t="n"/>
      <c r="I64" s="222" t="n"/>
    </row>
    <row r="65" ht="25" customHeight="1">
      <c r="A65" s="221" t="inlineStr">
        <is>
          <t>PRODUCTION (CONSTRUCTION STATUS &amp; PROGRESS)</t>
        </is>
      </c>
      <c r="B65" s="218" t="n"/>
      <c r="C65" s="218" t="n"/>
      <c r="D65" s="218" t="n"/>
      <c r="E65" s="218" t="n"/>
      <c r="F65" s="218" t="n"/>
      <c r="G65" s="218" t="n"/>
      <c r="H65" s="218" t="n"/>
      <c r="I65" s="222" t="n"/>
    </row>
    <row r="66" ht="25" customHeight="1">
      <c r="A66" s="77" t="inlineStr">
        <is>
          <t>Patching of Seal</t>
        </is>
      </c>
      <c r="B66" s="58" t="n"/>
      <c r="C66" s="59" t="n"/>
      <c r="D66" s="59" t="n"/>
      <c r="E66" s="58" t="n"/>
      <c r="F66" s="58" t="n"/>
      <c r="G66" s="59" t="n"/>
      <c r="H66" s="58" t="n"/>
      <c r="I66" s="60" t="n"/>
    </row>
    <row r="67" ht="25" customHeight="1">
      <c r="A67" s="77" t="inlineStr">
        <is>
          <t>Setting of Pits &amp; Redirecting Conflicting Irrigation Laterals</t>
        </is>
      </c>
      <c r="B67" s="58" t="n"/>
      <c r="C67" s="59" t="n"/>
      <c r="D67" s="59" t="n"/>
      <c r="E67" s="58" t="n"/>
      <c r="F67" s="58" t="n"/>
      <c r="G67" s="59" t="n"/>
      <c r="H67" s="58" t="n"/>
      <c r="I67" s="60" t="n"/>
    </row>
    <row r="68" ht="25" customHeight="1">
      <c r="A68" s="77" t="inlineStr">
        <is>
          <t>Exposure of Gas Pipe Bayley Street</t>
        </is>
      </c>
      <c r="B68" s="58" t="n"/>
      <c r="C68" s="59" t="n"/>
      <c r="D68" s="59" t="n"/>
      <c r="E68" s="58" t="n"/>
      <c r="F68" s="58" t="n"/>
      <c r="G68" s="59" t="n"/>
      <c r="H68" s="58" t="n"/>
      <c r="I68" s="60" t="n"/>
    </row>
    <row r="69" ht="25" customHeight="1">
      <c r="A69" s="77" t="inlineStr">
        <is>
          <t>Relocated Light Pole Forrest Street</t>
        </is>
      </c>
      <c r="B69" s="58" t="n"/>
      <c r="C69" s="59" t="n"/>
      <c r="D69" s="59" t="n"/>
      <c r="E69" s="58" t="n"/>
      <c r="F69" s="58" t="n"/>
      <c r="G69" s="59" t="n"/>
      <c r="H69" s="58" t="n"/>
      <c r="I69" s="60" t="n"/>
    </row>
    <row r="70" ht="25" customHeight="1">
      <c r="A70" s="77" t="inlineStr">
        <is>
          <t>Pour Ramps Forrest Street End of Job</t>
        </is>
      </c>
      <c r="B70" s="58" t="n"/>
      <c r="C70" s="59" t="n"/>
      <c r="D70" s="59" t="n"/>
      <c r="E70" s="58" t="n"/>
      <c r="F70" s="58" t="n"/>
      <c r="G70" s="59" t="n"/>
      <c r="H70" s="58" t="n"/>
      <c r="I70" s="60" t="n"/>
    </row>
    <row r="71" ht="25" customHeight="1">
      <c r="A71" s="77" t="inlineStr">
        <is>
          <t>Ongoing Asphalt Works</t>
        </is>
      </c>
      <c r="B71" s="58" t="n"/>
      <c r="C71" s="59" t="n"/>
      <c r="D71" s="59" t="n"/>
      <c r="E71" s="58" t="n"/>
      <c r="F71" s="58" t="n"/>
      <c r="G71" s="59" t="n"/>
      <c r="H71" s="58" t="n"/>
      <c r="I71" s="60" t="n"/>
    </row>
    <row r="72" ht="25" customHeight="1">
      <c r="A72" s="77" t="inlineStr">
        <is>
          <t>Trimming of Verges for Pavers</t>
        </is>
      </c>
      <c r="B72" s="58" t="n"/>
      <c r="C72" s="59" t="n"/>
      <c r="D72" s="59" t="n"/>
      <c r="E72" s="58" t="n"/>
      <c r="F72" s="58" t="n"/>
      <c r="G72" s="59" t="n"/>
      <c r="H72" s="58" t="n"/>
      <c r="I72" s="60" t="n"/>
    </row>
    <row r="73" ht="26.25" customHeight="1" thickBot="1">
      <c r="A73" s="224" t="inlineStr">
        <is>
          <t>Photos</t>
        </is>
      </c>
      <c r="B73" s="225" t="n"/>
      <c r="C73" s="225" t="n"/>
      <c r="D73" s="225" t="n"/>
      <c r="E73" s="225" t="n"/>
      <c r="F73" s="225" t="n"/>
      <c r="G73" s="225" t="n"/>
      <c r="H73" s="225" t="n"/>
      <c r="I73" s="226" t="n"/>
    </row>
    <row r="74" ht="23.25" customHeight="1">
      <c r="A74" s="61" t="n"/>
      <c r="B74" s="62" t="n"/>
      <c r="C74" s="62" t="n"/>
      <c r="D74" s="62" t="n"/>
      <c r="E74" s="62" t="n"/>
      <c r="F74" s="62" t="n"/>
      <c r="G74" s="62" t="n"/>
      <c r="H74" s="62" t="n"/>
      <c r="I74" s="63" t="n"/>
    </row>
    <row r="75" ht="23.2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G92" s="65" t="n"/>
      <c r="H92" s="65" t="n"/>
      <c r="I92" s="66" t="n"/>
    </row>
    <row r="93" ht="15" customHeight="1">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H96" s="65" t="n"/>
      <c r="I96" s="66" t="n"/>
    </row>
    <row r="97" ht="25" customFormat="1" customHeight="1" s="67">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c r="A108" s="64" t="n"/>
      <c r="B108" s="65" t="n"/>
      <c r="C108" s="65" t="n"/>
      <c r="D108" s="65" t="n"/>
      <c r="E108" s="65" t="n"/>
      <c r="F108" s="65" t="n"/>
      <c r="G108" s="65" t="n"/>
      <c r="H108" s="65" t="n"/>
      <c r="I108" s="66"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thickBot="1">
      <c r="A112" s="68" t="n"/>
      <c r="B112" s="69" t="n"/>
      <c r="C112" s="69" t="n"/>
      <c r="D112" s="69" t="n"/>
      <c r="E112" s="69" t="n"/>
      <c r="F112" s="69" t="n"/>
      <c r="G112" s="69" t="n"/>
      <c r="H112" s="69" t="n"/>
      <c r="I112" s="70"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1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15" customHeight="1">
      <c r="A120" s="64" t="n"/>
      <c r="B120" s="65" t="n"/>
      <c r="C120" s="65" t="n"/>
      <c r="D120" s="65" t="n"/>
      <c r="E120" s="65" t="n"/>
      <c r="F120" s="65" t="n"/>
      <c r="G120" s="65" t="n"/>
      <c r="H120" s="65" t="n"/>
      <c r="I120" s="66" t="n"/>
    </row>
    <row r="121" ht="2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28"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c r="A133" s="64" t="n"/>
      <c r="B133" s="65" t="n"/>
      <c r="C133" s="65" t="n"/>
      <c r="D133" s="65" t="n"/>
      <c r="E133" s="65" t="n"/>
      <c r="F133" s="65" t="n"/>
      <c r="G133" s="65" t="n"/>
      <c r="H133" s="65" t="n"/>
      <c r="I133" s="66"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thickBot="1">
      <c r="A137" s="64" t="n"/>
      <c r="B137" s="65" t="n"/>
      <c r="C137" s="65" t="n"/>
      <c r="D137" s="65" t="n"/>
      <c r="E137" s="65" t="n"/>
      <c r="F137" s="65" t="n"/>
      <c r="G137" s="65" t="n"/>
      <c r="H137" s="65" t="n"/>
      <c r="I137" s="66" t="n"/>
      <c r="J137" s="71"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5" customHeight="1">
      <c r="A140" s="64" t="n"/>
      <c r="B140" s="65" t="n"/>
      <c r="C140" s="65" t="n"/>
      <c r="D140" s="65" t="n"/>
      <c r="E140" s="65" t="n"/>
      <c r="F140" s="65" t="n"/>
      <c r="G140" s="65" t="n"/>
      <c r="H140" s="65" t="n"/>
      <c r="I140" s="66" t="n"/>
    </row>
    <row r="141" ht="15" customHeight="1">
      <c r="A141" s="64" t="n"/>
      <c r="B141" s="65" t="n"/>
      <c r="C141" s="65" t="n"/>
      <c r="D141" s="65" t="n"/>
      <c r="E141" s="65" t="n"/>
      <c r="F141" s="65" t="n"/>
      <c r="G141" s="65" t="n"/>
      <c r="H141" s="65" t="n"/>
      <c r="I141" s="66" t="n"/>
    </row>
    <row r="142" ht="15" customHeight="1">
      <c r="A142" s="64" t="n"/>
      <c r="B142" s="65" t="n"/>
      <c r="C142" s="65" t="n"/>
      <c r="D142" s="65" t="n"/>
      <c r="E142" s="65" t="n"/>
      <c r="F142" s="65" t="n"/>
      <c r="G142" s="65" t="n"/>
      <c r="H142" s="65" t="n"/>
      <c r="I142" s="66" t="n"/>
    </row>
    <row r="143" ht="15" customHeight="1">
      <c r="A143" s="64" t="n"/>
      <c r="B143" s="65" t="n"/>
      <c r="C143" s="65" t="n"/>
      <c r="D143" s="65" t="n"/>
      <c r="E143" s="65" t="n"/>
      <c r="F143" s="65" t="n"/>
      <c r="G143" s="65" t="n"/>
      <c r="H143" s="65" t="n"/>
      <c r="I143" s="66" t="n"/>
    </row>
    <row r="144" ht="16" customHeight="1">
      <c r="A144" s="64" t="n"/>
      <c r="B144" s="65" t="n"/>
      <c r="C144" s="65" t="n"/>
      <c r="D144" s="65" t="n"/>
      <c r="E144" s="65" t="n"/>
      <c r="F144" s="65" t="n"/>
      <c r="G144" s="65" t="n"/>
      <c r="H144" s="65" t="n"/>
      <c r="I144" s="66" t="n"/>
    </row>
    <row r="145" ht="30.75" customHeight="1">
      <c r="A145" s="244" t="n"/>
      <c r="E145" s="245" t="n"/>
      <c r="I145" s="214"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A176" s="72" t="n"/>
      <c r="I176" s="73" t="n"/>
    </row>
    <row r="177">
      <c r="A177" s="72" t="n"/>
      <c r="I177" s="73" t="n"/>
    </row>
    <row r="178">
      <c r="A178" s="72" t="n"/>
      <c r="I178" s="73" t="n"/>
    </row>
    <row r="179">
      <c r="A179" s="72" t="n"/>
      <c r="I179" s="73" t="n"/>
    </row>
    <row r="180">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c r="A195" s="72" t="n"/>
      <c r="I195" s="73" t="n"/>
    </row>
    <row r="196">
      <c r="A196" s="72" t="n"/>
      <c r="I196" s="73" t="n"/>
    </row>
    <row r="197">
      <c r="A197" s="72" t="n"/>
      <c r="I197" s="73" t="n"/>
    </row>
    <row r="198">
      <c r="A198" s="72" t="n"/>
      <c r="I198" s="73" t="n"/>
    </row>
    <row r="199" ht="16" customHeight="1" thickBot="1">
      <c r="A199" s="74" t="n"/>
      <c r="B199" s="75" t="n"/>
      <c r="C199" s="75" t="n"/>
      <c r="D199" s="75" t="n"/>
      <c r="E199" s="75" t="n"/>
      <c r="F199" s="75" t="n"/>
      <c r="G199" s="75" t="n"/>
      <c r="H199" s="75" t="n"/>
      <c r="I199" s="76" t="n"/>
    </row>
    <row r="200">
      <c r="A200" s="72" t="n"/>
      <c r="I200" s="73" t="n"/>
    </row>
    <row r="201">
      <c r="A201" s="72" t="n"/>
      <c r="I201" s="73" t="n"/>
    </row>
    <row r="202">
      <c r="A202" s="72" t="n"/>
      <c r="I202" s="73" t="n"/>
    </row>
    <row r="203">
      <c r="A203" s="72" t="n"/>
      <c r="I203" s="73" t="n"/>
    </row>
    <row r="204">
      <c r="A204" s="72" t="n"/>
      <c r="I204" s="73" t="n"/>
    </row>
    <row r="205">
      <c r="A205" s="72" t="n"/>
      <c r="I205" s="73" t="n"/>
    </row>
    <row r="206" ht="16" customHeight="1" thickBot="1">
      <c r="A206" s="74" t="n"/>
      <c r="B206" s="75" t="n"/>
      <c r="C206" s="75" t="n"/>
      <c r="D206" s="75" t="n"/>
      <c r="E206" s="75" t="n"/>
      <c r="F206" s="75" t="n"/>
      <c r="G206" s="75" t="n"/>
      <c r="H206" s="75" t="n"/>
      <c r="I206" s="76" t="n"/>
    </row>
  </sheetData>
  <mergeCells count="39">
    <mergeCell ref="C61:I61"/>
    <mergeCell ref="A65:I65"/>
    <mergeCell ref="D13:F13"/>
    <mergeCell ref="G13:I13"/>
    <mergeCell ref="B54:I54"/>
    <mergeCell ref="B8:D8"/>
    <mergeCell ref="A12:I12"/>
    <mergeCell ref="B43:C43"/>
    <mergeCell ref="D43:I43"/>
    <mergeCell ref="A47:I47"/>
    <mergeCell ref="A5:I5"/>
    <mergeCell ref="A46:B46"/>
    <mergeCell ref="B9:D9"/>
    <mergeCell ref="A48:I51"/>
    <mergeCell ref="C62:I62"/>
    <mergeCell ref="B57:I57"/>
    <mergeCell ref="B6:D6"/>
    <mergeCell ref="A52:I52"/>
    <mergeCell ref="B44:C44"/>
    <mergeCell ref="B53:I53"/>
    <mergeCell ref="A13:C13"/>
    <mergeCell ref="A63:I63"/>
    <mergeCell ref="A10:I10"/>
    <mergeCell ref="A1:I4"/>
    <mergeCell ref="A58:I58"/>
    <mergeCell ref="D44:I44"/>
    <mergeCell ref="B7:D7"/>
    <mergeCell ref="C55:I55"/>
    <mergeCell ref="A64:I64"/>
    <mergeCell ref="A73:I73"/>
    <mergeCell ref="A11:I11"/>
    <mergeCell ref="D46:I46"/>
    <mergeCell ref="A145:D145"/>
    <mergeCell ref="C56:I56"/>
    <mergeCell ref="C59:I59"/>
    <mergeCell ref="B45:C45"/>
    <mergeCell ref="D45:I45"/>
    <mergeCell ref="C60:I60"/>
    <mergeCell ref="E145:I145"/>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72" min="0" max="8" man="1"/>
  </rowBreaks>
</worksheet>
</file>

<file path=xl/worksheets/sheet21.xml><?xml version="1.0" encoding="utf-8"?>
<worksheet xmlns="http://schemas.openxmlformats.org/spreadsheetml/2006/main">
  <sheetPr>
    <outlinePr summaryBelow="1" summaryRight="1"/>
    <pageSetUpPr fitToPage="1"/>
  </sheetPr>
  <dimension ref="A1:J202"/>
  <sheetViews>
    <sheetView view="pageBreakPreview" topLeftCell="D1" zoomScale="70" zoomScaleNormal="55" zoomScaleSheetLayoutView="70" workbookViewId="0">
      <selection activeCell="A65" sqref="A65:A68"/>
    </sheetView>
  </sheetViews>
  <sheetFormatPr baseColWidth="10" defaultColWidth="9.1640625" defaultRowHeight="15"/>
  <cols>
    <col width="62.1640625" bestFit="1" customWidth="1" style="213" min="1" max="1"/>
    <col width="36.5" bestFit="1" customWidth="1" style="213" min="2" max="2"/>
    <col width="16" customWidth="1" style="213" min="3" max="3"/>
    <col width="35.5" customWidth="1" style="213" min="4" max="4"/>
    <col width="21.5" customWidth="1" style="213" min="5" max="5"/>
    <col width="11.5" bestFit="1" customWidth="1" style="213" min="6" max="6"/>
    <col width="60.5" bestFit="1" customWidth="1" style="213" min="7" max="7"/>
    <col width="27.1640625" bestFit="1" customWidth="1" style="213" min="8" max="8"/>
    <col width="22.1640625" customWidth="1" style="213" min="9" max="9"/>
    <col width="9.1640625" customWidth="1" style="213" min="10" max="10"/>
    <col width="9.1640625" customWidth="1" style="213" min="11" max="16384"/>
  </cols>
  <sheetData>
    <row r="1">
      <c r="A1" s="209"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217" t="inlineStr">
        <is>
          <t>TCD DAILY FIELD REPORT</t>
        </is>
      </c>
      <c r="B5" s="218" t="n"/>
      <c r="C5" s="218" t="n"/>
      <c r="D5" s="218" t="n"/>
      <c r="E5" s="218" t="n"/>
      <c r="F5" s="218" t="n"/>
      <c r="G5" s="218" t="n"/>
      <c r="H5" s="218" t="n"/>
      <c r="I5" s="219" t="n"/>
    </row>
    <row r="6" ht="23.25" customHeight="1">
      <c r="A6" s="2" t="inlineStr">
        <is>
          <t>Project Name:</t>
        </is>
      </c>
      <c r="B6" s="220" t="inlineStr">
        <is>
          <t>Batavia Station Square</t>
        </is>
      </c>
      <c r="E6" s="220" t="n"/>
      <c r="F6" s="4" t="n"/>
      <c r="G6" s="4" t="n"/>
      <c r="H6" s="5" t="inlineStr">
        <is>
          <t>Date:</t>
        </is>
      </c>
      <c r="I6" s="6" t="n">
        <v>45954</v>
      </c>
    </row>
    <row r="7" ht="23.25" customHeight="1">
      <c r="A7" s="2" t="inlineStr">
        <is>
          <t>Project Location:</t>
        </is>
      </c>
      <c r="B7" s="220" t="inlineStr">
        <is>
          <t>Geraldton</t>
        </is>
      </c>
      <c r="E7" s="220" t="n"/>
      <c r="F7" s="4" t="n"/>
      <c r="G7" s="4" t="n"/>
      <c r="H7" s="7" t="inlineStr">
        <is>
          <t>Day:</t>
        </is>
      </c>
      <c r="I7" s="8">
        <f>DAY(I6+3)</f>
        <v/>
      </c>
    </row>
    <row r="8" ht="23.25" customHeight="1">
      <c r="A8" s="2" t="inlineStr">
        <is>
          <t>Project Number:</t>
        </is>
      </c>
      <c r="B8" s="220" t="inlineStr">
        <is>
          <t>TCD-1816</t>
        </is>
      </c>
      <c r="E8" s="220" t="n"/>
      <c r="F8" s="4" t="n"/>
      <c r="G8" s="4" t="n"/>
      <c r="H8" s="7" t="inlineStr">
        <is>
          <t>Start:</t>
        </is>
      </c>
      <c r="I8" s="9" t="inlineStr">
        <is>
          <t xml:space="preserve">  6:00</t>
        </is>
      </c>
    </row>
    <row r="9" ht="23.25" customHeight="1">
      <c r="A9" s="2" t="inlineStr">
        <is>
          <t>Report Number:</t>
        </is>
      </c>
      <c r="B9" s="207" t="n">
        <v>140</v>
      </c>
      <c r="C9" s="208" t="n"/>
      <c r="D9" s="208" t="n"/>
      <c r="E9" s="207" t="n"/>
      <c r="F9" s="11" t="n"/>
      <c r="G9" s="11" t="n"/>
      <c r="H9" s="7" t="inlineStr">
        <is>
          <t>Finish:</t>
        </is>
      </c>
      <c r="I9" s="12" t="n">
        <v>0.7708333333333334</v>
      </c>
    </row>
    <row r="10" ht="25" customHeight="1">
      <c r="A10" s="221" t="inlineStr">
        <is>
          <t>WEATHER &amp; GROUND CONDITIONS</t>
        </is>
      </c>
      <c r="B10" s="218" t="n"/>
      <c r="C10" s="218" t="n"/>
      <c r="D10" s="218" t="n"/>
      <c r="E10" s="218" t="n"/>
      <c r="F10" s="218" t="n"/>
      <c r="G10" s="218" t="n"/>
      <c r="H10" s="218" t="n"/>
      <c r="I10" s="222" t="n"/>
    </row>
    <row r="11" ht="23.25" customHeight="1">
      <c r="A11" s="223" t="inlineStr">
        <is>
          <t>Temperature: 23 degrees  Wind:  46km/h WSW Precip: 0.4 mm</t>
        </is>
      </c>
      <c r="B11" s="218" t="n"/>
      <c r="C11" s="218" t="n"/>
      <c r="D11" s="218" t="n"/>
      <c r="E11" s="218" t="n"/>
      <c r="F11" s="218" t="n"/>
      <c r="G11" s="218" t="n"/>
      <c r="H11" s="218" t="n"/>
      <c r="I11" s="222" t="n"/>
    </row>
    <row r="12" ht="25" customHeight="1">
      <c r="A12" s="224" t="inlineStr">
        <is>
          <t>PERSONNEL</t>
        </is>
      </c>
      <c r="B12" s="225" t="n"/>
      <c r="C12" s="225" t="n"/>
      <c r="D12" s="225" t="n"/>
      <c r="E12" s="225" t="n"/>
      <c r="F12" s="225" t="n"/>
      <c r="G12" s="225" t="n"/>
      <c r="H12" s="225" t="n"/>
      <c r="I12" s="226" t="n"/>
    </row>
    <row r="13" ht="23.25" customHeight="1">
      <c r="A13" s="227" t="inlineStr">
        <is>
          <t>TCD Indirects</t>
        </is>
      </c>
      <c r="B13" s="218" t="n"/>
      <c r="C13" s="219" t="n"/>
      <c r="D13" s="228" t="inlineStr">
        <is>
          <t>TCD Directs</t>
        </is>
      </c>
      <c r="E13" s="218" t="n"/>
      <c r="F13" s="219" t="n"/>
      <c r="G13" s="228" t="inlineStr">
        <is>
          <t>Subcontractors</t>
        </is>
      </c>
      <c r="H13" s="218" t="n"/>
      <c r="I13" s="219" t="n"/>
    </row>
    <row r="14" ht="24" customHeight="1">
      <c r="A14" s="227" t="inlineStr">
        <is>
          <t xml:space="preserve"> Name</t>
        </is>
      </c>
      <c r="B14" s="228" t="inlineStr">
        <is>
          <t>Position</t>
        </is>
      </c>
      <c r="C14" s="15" t="inlineStr">
        <is>
          <t>Hours</t>
        </is>
      </c>
      <c r="D14" s="228" t="inlineStr">
        <is>
          <t xml:space="preserve"> Name</t>
        </is>
      </c>
      <c r="E14" s="228" t="inlineStr">
        <is>
          <t>Position</t>
        </is>
      </c>
      <c r="F14" s="15" t="inlineStr">
        <is>
          <t>Hours</t>
        </is>
      </c>
      <c r="G14" s="228" t="inlineStr">
        <is>
          <t xml:space="preserve"> Name</t>
        </is>
      </c>
      <c r="H14" s="228" t="inlineStr">
        <is>
          <t>Position</t>
        </is>
      </c>
      <c r="I14" s="233" t="inlineStr">
        <is>
          <t>Hours</t>
        </is>
      </c>
    </row>
    <row r="15" ht="23.25" customHeight="1">
      <c r="A15" s="17" t="inlineStr">
        <is>
          <t>WATKINS, Steve</t>
        </is>
      </c>
      <c r="B15" s="18" t="inlineStr">
        <is>
          <t>Civil Manager</t>
        </is>
      </c>
      <c r="C15" s="19" t="n"/>
      <c r="D15" s="18" t="inlineStr">
        <is>
          <t>Asmatullayev, Ikhtiyar</t>
        </is>
      </c>
      <c r="E15" s="18" t="inlineStr">
        <is>
          <t>Labourer</t>
        </is>
      </c>
      <c r="F15" s="18" t="n">
        <v>12</v>
      </c>
      <c r="G15" s="20" t="inlineStr">
        <is>
          <t>McAuliffe, Daniel</t>
        </is>
      </c>
      <c r="H15" s="18" t="inlineStr">
        <is>
          <t>Operator</t>
        </is>
      </c>
      <c r="I15" s="21" t="n">
        <v>10</v>
      </c>
    </row>
    <row r="16" ht="23.25" customHeight="1">
      <c r="A16" s="17" t="inlineStr">
        <is>
          <t>GRIFFITHS, Daniel</t>
        </is>
      </c>
      <c r="B16" s="18" t="inlineStr">
        <is>
          <t>Project Manager</t>
        </is>
      </c>
      <c r="C16" s="22" t="n">
        <v>12</v>
      </c>
      <c r="D16" s="18" t="inlineStr">
        <is>
          <t>McGahon,Aideen</t>
        </is>
      </c>
      <c r="E16" s="18" t="inlineStr">
        <is>
          <t>Operator</t>
        </is>
      </c>
      <c r="F16" s="18" t="n">
        <v>12</v>
      </c>
      <c r="G16" s="20" t="inlineStr">
        <is>
          <t>Mosley,Joshua</t>
        </is>
      </c>
      <c r="H16" s="18" t="inlineStr">
        <is>
          <t>Surveyor</t>
        </is>
      </c>
      <c r="I16" s="21" t="n">
        <v>8</v>
      </c>
    </row>
    <row r="17" ht="23.25" customHeight="1">
      <c r="A17" s="17" t="inlineStr">
        <is>
          <t>O"SHEA, John</t>
        </is>
      </c>
      <c r="B17" s="18" t="inlineStr">
        <is>
          <t>Senior Project Engineer</t>
        </is>
      </c>
      <c r="C17" s="22" t="n"/>
      <c r="D17" s="18" t="n"/>
      <c r="E17" s="18" t="n"/>
      <c r="F17" s="18" t="n"/>
      <c r="G17" s="20" t="inlineStr">
        <is>
          <t>Keady, Brendan</t>
        </is>
      </c>
      <c r="H17" s="18" t="inlineStr">
        <is>
          <t>Operator</t>
        </is>
      </c>
      <c r="I17" s="21" t="n">
        <v>12</v>
      </c>
    </row>
    <row r="18" ht="23.25" customHeight="1">
      <c r="A18" s="17" t="inlineStr">
        <is>
          <t>GRIFFITHS, Ashley</t>
        </is>
      </c>
      <c r="B18" s="18" t="inlineStr">
        <is>
          <t>Supervisor</t>
        </is>
      </c>
      <c r="C18" s="22" t="n"/>
      <c r="D18" s="23" t="n"/>
      <c r="E18" s="23" t="n"/>
      <c r="F18" s="18" t="n"/>
      <c r="G18" s="20" t="inlineStr">
        <is>
          <t>Griffiths, Jaquai</t>
        </is>
      </c>
      <c r="H18" s="18" t="inlineStr">
        <is>
          <t>Operator</t>
        </is>
      </c>
      <c r="I18" s="21" t="n"/>
    </row>
    <row r="19" ht="23.25" customHeight="1">
      <c r="A19" s="17" t="inlineStr">
        <is>
          <t>THOMPSON,Cheryl</t>
        </is>
      </c>
      <c r="B19" s="18" t="inlineStr">
        <is>
          <t>HSET</t>
        </is>
      </c>
      <c r="C19" s="22" t="n"/>
      <c r="D19" s="23" t="n"/>
      <c r="E19" s="23" t="n"/>
      <c r="F19" s="18" t="n"/>
      <c r="G19" s="20" t="inlineStr">
        <is>
          <t>Asphalters</t>
        </is>
      </c>
      <c r="H19" s="18" t="inlineStr">
        <is>
          <t>Asphalters</t>
        </is>
      </c>
      <c r="I19" s="21" t="n">
        <v>120</v>
      </c>
    </row>
    <row r="20" ht="23.25" customHeight="1">
      <c r="A20" s="17" t="inlineStr">
        <is>
          <t>SKINNER,Jamie</t>
        </is>
      </c>
      <c r="B20" s="18" t="inlineStr">
        <is>
          <t>Supervisor</t>
        </is>
      </c>
      <c r="C20" s="22" t="n">
        <v>6</v>
      </c>
      <c r="D20" s="23" t="n"/>
      <c r="E20" s="23" t="n"/>
      <c r="F20" s="18" t="n"/>
      <c r="G20" s="20" t="inlineStr">
        <is>
          <t>Vac Truck</t>
        </is>
      </c>
      <c r="H20" s="18" t="inlineStr">
        <is>
          <t>Labourers</t>
        </is>
      </c>
      <c r="I20" s="21" t="n">
        <v>12</v>
      </c>
    </row>
    <row r="21" ht="23.25" customHeight="1">
      <c r="A21" s="24" t="inlineStr">
        <is>
          <t>TONER, Ultan</t>
        </is>
      </c>
      <c r="B21" s="18" t="inlineStr">
        <is>
          <t>Supervisor</t>
        </is>
      </c>
      <c r="C21" s="22" t="n"/>
      <c r="D21" s="23" t="n"/>
      <c r="E21" s="23" t="n"/>
      <c r="F21" s="18" t="n"/>
      <c r="G21" s="20" t="inlineStr">
        <is>
          <t>Ferstat, Frank</t>
        </is>
      </c>
      <c r="H21" s="18" t="inlineStr">
        <is>
          <t>Operator</t>
        </is>
      </c>
      <c r="I21" s="21" t="n">
        <v>4.5</v>
      </c>
    </row>
    <row r="22" ht="23.25" customHeight="1">
      <c r="A22" s="17" t="inlineStr">
        <is>
          <t>JOGI, Amit</t>
        </is>
      </c>
      <c r="B22" s="18" t="inlineStr">
        <is>
          <t>Project Engineer</t>
        </is>
      </c>
      <c r="C22" s="22" t="n">
        <v>12</v>
      </c>
      <c r="D22" s="23" t="n"/>
      <c r="E22" s="23" t="n"/>
      <c r="F22" s="18" t="n"/>
      <c r="G22" s="20" t="inlineStr">
        <is>
          <t>Ferstat, Blair</t>
        </is>
      </c>
      <c r="H22" s="18" t="inlineStr">
        <is>
          <t>Concretor</t>
        </is>
      </c>
      <c r="I22" s="21" t="n">
        <v>2</v>
      </c>
    </row>
    <row r="23" ht="23.25" customHeight="1">
      <c r="A23" s="17" t="n"/>
      <c r="B23" s="18" t="n"/>
      <c r="C23" s="22" t="n"/>
      <c r="D23" s="23" t="n"/>
      <c r="E23" s="23" t="n"/>
      <c r="F23" s="18" t="n"/>
      <c r="G23" s="20" t="inlineStr">
        <is>
          <t>McConnell, Adam</t>
        </is>
      </c>
      <c r="H23" s="18" t="inlineStr">
        <is>
          <t>Labourer</t>
        </is>
      </c>
      <c r="I23" s="21" t="n">
        <v>12</v>
      </c>
    </row>
    <row r="24" ht="23.25" customHeight="1">
      <c r="A24" s="17" t="n"/>
      <c r="B24" s="18" t="n"/>
      <c r="C24" s="22" t="n"/>
      <c r="D24" s="23" t="n"/>
      <c r="E24" s="23" t="n"/>
      <c r="F24" s="18" t="n"/>
      <c r="G24" s="20" t="n"/>
      <c r="H24" s="18" t="n"/>
      <c r="I24" s="21" t="n"/>
    </row>
    <row r="25" ht="23.25" customHeight="1">
      <c r="A25" s="232" t="inlineStr">
        <is>
          <t xml:space="preserve">Total Indirect Personnel onsite: </t>
        </is>
      </c>
      <c r="B25" s="26">
        <f>COUNT(C15:C25)</f>
        <v/>
      </c>
      <c r="C25" s="23" t="n"/>
      <c r="D25" s="23" t="n"/>
      <c r="E25" s="23" t="n"/>
      <c r="F25" s="18" t="n"/>
      <c r="G25" s="27" t="n"/>
      <c r="H25" s="28" t="n"/>
      <c r="I25" s="21" t="n"/>
    </row>
    <row r="26" ht="23.25" customHeight="1">
      <c r="A26" s="232" t="inlineStr">
        <is>
          <t xml:space="preserve">Total Indirect Personnel hours: </t>
        </is>
      </c>
      <c r="B26" s="26">
        <f>SUM(C15:C22)</f>
        <v/>
      </c>
      <c r="C26" s="22" t="n"/>
      <c r="D26" s="23" t="n"/>
      <c r="E26" s="23" t="n"/>
      <c r="F26" s="18" t="n"/>
      <c r="G26" s="29" t="inlineStr">
        <is>
          <t>Total Subcontractor on-site:</t>
        </is>
      </c>
      <c r="H26" s="30" t="n">
        <v>13</v>
      </c>
      <c r="I26" s="21" t="n"/>
    </row>
    <row r="27" ht="23.25" customHeight="1">
      <c r="A27" s="232" t="inlineStr">
        <is>
          <t xml:space="preserve">Total Direct Personnel onsite:  </t>
        </is>
      </c>
      <c r="B27" s="26">
        <f>COUNTIF(F15:F28,"&gt;0")</f>
        <v/>
      </c>
      <c r="C27" s="26" t="n"/>
      <c r="D27" s="23" t="n"/>
      <c r="E27" s="23" t="n"/>
      <c r="F27" s="31" t="n"/>
      <c r="G27" s="29" t="inlineStr">
        <is>
          <t>Total Subcontractor hours:</t>
        </is>
      </c>
      <c r="H27" s="30">
        <f>SUM(I11:I23)</f>
        <v/>
      </c>
      <c r="I27" s="231" t="n"/>
    </row>
    <row r="28" ht="23.25" customHeight="1">
      <c r="A28" s="232" t="inlineStr">
        <is>
          <t xml:space="preserve">Total Direct Personnel hours: </t>
        </is>
      </c>
      <c r="B28" s="26">
        <f>SUM(F15:F28)</f>
        <v/>
      </c>
      <c r="C28" s="26" t="n"/>
      <c r="D28" s="26" t="n"/>
      <c r="E28" s="26" t="n"/>
      <c r="F28" s="26" t="n"/>
      <c r="G28" s="26" t="n"/>
      <c r="H28" s="26" t="n"/>
      <c r="I28" s="231" t="n"/>
    </row>
    <row r="29" ht="25" customHeight="1">
      <c r="A29" s="33" t="inlineStr">
        <is>
          <t>PLANT &amp; EQUIPMENT</t>
        </is>
      </c>
      <c r="B29" s="34" t="n"/>
      <c r="C29" s="34" t="n"/>
      <c r="D29" s="34" t="n"/>
      <c r="E29" s="34" t="n"/>
      <c r="F29" s="34" t="n"/>
      <c r="G29" s="34" t="n"/>
      <c r="H29" s="34" t="n"/>
      <c r="I29" s="35" t="n"/>
    </row>
    <row r="30" ht="24" customHeight="1">
      <c r="A30" s="227" t="inlineStr">
        <is>
          <t>Plant</t>
        </is>
      </c>
      <c r="B30" s="228" t="inlineStr">
        <is>
          <t>ID</t>
        </is>
      </c>
      <c r="C30" s="228" t="inlineStr">
        <is>
          <t>Hours</t>
        </is>
      </c>
      <c r="D30" s="228" t="inlineStr">
        <is>
          <t xml:space="preserve"> Vehicles</t>
        </is>
      </c>
      <c r="E30" s="228" t="inlineStr">
        <is>
          <t>ID</t>
        </is>
      </c>
      <c r="F30" s="228" t="inlineStr">
        <is>
          <t>QTY</t>
        </is>
      </c>
      <c r="G30" s="36" t="inlineStr">
        <is>
          <t>Site Facilities</t>
        </is>
      </c>
      <c r="H30" s="36" t="inlineStr">
        <is>
          <t>ID</t>
        </is>
      </c>
      <c r="I30" s="37" t="inlineStr">
        <is>
          <t>Qty</t>
        </is>
      </c>
    </row>
    <row r="31" ht="23.25" customHeight="1">
      <c r="A31" s="17" t="inlineStr">
        <is>
          <t>Komatsu WA320</t>
        </is>
      </c>
      <c r="B31" s="18" t="inlineStr">
        <is>
          <t>FWL18</t>
        </is>
      </c>
      <c r="C31" s="18" t="n">
        <v>2</v>
      </c>
      <c r="D31" s="22" t="inlineStr">
        <is>
          <t>Hilux</t>
        </is>
      </c>
      <c r="E31" s="22" t="inlineStr">
        <is>
          <t>DLV90</t>
        </is>
      </c>
      <c r="F31" s="22" t="n">
        <v>1</v>
      </c>
      <c r="G31" s="22" t="inlineStr">
        <is>
          <t>Office 40ft</t>
        </is>
      </c>
      <c r="H31" s="22" t="n">
        <v>9255540</v>
      </c>
      <c r="I31" s="21" t="n">
        <v>1</v>
      </c>
    </row>
    <row r="32" ht="23.25" customHeight="1">
      <c r="A32" s="17" t="inlineStr">
        <is>
          <t>Wacker Neuson DPU</t>
        </is>
      </c>
      <c r="B32" s="18" t="inlineStr">
        <is>
          <t>DPC15</t>
        </is>
      </c>
      <c r="C32" s="18" t="n"/>
      <c r="D32" s="22" t="inlineStr">
        <is>
          <t>Hilux</t>
        </is>
      </c>
      <c r="E32" s="22" t="inlineStr">
        <is>
          <t>1DLV04</t>
        </is>
      </c>
      <c r="F32" s="22" t="n">
        <v>1</v>
      </c>
      <c r="G32" s="22" t="inlineStr">
        <is>
          <t>Sea Container 20ft</t>
        </is>
      </c>
      <c r="H32" s="18" t="n">
        <v>951200</v>
      </c>
      <c r="I32" s="21" t="n">
        <v>1</v>
      </c>
    </row>
    <row r="33" ht="23.25" customHeight="1">
      <c r="A33" s="38" t="inlineStr">
        <is>
          <t>Watercart</t>
        </is>
      </c>
      <c r="B33" s="22" t="inlineStr">
        <is>
          <t>WC04</t>
        </is>
      </c>
      <c r="C33" s="18" t="n">
        <v>2</v>
      </c>
      <c r="D33" s="22" t="n"/>
      <c r="E33" s="18" t="n"/>
      <c r="F33" s="22" t="n"/>
      <c r="G33" s="22" t="inlineStr">
        <is>
          <t>Site Sentry Tower</t>
        </is>
      </c>
      <c r="H33" s="22" t="n"/>
      <c r="I33" s="21" t="n">
        <v>2</v>
      </c>
    </row>
    <row r="34" ht="23.25" customHeight="1">
      <c r="A34" s="38" t="inlineStr">
        <is>
          <t>8T Excavator</t>
        </is>
      </c>
      <c r="B34" s="39" t="inlineStr">
        <is>
          <t>AMG 014</t>
        </is>
      </c>
      <c r="C34" s="18" t="n"/>
      <c r="D34" s="22" t="n"/>
      <c r="E34" s="22" t="n"/>
      <c r="F34" s="22" t="n"/>
      <c r="G34" s="22" t="inlineStr">
        <is>
          <t>Skip Bin</t>
        </is>
      </c>
      <c r="H34" s="22" t="n"/>
      <c r="I34" s="21" t="n">
        <v>1</v>
      </c>
    </row>
    <row r="35" ht="23.25" customHeight="1">
      <c r="A35" s="22" t="inlineStr">
        <is>
          <t>Mini Tipper</t>
        </is>
      </c>
      <c r="B35" s="22" t="inlineStr">
        <is>
          <t>SLS05</t>
        </is>
      </c>
      <c r="C35" s="22" t="n">
        <v>2</v>
      </c>
      <c r="D35" s="22" t="n"/>
      <c r="E35" s="22" t="n"/>
      <c r="F35" s="22" t="n"/>
      <c r="G35" s="22" t="inlineStr">
        <is>
          <t>Hydrocarbon Bund</t>
        </is>
      </c>
      <c r="H35" s="22" t="n"/>
      <c r="I35" s="21" t="n">
        <v>1</v>
      </c>
    </row>
    <row r="36" ht="23.25" customHeight="1">
      <c r="A36" s="40" t="inlineStr">
        <is>
          <t>1 t Excavator</t>
        </is>
      </c>
      <c r="B36" s="22" t="inlineStr">
        <is>
          <t>SLS03</t>
        </is>
      </c>
      <c r="C36" s="22" t="n">
        <v>8</v>
      </c>
      <c r="D36" s="22" t="n"/>
      <c r="E36" s="22" t="n"/>
      <c r="F36" s="22" t="n"/>
      <c r="G36" s="22" t="inlineStr">
        <is>
          <t>Temp Fence</t>
        </is>
      </c>
      <c r="H36" s="18" t="n"/>
      <c r="I36" s="21" t="n">
        <v>1</v>
      </c>
    </row>
    <row r="37" ht="23.25" customHeight="1">
      <c r="A37" s="40" t="inlineStr">
        <is>
          <t>8T Excavator (Wheeled)</t>
        </is>
      </c>
      <c r="B37" s="22" t="inlineStr">
        <is>
          <t>BCC12</t>
        </is>
      </c>
      <c r="C37" s="22" t="n">
        <v>4</v>
      </c>
      <c r="D37" s="22" t="n"/>
      <c r="E37" s="22" t="n"/>
      <c r="F37" s="22" t="n"/>
      <c r="G37" s="22" t="n"/>
      <c r="H37" s="18" t="n"/>
      <c r="I37" s="21" t="n"/>
    </row>
    <row r="38" ht="24" customHeight="1">
      <c r="A38" s="40" t="inlineStr">
        <is>
          <t>14t Excavator with GPS</t>
        </is>
      </c>
      <c r="B38" s="22" t="inlineStr">
        <is>
          <t>EX153</t>
        </is>
      </c>
      <c r="C38" s="22" t="n">
        <v>4</v>
      </c>
      <c r="D38" s="22" t="n"/>
      <c r="E38" s="22" t="n"/>
      <c r="F38" s="22" t="n"/>
      <c r="G38" s="41" t="n"/>
      <c r="H38" s="41" t="n"/>
      <c r="I38" s="42" t="n"/>
    </row>
    <row r="39" ht="24" customHeight="1">
      <c r="A39" s="40" t="inlineStr">
        <is>
          <t>Roller (1.5t)</t>
        </is>
      </c>
      <c r="B39" s="22" t="inlineStr">
        <is>
          <t>R538</t>
        </is>
      </c>
      <c r="C39" s="22" t="n">
        <v>1</v>
      </c>
      <c r="D39" s="22" t="n"/>
      <c r="E39" s="22" t="n"/>
      <c r="F39" s="22" t="n"/>
      <c r="G39" s="41" t="n"/>
      <c r="H39" s="41" t="n"/>
      <c r="I39" s="42" t="n"/>
    </row>
    <row r="40" ht="24" customHeight="1">
      <c r="A40" s="38" t="inlineStr">
        <is>
          <t>Positrak SSL</t>
        </is>
      </c>
      <c r="B40" s="22" t="inlineStr">
        <is>
          <t>SSL08</t>
        </is>
      </c>
      <c r="C40" s="18" t="n">
        <v>2</v>
      </c>
      <c r="D40" s="22" t="n"/>
      <c r="E40" s="22" t="n"/>
      <c r="F40" s="22" t="n"/>
      <c r="G40" s="41" t="n"/>
      <c r="H40" s="41" t="n"/>
      <c r="I40" s="42" t="n"/>
    </row>
    <row r="41" ht="24" customHeight="1">
      <c r="A41" s="38" t="n"/>
      <c r="B41" s="22" t="n"/>
      <c r="C41" s="18" t="n"/>
      <c r="D41" s="41" t="n"/>
      <c r="E41" s="41" t="n"/>
      <c r="F41" s="41" t="n"/>
      <c r="G41" s="41" t="n"/>
      <c r="H41" s="41" t="n"/>
      <c r="I41" s="42" t="n"/>
    </row>
    <row r="42" ht="18" customHeight="1">
      <c r="A42" s="43" t="n">
        <v>0</v>
      </c>
      <c r="B42" s="229" t="inlineStr">
        <is>
          <t xml:space="preserve">Repairs Required </t>
        </is>
      </c>
      <c r="C42" s="219" t="n"/>
      <c r="D42" s="230" t="inlineStr">
        <is>
          <t>N/A</t>
        </is>
      </c>
      <c r="E42" s="218" t="n"/>
      <c r="F42" s="218" t="n"/>
      <c r="G42" s="218" t="n"/>
      <c r="H42" s="218" t="n"/>
      <c r="I42" s="222" t="n"/>
    </row>
    <row r="43" ht="18" customHeight="1">
      <c r="A43" s="44" t="n">
        <v>0</v>
      </c>
      <c r="B43" s="229" t="inlineStr">
        <is>
          <t>Scheduled Service</t>
        </is>
      </c>
      <c r="C43" s="219" t="n"/>
      <c r="D43" s="230" t="inlineStr">
        <is>
          <t>N/A</t>
        </is>
      </c>
      <c r="E43" s="218" t="n"/>
      <c r="F43" s="218" t="n"/>
      <c r="G43" s="218" t="n"/>
      <c r="H43" s="218" t="n"/>
      <c r="I43" s="222" t="n"/>
    </row>
    <row r="44" ht="18" customHeight="1">
      <c r="A44" s="45" t="n">
        <v>0</v>
      </c>
      <c r="B44" s="229" t="n"/>
      <c r="C44" s="219" t="n"/>
      <c r="D44" s="230" t="inlineStr">
        <is>
          <t>N/A</t>
        </is>
      </c>
      <c r="E44" s="218" t="n"/>
      <c r="F44" s="218" t="n"/>
      <c r="G44" s="218" t="n"/>
      <c r="H44" s="218" t="n"/>
      <c r="I44" s="222" t="n"/>
    </row>
    <row r="45" ht="23.25" customHeight="1">
      <c r="A45" s="232" t="inlineStr">
        <is>
          <t xml:space="preserve">Total Plant and Equipment Hours: </t>
        </is>
      </c>
      <c r="B45" s="219" t="n"/>
      <c r="C45" s="46">
        <f>SUM(C31:C41)</f>
        <v/>
      </c>
      <c r="D45" s="233" t="n"/>
      <c r="E45" s="218" t="n"/>
      <c r="F45" s="218" t="n"/>
      <c r="G45" s="218" t="n"/>
      <c r="H45" s="218" t="n"/>
      <c r="I45" s="222" t="n"/>
    </row>
    <row r="46" ht="25" customHeight="1">
      <c r="A46" s="221" t="inlineStr">
        <is>
          <t>DELAYS-OPPORTUNITY</t>
        </is>
      </c>
      <c r="B46" s="218" t="n"/>
      <c r="C46" s="218" t="n"/>
      <c r="D46" s="218" t="n"/>
      <c r="E46" s="218" t="n"/>
      <c r="F46" s="218" t="n"/>
      <c r="G46" s="218" t="n"/>
      <c r="H46" s="218" t="n"/>
      <c r="I46" s="222" t="n"/>
    </row>
    <row r="47" ht="57" customHeight="1" thickBot="1">
      <c r="A47" s="234"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38" t="inlineStr">
        <is>
          <t>HSEQ MESSAGES</t>
        </is>
      </c>
      <c r="B51" s="239" t="n"/>
      <c r="C51" s="239" t="n"/>
      <c r="D51" s="239" t="n"/>
      <c r="E51" s="239" t="n"/>
      <c r="F51" s="239" t="n"/>
      <c r="G51" s="239" t="n"/>
      <c r="H51" s="239" t="n"/>
      <c r="I51" s="240" t="n"/>
    </row>
    <row r="52" ht="18" customHeight="1">
      <c r="A52" s="47" t="inlineStr">
        <is>
          <t>TCD - Monthly Safety Focus:</t>
        </is>
      </c>
      <c r="B52" s="241" t="inlineStr">
        <is>
          <t>Prestart Checks</t>
        </is>
      </c>
      <c r="C52" s="218" t="n"/>
      <c r="D52" s="218" t="n"/>
      <c r="E52" s="218" t="n"/>
      <c r="F52" s="218" t="n"/>
      <c r="G52" s="218" t="n"/>
      <c r="H52" s="218" t="n"/>
      <c r="I52" s="219" t="n"/>
    </row>
    <row r="53" ht="24" customHeight="1">
      <c r="A53" s="47" t="inlineStr">
        <is>
          <t>TCD - Daily Safety Focus:</t>
        </is>
      </c>
      <c r="B53" s="242" t="inlineStr">
        <is>
          <t>SIMOPS</t>
        </is>
      </c>
      <c r="C53" s="218" t="n"/>
      <c r="D53" s="218" t="n"/>
      <c r="E53" s="218" t="n"/>
      <c r="F53" s="218" t="n"/>
      <c r="G53" s="218" t="n"/>
      <c r="H53" s="218" t="n"/>
      <c r="I53" s="222" t="n"/>
    </row>
    <row r="54" ht="18" customHeight="1">
      <c r="A54" s="48" t="inlineStr">
        <is>
          <t xml:space="preserve">Hazards Reported: </t>
        </is>
      </c>
      <c r="B54" s="49" t="inlineStr">
        <is>
          <t>Nil</t>
        </is>
      </c>
      <c r="C54" s="242" t="n"/>
      <c r="D54" s="218" t="n"/>
      <c r="E54" s="218" t="n"/>
      <c r="F54" s="218" t="n"/>
      <c r="G54" s="218" t="n"/>
      <c r="H54" s="218" t="n"/>
      <c r="I54" s="222" t="n"/>
    </row>
    <row r="55" ht="18" customHeight="1">
      <c r="A55" s="48" t="inlineStr">
        <is>
          <t>Incident Free Days</t>
        </is>
      </c>
      <c r="B55" s="49" t="n">
        <v>22</v>
      </c>
      <c r="C55" s="241" t="n"/>
      <c r="D55" s="218" t="n"/>
      <c r="E55" s="218" t="n"/>
      <c r="F55" s="218" t="n"/>
      <c r="G55" s="218" t="n"/>
      <c r="H55" s="218" t="n"/>
      <c r="I55" s="219" t="n"/>
    </row>
    <row r="56" ht="18" customHeight="1">
      <c r="A56" s="50" t="inlineStr">
        <is>
          <t>Other Notes</t>
        </is>
      </c>
      <c r="B56" s="243" t="n"/>
      <c r="C56" s="225" t="n"/>
      <c r="D56" s="225" t="n"/>
      <c r="E56" s="225" t="n"/>
      <c r="F56" s="225" t="n"/>
      <c r="G56" s="225" t="n"/>
      <c r="H56" s="225" t="n"/>
      <c r="I56" s="226" t="n"/>
    </row>
    <row r="57" ht="20.25" customHeight="1">
      <c r="A57" s="221" t="inlineStr">
        <is>
          <t xml:space="preserve">INCIDENTS &amp; REPORTS </t>
        </is>
      </c>
      <c r="B57" s="218" t="n"/>
      <c r="C57" s="218" t="n"/>
      <c r="D57" s="218" t="n"/>
      <c r="E57" s="218" t="n"/>
      <c r="F57" s="218" t="n"/>
      <c r="G57" s="218" t="n"/>
      <c r="H57" s="218" t="n"/>
      <c r="I57" s="222" t="n"/>
    </row>
    <row r="58" ht="25" customHeight="1">
      <c r="A58" s="51" t="n"/>
      <c r="B58" s="228" t="inlineStr">
        <is>
          <t>QTY</t>
        </is>
      </c>
      <c r="C58" s="231" t="inlineStr">
        <is>
          <t>Comments</t>
        </is>
      </c>
      <c r="D58" s="218" t="n"/>
      <c r="E58" s="218" t="n"/>
      <c r="F58" s="218" t="n"/>
      <c r="G58" s="218" t="n"/>
      <c r="H58" s="218" t="n"/>
      <c r="I58" s="222" t="n"/>
    </row>
    <row r="59" ht="25" customHeight="1">
      <c r="A59" s="52" t="inlineStr">
        <is>
          <t>INCIDENT</t>
        </is>
      </c>
      <c r="B59" s="228" t="n">
        <v>0</v>
      </c>
      <c r="C59" s="246" t="inlineStr">
        <is>
          <t>NA</t>
        </is>
      </c>
      <c r="D59" s="225" t="n"/>
      <c r="E59" s="225" t="n"/>
      <c r="F59" s="225" t="n"/>
      <c r="G59" s="225" t="n"/>
      <c r="H59" s="225" t="n"/>
      <c r="I59" s="226" t="n"/>
    </row>
    <row r="60" ht="25" customHeight="1">
      <c r="A60" s="53" t="inlineStr">
        <is>
          <t>IR</t>
        </is>
      </c>
      <c r="B60" s="54" t="n">
        <v>0</v>
      </c>
      <c r="C60" s="246" t="inlineStr">
        <is>
          <t>NA</t>
        </is>
      </c>
      <c r="D60" s="225" t="n"/>
      <c r="E60" s="225" t="n"/>
      <c r="F60" s="225" t="n"/>
      <c r="G60" s="225" t="n"/>
      <c r="H60" s="225" t="n"/>
      <c r="I60" s="226" t="n"/>
    </row>
    <row r="61" ht="25" customHeight="1" thickBot="1">
      <c r="A61" s="55" t="inlineStr">
        <is>
          <t>NCR</t>
        </is>
      </c>
      <c r="B61" s="56" t="n">
        <v>0</v>
      </c>
      <c r="C61" s="247" t="inlineStr">
        <is>
          <t>NA</t>
        </is>
      </c>
      <c r="D61" s="248" t="n"/>
      <c r="E61" s="248" t="n"/>
      <c r="F61" s="248" t="n"/>
      <c r="G61" s="248" t="n"/>
      <c r="H61" s="248" t="n"/>
      <c r="I61" s="249" t="n"/>
    </row>
    <row r="62" ht="20.25" customHeight="1">
      <c r="A62" s="238" t="inlineStr">
        <is>
          <t>COMMUNICATIONS</t>
        </is>
      </c>
      <c r="B62" s="239" t="n"/>
      <c r="C62" s="239" t="n"/>
      <c r="D62" s="239" t="n"/>
      <c r="E62" s="239" t="n"/>
      <c r="F62" s="239" t="n"/>
      <c r="G62" s="239" t="n"/>
      <c r="H62" s="239" t="n"/>
      <c r="I62" s="240" t="n"/>
    </row>
    <row r="63" ht="25" customHeight="1">
      <c r="A63" s="250" t="inlineStr">
        <is>
          <t>TGS MB1119-05 Scheme D implemented</t>
        </is>
      </c>
      <c r="B63" s="218" t="n"/>
      <c r="C63" s="218" t="n"/>
      <c r="D63" s="218" t="n"/>
      <c r="E63" s="218" t="n"/>
      <c r="F63" s="218" t="n"/>
      <c r="G63" s="218" t="n"/>
      <c r="H63" s="218" t="n"/>
      <c r="I63" s="222" t="n"/>
    </row>
    <row r="64" ht="25" customHeight="1">
      <c r="A64" s="221" t="inlineStr">
        <is>
          <t>PRODUCTION (CONSTRUCTION STATUS &amp; PROGRESS)</t>
        </is>
      </c>
      <c r="B64" s="218" t="n"/>
      <c r="C64" s="218" t="n"/>
      <c r="D64" s="218" t="n"/>
      <c r="E64" s="218" t="n"/>
      <c r="F64" s="218" t="n"/>
      <c r="G64" s="218" t="n"/>
      <c r="H64" s="218" t="n"/>
      <c r="I64" s="222" t="n"/>
    </row>
    <row r="65" ht="25" customHeight="1">
      <c r="A65" s="77" t="inlineStr">
        <is>
          <t>Repaired Damaged Retic Bayley Street End to Enable Pressurisation of System</t>
        </is>
      </c>
      <c r="B65" s="58" t="n"/>
      <c r="C65" s="59" t="n"/>
      <c r="D65" s="59" t="n"/>
      <c r="E65" s="58" t="n"/>
      <c r="F65" s="58" t="n"/>
      <c r="G65" s="59" t="n"/>
      <c r="H65" s="58" t="n"/>
      <c r="I65" s="60" t="n"/>
    </row>
    <row r="66" ht="25" customHeight="1">
      <c r="A66" s="77" t="inlineStr">
        <is>
          <t>Completed Vac Trucking for Gas Connections</t>
        </is>
      </c>
      <c r="B66" s="58" t="n"/>
      <c r="C66" s="59" t="n"/>
      <c r="D66" s="59" t="n"/>
      <c r="E66" s="58" t="n"/>
      <c r="F66" s="58" t="n"/>
      <c r="G66" s="59" t="n"/>
      <c r="H66" s="58" t="n"/>
      <c r="I66" s="60" t="n"/>
    </row>
    <row r="67" ht="25" customHeight="1">
      <c r="A67" s="77" t="inlineStr">
        <is>
          <t>Punchlist Asphalt Works-COGG Inspected</t>
        </is>
      </c>
      <c r="B67" s="58" t="n"/>
      <c r="C67" s="59" t="n"/>
      <c r="D67" s="59" t="n"/>
      <c r="E67" s="58" t="n"/>
      <c r="F67" s="58" t="n"/>
      <c r="G67" s="59" t="n"/>
      <c r="H67" s="58" t="n"/>
      <c r="I67" s="60" t="n"/>
    </row>
    <row r="68" ht="25" customHeight="1">
      <c r="A68" s="77" t="inlineStr">
        <is>
          <t xml:space="preserve">Trimming of Verges </t>
        </is>
      </c>
      <c r="B68" s="58" t="n"/>
      <c r="C68" s="59" t="n"/>
      <c r="D68" s="59" t="n"/>
      <c r="E68" s="58" t="n"/>
      <c r="F68" s="58" t="n"/>
      <c r="G68" s="59" t="n"/>
      <c r="H68" s="58" t="n"/>
      <c r="I68" s="60" t="n"/>
    </row>
    <row r="69" ht="26.25" customHeight="1" thickBot="1">
      <c r="A69" s="224" t="inlineStr">
        <is>
          <t>Photos</t>
        </is>
      </c>
      <c r="B69" s="225" t="n"/>
      <c r="C69" s="225" t="n"/>
      <c r="D69" s="225" t="n"/>
      <c r="E69" s="225" t="n"/>
      <c r="F69" s="225" t="n"/>
      <c r="G69" s="225" t="n"/>
      <c r="H69" s="225" t="n"/>
      <c r="I69" s="226" t="n"/>
    </row>
    <row r="70" ht="23.25" customHeight="1">
      <c r="A70" s="61" t="n"/>
      <c r="B70" s="62" t="n"/>
      <c r="C70" s="62" t="n"/>
      <c r="D70" s="62" t="n"/>
      <c r="E70" s="62" t="n"/>
      <c r="F70" s="62" t="n"/>
      <c r="G70" s="62" t="n"/>
      <c r="H70" s="62" t="n"/>
      <c r="I70" s="63" t="n"/>
    </row>
    <row r="71" ht="23.25" customHeight="1">
      <c r="A71" s="64" t="n"/>
      <c r="B71" s="65" t="n"/>
      <c r="C71" s="65" t="n"/>
      <c r="D71" s="65" t="n"/>
      <c r="E71" s="65" t="n"/>
      <c r="F71" s="65" t="n"/>
      <c r="G71" s="65" t="n"/>
      <c r="H71" s="65" t="n"/>
      <c r="I71" s="66" t="n"/>
    </row>
    <row r="72" ht="15" customHeight="1">
      <c r="A72" s="64" t="n"/>
      <c r="B72" s="65" t="n"/>
      <c r="C72" s="65" t="n"/>
      <c r="D72" s="65" t="n"/>
      <c r="E72" s="65" t="n"/>
      <c r="F72" s="65" t="n"/>
      <c r="G72" s="65" t="n"/>
      <c r="H72" s="65" t="n"/>
      <c r="I72" s="66" t="n"/>
    </row>
    <row r="73" ht="15" customHeight="1">
      <c r="A73" s="64" t="n"/>
      <c r="B73" s="65" t="n"/>
      <c r="C73" s="65" t="n"/>
      <c r="D73" s="65" t="n"/>
      <c r="E73" s="65" t="n"/>
      <c r="F73" s="65" t="n"/>
      <c r="G73" s="65" t="n"/>
      <c r="H73" s="65" t="n"/>
      <c r="I73" s="66" t="n"/>
    </row>
    <row r="74" ht="15" customHeight="1">
      <c r="A74" s="64" t="n"/>
      <c r="B74" s="65" t="n"/>
      <c r="C74" s="65" t="n"/>
      <c r="D74" s="65" t="n"/>
      <c r="E74" s="65" t="n"/>
      <c r="F74" s="65" t="n"/>
      <c r="G74" s="65" t="n"/>
      <c r="H74" s="65" t="n"/>
      <c r="I74" s="66" t="n"/>
    </row>
    <row r="75" ht="15" customHeight="1">
      <c r="A75" s="64" t="n"/>
      <c r="B75" s="65" t="n"/>
      <c r="C75" s="65" t="n"/>
      <c r="D75" s="65" t="n"/>
      <c r="E75" s="65" t="n"/>
      <c r="F75" s="65" t="n"/>
      <c r="G75" s="65" t="n"/>
      <c r="H75" s="65" t="n"/>
      <c r="I75" s="66" t="n"/>
    </row>
    <row r="76" ht="15" customHeight="1">
      <c r="A76" s="64" t="n"/>
      <c r="B76" s="65" t="n"/>
      <c r="C76" s="65" t="n"/>
      <c r="D76" s="65" t="n"/>
      <c r="E76" s="65" t="n"/>
      <c r="F76" s="65" t="n"/>
      <c r="G76" s="65" t="n"/>
      <c r="H76" s="65" t="n"/>
      <c r="I76" s="66" t="n"/>
    </row>
    <row r="77" ht="15" customHeight="1">
      <c r="A77" s="64" t="n"/>
      <c r="B77" s="65" t="n"/>
      <c r="C77" s="65" t="n"/>
      <c r="D77" s="65" t="n"/>
      <c r="E77" s="65" t="n"/>
      <c r="F77" s="65" t="n"/>
      <c r="G77" s="65" t="n"/>
      <c r="H77" s="65" t="n"/>
      <c r="I77" s="66" t="n"/>
    </row>
    <row r="78" ht="15" customHeight="1">
      <c r="A78" s="64" t="n"/>
      <c r="B78" s="65" t="n"/>
      <c r="C78" s="65" t="n"/>
      <c r="D78" s="65" t="n"/>
      <c r="E78" s="65" t="n"/>
      <c r="F78" s="65" t="n"/>
      <c r="G78" s="65" t="n"/>
      <c r="H78" s="65" t="n"/>
      <c r="I78" s="66" t="n"/>
    </row>
    <row r="79" ht="15" customHeight="1">
      <c r="A79" s="64" t="n"/>
      <c r="B79" s="65" t="n"/>
      <c r="C79" s="65" t="n"/>
      <c r="D79" s="65" t="n"/>
      <c r="E79" s="65" t="n"/>
      <c r="F79" s="65" t="n"/>
      <c r="G79" s="65" t="n"/>
      <c r="H79" s="65" t="n"/>
      <c r="I79" s="66" t="n"/>
    </row>
    <row r="80" ht="15" customHeight="1">
      <c r="A80" s="64" t="n"/>
      <c r="B80" s="65" t="n"/>
      <c r="C80" s="65" t="n"/>
      <c r="D80" s="65" t="n"/>
      <c r="E80" s="65" t="n"/>
      <c r="F80" s="65" t="n"/>
      <c r="G80" s="65" t="n"/>
      <c r="H80" s="65" t="n"/>
      <c r="I80" s="66" t="n"/>
    </row>
    <row r="81" ht="15" customHeight="1">
      <c r="A81" s="64" t="n"/>
      <c r="B81" s="65" t="n"/>
      <c r="C81" s="65" t="n"/>
      <c r="D81" s="65" t="n"/>
      <c r="E81" s="65" t="n"/>
      <c r="F81" s="65" t="n"/>
      <c r="G81" s="65" t="n"/>
      <c r="H81" s="65" t="n"/>
      <c r="I81" s="66" t="n"/>
    </row>
    <row r="82" ht="15" customHeight="1">
      <c r="A82" s="64" t="n"/>
      <c r="B82" s="65" t="n"/>
      <c r="C82" s="65" t="n"/>
      <c r="D82" s="65" t="n"/>
      <c r="E82" s="65" t="n"/>
      <c r="F82" s="65" t="n"/>
      <c r="G82" s="65" t="n"/>
      <c r="H82" s="65" t="n"/>
      <c r="I82" s="66" t="n"/>
    </row>
    <row r="83" ht="15" customHeight="1">
      <c r="A83" s="64" t="n"/>
      <c r="B83" s="65" t="n"/>
      <c r="C83" s="65" t="n"/>
      <c r="D83" s="65" t="n"/>
      <c r="E83" s="65" t="n"/>
      <c r="F83" s="65" t="n"/>
      <c r="G83" s="65" t="n"/>
      <c r="H83" s="65" t="n"/>
      <c r="I83" s="66" t="n"/>
    </row>
    <row r="84" ht="15" customHeight="1">
      <c r="A84" s="64" t="n"/>
      <c r="B84" s="65" t="n"/>
      <c r="C84" s="65" t="n"/>
      <c r="D84" s="65" t="n"/>
      <c r="E84" s="65" t="n"/>
      <c r="F84" s="65" t="n"/>
      <c r="G84" s="65" t="n"/>
      <c r="H84" s="65" t="n"/>
      <c r="I84" s="66" t="n"/>
    </row>
    <row r="85" ht="15" customHeight="1">
      <c r="A85" s="64" t="n"/>
      <c r="B85" s="65" t="n"/>
      <c r="C85" s="65" t="n"/>
      <c r="D85" s="65" t="n"/>
      <c r="E85" s="65" t="n"/>
      <c r="F85" s="65" t="n"/>
      <c r="G85" s="65" t="n"/>
      <c r="H85" s="65" t="n"/>
      <c r="I85" s="66" t="n"/>
    </row>
    <row r="86" ht="15" customHeight="1">
      <c r="A86" s="64" t="n"/>
      <c r="B86" s="65" t="n"/>
      <c r="C86" s="65" t="n"/>
      <c r="D86" s="65" t="n"/>
      <c r="E86" s="65" t="n"/>
      <c r="F86" s="65" t="n"/>
      <c r="G86" s="65" t="n"/>
      <c r="H86" s="65" t="n"/>
      <c r="I86" s="66" t="n"/>
    </row>
    <row r="87" ht="15" customHeight="1">
      <c r="A87" s="64" t="n"/>
      <c r="B87" s="65" t="n"/>
      <c r="C87" s="65" t="n"/>
      <c r="D87" s="65" t="n"/>
      <c r="E87" s="65" t="n"/>
      <c r="F87" s="65" t="n"/>
      <c r="G87" s="65" t="n"/>
      <c r="H87" s="65" t="n"/>
      <c r="I87" s="66" t="n"/>
    </row>
    <row r="88" ht="15" customHeight="1">
      <c r="A88" s="64" t="n"/>
      <c r="B88" s="65" t="n"/>
      <c r="C88" s="65" t="n"/>
      <c r="D88" s="65" t="n"/>
      <c r="E88" s="65" t="n"/>
      <c r="F88" s="65" t="n"/>
      <c r="G88" s="65" t="n"/>
      <c r="H88" s="65" t="n"/>
      <c r="I88" s="66" t="n"/>
    </row>
    <row r="89" ht="15" customHeight="1">
      <c r="A89" s="64" t="n"/>
      <c r="B89" s="65" t="n"/>
      <c r="C89" s="65" t="n"/>
      <c r="D89" s="65" t="n"/>
      <c r="E89" s="65" t="n"/>
      <c r="F89" s="65" t="n"/>
      <c r="G89" s="65" t="n"/>
      <c r="H89" s="65" t="n"/>
      <c r="I89" s="66" t="n"/>
    </row>
    <row r="90" ht="15" customHeight="1">
      <c r="A90" s="64" t="n"/>
      <c r="B90" s="65" t="n"/>
      <c r="C90" s="65" t="n"/>
      <c r="D90" s="65" t="n"/>
      <c r="E90" s="65" t="n"/>
      <c r="F90" s="65" t="n"/>
      <c r="G90" s="65" t="n"/>
      <c r="H90" s="65" t="n"/>
      <c r="I90" s="66" t="n"/>
    </row>
    <row r="91" ht="15" customHeight="1">
      <c r="A91" s="64" t="n"/>
      <c r="B91" s="65" t="n"/>
      <c r="C91" s="65" t="n"/>
      <c r="D91" s="65" t="n"/>
      <c r="E91" s="65" t="n"/>
      <c r="F91" s="65" t="n"/>
      <c r="G91" s="65" t="n"/>
      <c r="H91" s="65" t="n"/>
      <c r="I91" s="66" t="n"/>
    </row>
    <row r="92" ht="15" customHeight="1">
      <c r="A92" s="64" t="n"/>
      <c r="B92" s="65" t="n"/>
      <c r="C92" s="65" t="n"/>
      <c r="D92" s="65" t="n"/>
      <c r="E92" s="65" t="n"/>
      <c r="F92" s="65" t="n"/>
      <c r="H92" s="65" t="n"/>
      <c r="I92" s="66" t="n"/>
    </row>
    <row r="93" ht="25" customFormat="1" customHeight="1" s="67">
      <c r="A93" s="64" t="n"/>
      <c r="B93" s="65" t="n"/>
      <c r="C93" s="65" t="n"/>
      <c r="D93" s="65" t="n"/>
      <c r="E93" s="65" t="n"/>
      <c r="F93" s="65" t="n"/>
      <c r="G93" s="65" t="n"/>
      <c r="H93" s="65" t="n"/>
      <c r="I93" s="66" t="n"/>
    </row>
    <row r="94" ht="15" customHeight="1">
      <c r="A94" s="64" t="n"/>
      <c r="B94" s="65" t="n"/>
      <c r="C94" s="65" t="n"/>
      <c r="D94" s="65" t="n"/>
      <c r="E94" s="65" t="n"/>
      <c r="F94" s="65" t="n"/>
      <c r="G94" s="65" t="n"/>
      <c r="H94" s="65" t="n"/>
      <c r="I94" s="66" t="n"/>
    </row>
    <row r="95" ht="15" customHeight="1">
      <c r="A95" s="64" t="n"/>
      <c r="B95" s="65" t="n"/>
      <c r="C95" s="65" t="n"/>
      <c r="D95" s="65" t="n"/>
      <c r="E95" s="65" t="n"/>
      <c r="F95" s="65" t="n"/>
      <c r="G95" s="65" t="n"/>
      <c r="H95" s="65" t="n"/>
      <c r="I95" s="66" t="n"/>
    </row>
    <row r="96" ht="15" customHeight="1">
      <c r="A96" s="64" t="n"/>
      <c r="B96" s="65" t="n"/>
      <c r="C96" s="65" t="n"/>
      <c r="D96" s="65" t="n"/>
      <c r="E96" s="65" t="n"/>
      <c r="F96" s="65" t="n"/>
      <c r="G96" s="65" t="n"/>
      <c r="H96" s="65" t="n"/>
      <c r="I96" s="66" t="n"/>
    </row>
    <row r="97" ht="15" customHeight="1">
      <c r="A97" s="64" t="n"/>
      <c r="B97" s="65" t="n"/>
      <c r="C97" s="65" t="n"/>
      <c r="D97" s="65" t="n"/>
      <c r="E97" s="65" t="n"/>
      <c r="F97" s="65" t="n"/>
      <c r="G97" s="65" t="n"/>
      <c r="H97" s="65" t="n"/>
      <c r="I97" s="66" t="n"/>
    </row>
    <row r="98" ht="15" customHeight="1">
      <c r="A98" s="64" t="n"/>
      <c r="B98" s="65" t="n"/>
      <c r="C98" s="65" t="n"/>
      <c r="D98" s="65" t="n"/>
      <c r="E98" s="65" t="n"/>
      <c r="F98" s="65" t="n"/>
      <c r="G98" s="65" t="n"/>
      <c r="H98" s="65" t="n"/>
      <c r="I98" s="66" t="n"/>
    </row>
    <row r="99" ht="15" customHeight="1">
      <c r="A99" s="64" t="n"/>
      <c r="B99" s="65" t="n"/>
      <c r="C99" s="65" t="n"/>
      <c r="D99" s="65" t="n"/>
      <c r="E99" s="65" t="n"/>
      <c r="F99" s="65" t="n"/>
      <c r="G99" s="65" t="n"/>
      <c r="H99" s="65" t="n"/>
      <c r="I99" s="66" t="n"/>
    </row>
    <row r="100" ht="15" customHeight="1">
      <c r="A100" s="64" t="n"/>
      <c r="B100" s="65" t="n"/>
      <c r="C100" s="65" t="n"/>
      <c r="D100" s="65" t="n"/>
      <c r="E100" s="65" t="n"/>
      <c r="F100" s="65" t="n"/>
      <c r="G100" s="65" t="n"/>
      <c r="H100" s="65" t="n"/>
      <c r="I100" s="66" t="n"/>
    </row>
    <row r="101" ht="15" customHeight="1">
      <c r="A101" s="64" t="n"/>
      <c r="B101" s="65" t="n"/>
      <c r="C101" s="65" t="n"/>
      <c r="D101" s="65" t="n"/>
      <c r="E101" s="65" t="n"/>
      <c r="F101" s="65" t="n"/>
      <c r="G101" s="65" t="n"/>
      <c r="H101" s="65" t="n"/>
      <c r="I101" s="66" t="n"/>
    </row>
    <row r="102" ht="15" customHeight="1">
      <c r="A102" s="64" t="n"/>
      <c r="B102" s="65" t="n"/>
      <c r="C102" s="65" t="n"/>
      <c r="D102" s="65" t="n"/>
      <c r="E102" s="65" t="n"/>
      <c r="F102" s="65" t="n"/>
      <c r="G102" s="65" t="n"/>
      <c r="H102" s="65" t="n"/>
      <c r="I102" s="66" t="n"/>
    </row>
    <row r="103" ht="15" customHeight="1">
      <c r="A103" s="64" t="n"/>
      <c r="B103" s="65" t="n"/>
      <c r="C103" s="65" t="n"/>
      <c r="D103" s="65" t="n"/>
      <c r="E103" s="65" t="n"/>
      <c r="F103" s="65" t="n"/>
      <c r="G103" s="65" t="n"/>
      <c r="H103" s="65" t="n"/>
      <c r="I103" s="66" t="n"/>
    </row>
    <row r="104" ht="15" customHeight="1">
      <c r="A104" s="64" t="n"/>
      <c r="B104" s="65" t="n"/>
      <c r="C104" s="65" t="n"/>
      <c r="D104" s="65" t="n"/>
      <c r="E104" s="65" t="n"/>
      <c r="F104" s="65" t="n"/>
      <c r="G104" s="65" t="n"/>
      <c r="H104" s="65" t="n"/>
      <c r="I104" s="66" t="n"/>
    </row>
    <row r="105" ht="15" customHeight="1">
      <c r="A105" s="64" t="n"/>
      <c r="B105" s="65" t="n"/>
      <c r="C105" s="65" t="n"/>
      <c r="D105" s="65" t="n"/>
      <c r="E105" s="65" t="n"/>
      <c r="F105" s="65" t="n"/>
      <c r="G105" s="65" t="n"/>
      <c r="H105" s="65" t="n"/>
      <c r="I105" s="66" t="n"/>
    </row>
    <row r="106" ht="15" customHeight="1">
      <c r="A106" s="64" t="n"/>
      <c r="B106" s="65" t="n"/>
      <c r="C106" s="65" t="n"/>
      <c r="D106" s="65" t="n"/>
      <c r="E106" s="65" t="n"/>
      <c r="F106" s="65" t="n"/>
      <c r="G106" s="65" t="n"/>
      <c r="H106" s="65" t="n"/>
      <c r="I106" s="66" t="n"/>
    </row>
    <row r="107" ht="15" customHeight="1">
      <c r="A107" s="64" t="n"/>
      <c r="B107" s="65" t="n"/>
      <c r="C107" s="65" t="n"/>
      <c r="D107" s="65" t="n"/>
      <c r="E107" s="65" t="n"/>
      <c r="F107" s="65" t="n"/>
      <c r="G107" s="65" t="n"/>
      <c r="H107" s="65" t="n"/>
      <c r="I107" s="66" t="n"/>
    </row>
    <row r="108" ht="15" customHeight="1" thickBot="1">
      <c r="A108" s="68" t="n"/>
      <c r="B108" s="69" t="n"/>
      <c r="C108" s="69" t="n"/>
      <c r="D108" s="69" t="n"/>
      <c r="E108" s="69" t="n"/>
      <c r="F108" s="69" t="n"/>
      <c r="G108" s="69" t="n"/>
      <c r="H108" s="69" t="n"/>
      <c r="I108" s="70" t="n"/>
    </row>
    <row r="109" ht="15" customHeight="1">
      <c r="A109" s="64" t="n"/>
      <c r="B109" s="65" t="n"/>
      <c r="C109" s="65" t="n"/>
      <c r="D109" s="65" t="n"/>
      <c r="E109" s="65" t="n"/>
      <c r="F109" s="65" t="n"/>
      <c r="G109" s="65" t="n"/>
      <c r="H109" s="65" t="n"/>
      <c r="I109" s="66" t="n"/>
    </row>
    <row r="110" ht="15" customHeight="1">
      <c r="A110" s="64" t="n"/>
      <c r="B110" s="65" t="n"/>
      <c r="C110" s="65" t="n"/>
      <c r="D110" s="65" t="n"/>
      <c r="E110" s="65" t="n"/>
      <c r="F110" s="65" t="n"/>
      <c r="G110" s="65" t="n"/>
      <c r="H110" s="65" t="n"/>
      <c r="I110" s="66" t="n"/>
    </row>
    <row r="111" ht="15" customHeight="1">
      <c r="A111" s="64" t="n"/>
      <c r="B111" s="65" t="n"/>
      <c r="C111" s="65" t="n"/>
      <c r="D111" s="65" t="n"/>
      <c r="E111" s="65" t="n"/>
      <c r="F111" s="65" t="n"/>
      <c r="G111" s="65" t="n"/>
      <c r="H111" s="65" t="n"/>
      <c r="I111" s="66" t="n"/>
    </row>
    <row r="112" ht="15" customHeight="1">
      <c r="A112" s="64" t="n"/>
      <c r="B112" s="65" t="n"/>
      <c r="C112" s="65" t="n"/>
      <c r="D112" s="65" t="n"/>
      <c r="E112" s="65" t="n"/>
      <c r="F112" s="65" t="n"/>
      <c r="G112" s="65" t="n"/>
      <c r="H112" s="65" t="n"/>
      <c r="I112" s="66" t="n"/>
    </row>
    <row r="113" ht="15" customHeight="1">
      <c r="A113" s="64" t="n"/>
      <c r="B113" s="65" t="n"/>
      <c r="C113" s="65" t="n"/>
      <c r="D113" s="65" t="n"/>
      <c r="E113" s="65" t="n"/>
      <c r="F113" s="65" t="n"/>
      <c r="G113" s="65" t="n"/>
      <c r="H113" s="65" t="n"/>
      <c r="I113" s="66" t="n"/>
    </row>
    <row r="114" ht="15" customHeight="1">
      <c r="A114" s="64" t="n"/>
      <c r="B114" s="65" t="n"/>
      <c r="C114" s="65" t="n"/>
      <c r="D114" s="65" t="n"/>
      <c r="E114" s="65" t="n"/>
      <c r="F114" s="65" t="n"/>
      <c r="G114" s="65" t="n"/>
      <c r="H114" s="65" t="n"/>
      <c r="I114" s="66" t="n"/>
    </row>
    <row r="115" ht="15" customHeight="1">
      <c r="A115" s="64" t="n"/>
      <c r="B115" s="65" t="n"/>
      <c r="C115" s="65" t="n"/>
      <c r="D115" s="65" t="n"/>
      <c r="E115" s="65" t="n"/>
      <c r="F115" s="65" t="n"/>
      <c r="G115" s="65" t="n"/>
      <c r="H115" s="65" t="n"/>
      <c r="I115" s="66" t="n"/>
    </row>
    <row r="116" ht="15" customHeight="1">
      <c r="A116" s="64" t="n"/>
      <c r="B116" s="65" t="n"/>
      <c r="C116" s="65" t="n"/>
      <c r="D116" s="65" t="n"/>
      <c r="E116" s="65" t="n"/>
      <c r="F116" s="65" t="n"/>
      <c r="G116" s="65" t="n"/>
      <c r="H116" s="65" t="n"/>
      <c r="I116" s="66" t="n"/>
    </row>
    <row r="117" ht="25" customHeight="1">
      <c r="A117" s="64" t="n"/>
      <c r="B117" s="65" t="n"/>
      <c r="C117" s="65" t="n"/>
      <c r="D117" s="65" t="n"/>
      <c r="E117" s="65" t="n"/>
      <c r="F117" s="65" t="n"/>
      <c r="G117" s="65" t="n"/>
      <c r="H117" s="65" t="n"/>
      <c r="I117" s="66" t="n"/>
    </row>
    <row r="118" ht="15" customHeight="1">
      <c r="A118" s="64" t="n"/>
      <c r="B118" s="65" t="n"/>
      <c r="C118" s="65" t="n"/>
      <c r="D118" s="65" t="n"/>
      <c r="E118" s="65" t="n"/>
      <c r="F118" s="65" t="n"/>
      <c r="G118" s="65" t="n"/>
      <c r="H118" s="65" t="n"/>
      <c r="I118" s="66" t="n"/>
    </row>
    <row r="119" ht="15" customHeight="1">
      <c r="A119" s="64" t="n"/>
      <c r="B119" s="65" t="n"/>
      <c r="C119" s="65" t="n"/>
      <c r="D119" s="65" t="n"/>
      <c r="E119" s="65" t="n"/>
      <c r="F119" s="65" t="n"/>
      <c r="G119" s="65" t="n"/>
      <c r="H119" s="65" t="n"/>
      <c r="I119" s="66" t="n"/>
    </row>
    <row r="120" ht="28" customHeight="1">
      <c r="A120" s="64" t="n"/>
      <c r="B120" s="65" t="n"/>
      <c r="C120" s="65" t="n"/>
      <c r="D120" s="65" t="n"/>
      <c r="E120" s="65" t="n"/>
      <c r="F120" s="65" t="n"/>
      <c r="G120" s="65" t="n"/>
      <c r="H120" s="65" t="n"/>
      <c r="I120" s="66" t="n"/>
    </row>
    <row r="121" ht="15" customHeight="1">
      <c r="A121" s="64" t="n"/>
      <c r="B121" s="65" t="n"/>
      <c r="C121" s="65" t="n"/>
      <c r="D121" s="65" t="n"/>
      <c r="E121" s="65" t="n"/>
      <c r="F121" s="65" t="n"/>
      <c r="G121" s="65" t="n"/>
      <c r="H121" s="65" t="n"/>
      <c r="I121" s="66" t="n"/>
    </row>
    <row r="122" ht="15" customHeight="1">
      <c r="A122" s="64" t="n"/>
      <c r="B122" s="65" t="n"/>
      <c r="C122" s="65" t="n"/>
      <c r="D122" s="65" t="n"/>
      <c r="E122" s="65" t="n"/>
      <c r="F122" s="65" t="n"/>
      <c r="G122" s="65" t="n"/>
      <c r="H122" s="65" t="n"/>
      <c r="I122" s="66" t="n"/>
    </row>
    <row r="123" ht="15" customHeight="1">
      <c r="A123" s="64" t="n"/>
      <c r="B123" s="65" t="n"/>
      <c r="C123" s="65" t="n"/>
      <c r="D123" s="65" t="n"/>
      <c r="E123" s="65" t="n"/>
      <c r="F123" s="65" t="n"/>
      <c r="G123" s="65" t="n"/>
      <c r="H123" s="65" t="n"/>
      <c r="I123" s="66" t="n"/>
    </row>
    <row r="124" ht="15" customHeight="1">
      <c r="A124" s="64" t="n"/>
      <c r="B124" s="65" t="n"/>
      <c r="C124" s="65" t="n"/>
      <c r="D124" s="65" t="n"/>
      <c r="E124" s="65" t="n"/>
      <c r="F124" s="65" t="n"/>
      <c r="G124" s="65" t="n"/>
      <c r="H124" s="65" t="n"/>
      <c r="I124" s="66" t="n"/>
    </row>
    <row r="125" ht="15" customHeight="1">
      <c r="A125" s="64" t="n"/>
      <c r="B125" s="65" t="n"/>
      <c r="C125" s="65" t="n"/>
      <c r="D125" s="65" t="n"/>
      <c r="E125" s="65" t="n"/>
      <c r="F125" s="65" t="n"/>
      <c r="G125" s="65" t="n"/>
      <c r="H125" s="65" t="n"/>
      <c r="I125" s="66" t="n"/>
    </row>
    <row r="126" ht="15" customHeight="1">
      <c r="A126" s="64" t="n"/>
      <c r="B126" s="65" t="n"/>
      <c r="C126" s="65" t="n"/>
      <c r="D126" s="65" t="n"/>
      <c r="E126" s="65" t="n"/>
      <c r="F126" s="65" t="n"/>
      <c r="G126" s="65" t="n"/>
      <c r="H126" s="65" t="n"/>
      <c r="I126" s="66" t="n"/>
    </row>
    <row r="127" ht="15" customHeight="1">
      <c r="A127" s="64" t="n"/>
      <c r="B127" s="65" t="n"/>
      <c r="C127" s="65" t="n"/>
      <c r="D127" s="65" t="n"/>
      <c r="E127" s="65" t="n"/>
      <c r="F127" s="65" t="n"/>
      <c r="G127" s="65" t="n"/>
      <c r="H127" s="65" t="n"/>
      <c r="I127" s="66" t="n"/>
    </row>
    <row r="128" ht="15" customHeight="1">
      <c r="A128" s="64" t="n"/>
      <c r="B128" s="65" t="n"/>
      <c r="C128" s="65" t="n"/>
      <c r="D128" s="65" t="n"/>
      <c r="E128" s="65" t="n"/>
      <c r="F128" s="65" t="n"/>
      <c r="G128" s="65" t="n"/>
      <c r="H128" s="65" t="n"/>
      <c r="I128" s="66" t="n"/>
    </row>
    <row r="129" ht="15" customHeight="1">
      <c r="A129" s="64" t="n"/>
      <c r="B129" s="65" t="n"/>
      <c r="C129" s="65" t="n"/>
      <c r="D129" s="65" t="n"/>
      <c r="E129" s="65" t="n"/>
      <c r="F129" s="65" t="n"/>
      <c r="G129" s="65" t="n"/>
      <c r="H129" s="65" t="n"/>
      <c r="I129" s="66" t="n"/>
    </row>
    <row r="130" ht="15" customHeight="1">
      <c r="A130" s="64" t="n"/>
      <c r="B130" s="65" t="n"/>
      <c r="C130" s="65" t="n"/>
      <c r="D130" s="65" t="n"/>
      <c r="E130" s="65" t="n"/>
      <c r="F130" s="65" t="n"/>
      <c r="G130" s="65" t="n"/>
      <c r="H130" s="65" t="n"/>
      <c r="I130" s="66" t="n"/>
    </row>
    <row r="131" ht="15" customHeight="1">
      <c r="A131" s="64" t="n"/>
      <c r="B131" s="65" t="n"/>
      <c r="C131" s="65" t="n"/>
      <c r="D131" s="65" t="n"/>
      <c r="E131" s="65" t="n"/>
      <c r="F131" s="65" t="n"/>
      <c r="G131" s="65" t="n"/>
      <c r="H131" s="65" t="n"/>
      <c r="I131" s="66" t="n"/>
    </row>
    <row r="132" ht="15" customHeight="1">
      <c r="A132" s="64" t="n"/>
      <c r="B132" s="65" t="n"/>
      <c r="C132" s="65" t="n"/>
      <c r="D132" s="65" t="n"/>
      <c r="E132" s="65" t="n"/>
      <c r="F132" s="65" t="n"/>
      <c r="G132" s="65" t="n"/>
      <c r="H132" s="65" t="n"/>
      <c r="I132" s="66" t="n"/>
    </row>
    <row r="133" ht="15" customHeight="1" thickBot="1">
      <c r="A133" s="64" t="n"/>
      <c r="B133" s="65" t="n"/>
      <c r="C133" s="65" t="n"/>
      <c r="D133" s="65" t="n"/>
      <c r="E133" s="65" t="n"/>
      <c r="F133" s="65" t="n"/>
      <c r="G133" s="65" t="n"/>
      <c r="H133" s="65" t="n"/>
      <c r="I133" s="66" t="n"/>
      <c r="J133" s="71" t="n"/>
    </row>
    <row r="134" ht="15" customHeight="1">
      <c r="A134" s="64" t="n"/>
      <c r="B134" s="65" t="n"/>
      <c r="C134" s="65" t="n"/>
      <c r="D134" s="65" t="n"/>
      <c r="E134" s="65" t="n"/>
      <c r="F134" s="65" t="n"/>
      <c r="G134" s="65" t="n"/>
      <c r="H134" s="65" t="n"/>
      <c r="I134" s="66" t="n"/>
    </row>
    <row r="135" ht="15" customHeight="1">
      <c r="A135" s="64" t="n"/>
      <c r="B135" s="65" t="n"/>
      <c r="C135" s="65" t="n"/>
      <c r="D135" s="65" t="n"/>
      <c r="E135" s="65" t="n"/>
      <c r="F135" s="65" t="n"/>
      <c r="G135" s="65" t="n"/>
      <c r="H135" s="65" t="n"/>
      <c r="I135" s="66" t="n"/>
    </row>
    <row r="136" ht="15" customHeight="1">
      <c r="A136" s="64" t="n"/>
      <c r="B136" s="65" t="n"/>
      <c r="C136" s="65" t="n"/>
      <c r="D136" s="65" t="n"/>
      <c r="E136" s="65" t="n"/>
      <c r="F136" s="65" t="n"/>
      <c r="G136" s="65" t="n"/>
      <c r="H136" s="65" t="n"/>
      <c r="I136" s="66" t="n"/>
    </row>
    <row r="137" ht="15" customHeight="1">
      <c r="A137" s="64" t="n"/>
      <c r="B137" s="65" t="n"/>
      <c r="C137" s="65" t="n"/>
      <c r="D137" s="65" t="n"/>
      <c r="E137" s="65" t="n"/>
      <c r="F137" s="65" t="n"/>
      <c r="G137" s="65" t="n"/>
      <c r="H137" s="65" t="n"/>
      <c r="I137" s="66" t="n"/>
    </row>
    <row r="138" ht="15" customHeight="1">
      <c r="A138" s="64" t="n"/>
      <c r="B138" s="65" t="n"/>
      <c r="C138" s="65" t="n"/>
      <c r="D138" s="65" t="n"/>
      <c r="E138" s="65" t="n"/>
      <c r="F138" s="65" t="n"/>
      <c r="G138" s="65" t="n"/>
      <c r="H138" s="65" t="n"/>
      <c r="I138" s="66" t="n"/>
    </row>
    <row r="139" ht="15" customHeight="1">
      <c r="A139" s="64" t="n"/>
      <c r="B139" s="65" t="n"/>
      <c r="C139" s="65" t="n"/>
      <c r="D139" s="65" t="n"/>
      <c r="E139" s="65" t="n"/>
      <c r="F139" s="65" t="n"/>
      <c r="G139" s="65" t="n"/>
      <c r="H139" s="65" t="n"/>
      <c r="I139" s="66" t="n"/>
    </row>
    <row r="140" ht="16" customHeight="1">
      <c r="A140" s="64" t="n"/>
      <c r="B140" s="65" t="n"/>
      <c r="C140" s="65" t="n"/>
      <c r="D140" s="65" t="n"/>
      <c r="E140" s="65" t="n"/>
      <c r="F140" s="65" t="n"/>
      <c r="G140" s="65" t="n"/>
      <c r="H140" s="65" t="n"/>
      <c r="I140" s="66" t="n"/>
    </row>
    <row r="141" ht="30.75" customHeight="1">
      <c r="A141" s="244" t="n"/>
      <c r="E141" s="245" t="n"/>
      <c r="I141" s="214" t="n"/>
    </row>
    <row r="142">
      <c r="A142" s="72" t="n"/>
      <c r="I142" s="73" t="n"/>
    </row>
    <row r="143">
      <c r="A143" s="72" t="n"/>
      <c r="I143" s="73" t="n"/>
    </row>
    <row r="144">
      <c r="A144" s="72" t="n"/>
      <c r="I144" s="73" t="n"/>
    </row>
    <row r="145">
      <c r="A145" s="72" t="n"/>
      <c r="I145" s="73" t="n"/>
    </row>
    <row r="146">
      <c r="A146" s="72" t="n"/>
      <c r="I146" s="73" t="n"/>
    </row>
    <row r="147">
      <c r="A147" s="72" t="n"/>
      <c r="I147" s="73" t="n"/>
    </row>
    <row r="148">
      <c r="A148" s="72" t="n"/>
      <c r="I148" s="73" t="n"/>
    </row>
    <row r="149">
      <c r="A149" s="72" t="n"/>
      <c r="I149" s="73" t="n"/>
    </row>
    <row r="150">
      <c r="A150" s="72" t="n"/>
      <c r="I150" s="73" t="n"/>
    </row>
    <row r="151">
      <c r="A151" s="72" t="n"/>
      <c r="I151" s="73" t="n"/>
    </row>
    <row r="152">
      <c r="A152" s="72" t="n"/>
      <c r="I152" s="73" t="n"/>
    </row>
    <row r="153">
      <c r="A153" s="72" t="n"/>
      <c r="I153" s="73" t="n"/>
    </row>
    <row r="154">
      <c r="A154" s="72" t="n"/>
      <c r="I154" s="73" t="n"/>
    </row>
    <row r="155">
      <c r="A155" s="72" t="n"/>
      <c r="I155" s="73" t="n"/>
    </row>
    <row r="156">
      <c r="A156" s="72" t="n"/>
      <c r="I156" s="73" t="n"/>
    </row>
    <row r="157">
      <c r="A157" s="72" t="n"/>
      <c r="I157" s="73" t="n"/>
    </row>
    <row r="158">
      <c r="A158" s="72" t="n"/>
      <c r="I158" s="73" t="n"/>
    </row>
    <row r="159">
      <c r="A159" s="72" t="n"/>
      <c r="I159" s="73" t="n"/>
    </row>
    <row r="160">
      <c r="A160" s="72" t="n"/>
      <c r="I160" s="73" t="n"/>
    </row>
    <row r="161">
      <c r="A161" s="72" t="n"/>
      <c r="I161" s="73" t="n"/>
    </row>
    <row r="162">
      <c r="A162" s="72" t="n"/>
      <c r="I162" s="73" t="n"/>
    </row>
    <row r="163">
      <c r="A163" s="72" t="n"/>
      <c r="I163" s="73" t="n"/>
    </row>
    <row r="164">
      <c r="A164" s="72" t="n"/>
      <c r="I164" s="73" t="n"/>
    </row>
    <row r="165">
      <c r="A165" s="72" t="n"/>
      <c r="I165" s="73" t="n"/>
    </row>
    <row r="166">
      <c r="A166" s="72" t="n"/>
      <c r="I166" s="73" t="n"/>
    </row>
    <row r="167">
      <c r="A167" s="72" t="n"/>
      <c r="I167" s="73" t="n"/>
    </row>
    <row r="168">
      <c r="A168" s="72" t="n"/>
      <c r="I168" s="73" t="n"/>
    </row>
    <row r="169">
      <c r="A169" s="72" t="n"/>
      <c r="I169" s="73" t="n"/>
    </row>
    <row r="170">
      <c r="A170" s="72" t="n"/>
      <c r="I170" s="73" t="n"/>
    </row>
    <row r="171">
      <c r="A171" s="72" t="n"/>
      <c r="I171" s="73" t="n"/>
    </row>
    <row r="172">
      <c r="A172" s="72" t="n"/>
      <c r="I172" s="73" t="n"/>
    </row>
    <row r="173">
      <c r="A173" s="72" t="n"/>
      <c r="I173" s="73" t="n"/>
    </row>
    <row r="174">
      <c r="A174" s="72" t="n"/>
      <c r="I174" s="73" t="n"/>
    </row>
    <row r="175">
      <c r="A175" s="72" t="n"/>
      <c r="I175" s="73" t="n"/>
    </row>
    <row r="176">
      <c r="I176" s="73" t="n"/>
    </row>
    <row r="177">
      <c r="A177" s="72" t="n"/>
      <c r="I177" s="73" t="n"/>
    </row>
    <row r="178">
      <c r="A178" s="72" t="n"/>
      <c r="I178" s="73" t="n"/>
    </row>
    <row r="179">
      <c r="A179" s="72" t="n"/>
      <c r="I179" s="73" t="n"/>
    </row>
    <row r="180">
      <c r="A180" s="72" t="n"/>
      <c r="I180" s="73" t="n"/>
    </row>
    <row r="181">
      <c r="A181" s="72" t="n"/>
      <c r="I181" s="73" t="n"/>
    </row>
    <row r="182">
      <c r="A182" s="72" t="n"/>
      <c r="I182" s="73" t="n"/>
    </row>
    <row r="183">
      <c r="A183" s="72" t="n"/>
      <c r="I183" s="73" t="n"/>
    </row>
    <row r="184">
      <c r="A184" s="72" t="n"/>
      <c r="I184" s="73" t="n"/>
    </row>
    <row r="185">
      <c r="A185" s="72" t="n"/>
      <c r="I185" s="73" t="n"/>
    </row>
    <row r="186">
      <c r="A186" s="72" t="n"/>
      <c r="I186" s="73" t="n"/>
    </row>
    <row r="187">
      <c r="A187" s="72" t="n"/>
      <c r="I187" s="73" t="n"/>
    </row>
    <row r="188">
      <c r="A188" s="72" t="n"/>
      <c r="I188" s="73" t="n"/>
    </row>
    <row r="189">
      <c r="A189" s="72" t="n"/>
      <c r="I189" s="73" t="n"/>
    </row>
    <row r="190">
      <c r="A190" s="72" t="n"/>
      <c r="I190" s="73" t="n"/>
    </row>
    <row r="191">
      <c r="A191" s="72" t="n"/>
      <c r="I191" s="73" t="n"/>
    </row>
    <row r="192">
      <c r="A192" s="72" t="n"/>
      <c r="I192" s="73" t="n"/>
    </row>
    <row r="193">
      <c r="A193" s="72" t="n"/>
      <c r="I193" s="73" t="n"/>
    </row>
    <row r="194">
      <c r="A194" s="72" t="n"/>
      <c r="I194" s="73" t="n"/>
    </row>
    <row r="195" ht="16" customHeight="1" thickBot="1">
      <c r="A195" s="74" t="n"/>
      <c r="B195" s="75" t="n"/>
      <c r="C195" s="75" t="n"/>
      <c r="D195" s="75" t="n"/>
      <c r="E195" s="75" t="n"/>
      <c r="F195" s="75" t="n"/>
      <c r="G195" s="75" t="n"/>
      <c r="H195" s="75" t="n"/>
      <c r="I195" s="76" t="n"/>
    </row>
    <row r="196">
      <c r="A196" s="72" t="n"/>
      <c r="I196" s="73" t="n"/>
    </row>
    <row r="197">
      <c r="A197" s="72" t="n"/>
      <c r="I197" s="73" t="n"/>
    </row>
    <row r="198">
      <c r="A198" s="72" t="n"/>
      <c r="I198" s="73" t="n"/>
    </row>
    <row r="199">
      <c r="A199" s="72" t="n"/>
      <c r="I199" s="73" t="n"/>
    </row>
    <row r="200">
      <c r="A200" s="72" t="n"/>
      <c r="I200" s="73" t="n"/>
    </row>
    <row r="201">
      <c r="A201" s="72" t="n"/>
      <c r="I201" s="73" t="n"/>
    </row>
    <row r="202" ht="16" customHeight="1" thickBot="1">
      <c r="A202" s="74" t="n"/>
      <c r="B202" s="75" t="n"/>
      <c r="C202" s="75" t="n"/>
      <c r="D202" s="75" t="n"/>
      <c r="E202" s="75" t="n"/>
      <c r="F202" s="75" t="n"/>
      <c r="G202" s="75" t="n"/>
      <c r="H202" s="75" t="n"/>
      <c r="I202" s="76" t="n"/>
    </row>
  </sheetData>
  <mergeCells count="39">
    <mergeCell ref="C61:I61"/>
    <mergeCell ref="D13:F13"/>
    <mergeCell ref="A141:D141"/>
    <mergeCell ref="G13:I13"/>
    <mergeCell ref="A46:I46"/>
    <mergeCell ref="B8:D8"/>
    <mergeCell ref="A45:B45"/>
    <mergeCell ref="A47:I50"/>
    <mergeCell ref="A12:I12"/>
    <mergeCell ref="E141:I141"/>
    <mergeCell ref="B43:C43"/>
    <mergeCell ref="B56:I56"/>
    <mergeCell ref="D43:I43"/>
    <mergeCell ref="B52:I52"/>
    <mergeCell ref="A57:I57"/>
    <mergeCell ref="A5:I5"/>
    <mergeCell ref="B42:C42"/>
    <mergeCell ref="B9:D9"/>
    <mergeCell ref="A62:I62"/>
    <mergeCell ref="B6:D6"/>
    <mergeCell ref="C58:I58"/>
    <mergeCell ref="B44:C44"/>
    <mergeCell ref="B53:I53"/>
    <mergeCell ref="D42:I42"/>
    <mergeCell ref="A63:I63"/>
    <mergeCell ref="A13:C13"/>
    <mergeCell ref="A10:I10"/>
    <mergeCell ref="A1:I4"/>
    <mergeCell ref="C54:I54"/>
    <mergeCell ref="D44:I44"/>
    <mergeCell ref="B7:D7"/>
    <mergeCell ref="C55:I55"/>
    <mergeCell ref="A64:I64"/>
    <mergeCell ref="A51:I51"/>
    <mergeCell ref="A11:I11"/>
    <mergeCell ref="C59:I59"/>
    <mergeCell ref="D45:I45"/>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1" fitToHeight="0"/>
  <rowBreaks count="1" manualBreakCount="1">
    <brk id="68" min="0" max="8" man="1"/>
  </rowBreaks>
</worksheet>
</file>

<file path=xl/worksheets/sheet22.xml><?xml version="1.0" encoding="utf-8"?>
<worksheet xmlns="http://schemas.openxmlformats.org/spreadsheetml/2006/main">
  <sheetPr>
    <outlinePr summaryBelow="1" summaryRight="1"/>
    <pageSetUpPr fitToPage="1"/>
  </sheetPr>
  <dimension ref="A1:J202"/>
  <sheetViews>
    <sheetView view="pageBreakPreview" topLeftCell="A33" zoomScale="85" zoomScaleNormal="55" zoomScaleSheetLayoutView="85" workbookViewId="0">
      <selection activeCell="A66" sqref="A66:I66"/>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45955</v>
      </c>
    </row>
    <row r="7" ht="23.25" customHeight="1">
      <c r="A7" s="80" t="inlineStr">
        <is>
          <t>Project Location:</t>
        </is>
      </c>
      <c r="B7" s="318" t="inlineStr">
        <is>
          <t>Geraldton</t>
        </is>
      </c>
      <c r="E7" s="318" t="n"/>
      <c r="F7" s="82" t="n"/>
      <c r="G7" s="82" t="n"/>
      <c r="H7" s="200" t="inlineStr">
        <is>
          <t>Day:</t>
        </is>
      </c>
      <c r="I7" s="84">
        <f>DAY(I6+3)</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t="n">
        <v>140</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23 Degrees,  Wind:  41km/h SW, Precip: 0.4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c r="G15" s="102" t="inlineStr">
        <is>
          <t>McAuliffe, Daniel</t>
        </is>
      </c>
      <c r="H15" s="98" t="inlineStr">
        <is>
          <t>Operator</t>
        </is>
      </c>
      <c r="I15" s="103" t="n"/>
    </row>
    <row r="16" ht="23.25" customHeight="1">
      <c r="A16" s="104" t="inlineStr">
        <is>
          <t>GRIFFITHS, Daniel</t>
        </is>
      </c>
      <c r="B16" s="105" t="inlineStr">
        <is>
          <t>Project Manager</t>
        </is>
      </c>
      <c r="C16" s="106" t="n">
        <v>12</v>
      </c>
      <c r="D16" s="107" t="inlineStr">
        <is>
          <t>McGahon,Aideen</t>
        </is>
      </c>
      <c r="E16" s="105" t="inlineStr">
        <is>
          <t>Operator</t>
        </is>
      </c>
      <c r="F16" s="108" t="n"/>
      <c r="G16" s="109" t="inlineStr">
        <is>
          <t>Mosley,Joshua</t>
        </is>
      </c>
      <c r="H16" s="105" t="inlineStr">
        <is>
          <t>Surveyor</t>
        </is>
      </c>
      <c r="I16" s="110" t="n"/>
    </row>
    <row r="17" ht="23.25" customHeight="1">
      <c r="A17" s="104" t="inlineStr">
        <is>
          <t>O"SHEA, John</t>
        </is>
      </c>
      <c r="B17" s="105" t="inlineStr">
        <is>
          <t>Senior Project Engineer</t>
        </is>
      </c>
      <c r="C17" s="106" t="n"/>
      <c r="D17" s="107" t="n"/>
      <c r="E17" s="105" t="n"/>
      <c r="F17" s="108" t="n"/>
      <c r="G17" s="109" t="inlineStr">
        <is>
          <t>Keady, Brendan</t>
        </is>
      </c>
      <c r="H17" s="105" t="inlineStr">
        <is>
          <t>Operator</t>
        </is>
      </c>
      <c r="I17" s="110" t="n">
        <v>12</v>
      </c>
    </row>
    <row r="18" ht="23.25" customHeight="1">
      <c r="A18" s="104" t="inlineStr">
        <is>
          <t>GRIFFITHS, Ashley</t>
        </is>
      </c>
      <c r="B18" s="105" t="inlineStr">
        <is>
          <t>Supervisor</t>
        </is>
      </c>
      <c r="C18" s="106" t="n"/>
      <c r="D18" s="111" t="n"/>
      <c r="E18" s="112" t="n"/>
      <c r="F18" s="108" t="n"/>
      <c r="G18" s="109" t="inlineStr">
        <is>
          <t>Griffiths, Jaquai</t>
        </is>
      </c>
      <c r="H18" s="105" t="inlineStr">
        <is>
          <t>Operator</t>
        </is>
      </c>
      <c r="I18" s="110" t="n"/>
    </row>
    <row r="19" ht="23.25" customHeight="1">
      <c r="A19" s="104" t="inlineStr">
        <is>
          <t>THOMPSON,Cheryl</t>
        </is>
      </c>
      <c r="B19" s="105" t="inlineStr">
        <is>
          <t>HSET</t>
        </is>
      </c>
      <c r="C19" s="106" t="n"/>
      <c r="D19" s="111" t="n"/>
      <c r="E19" s="112" t="n"/>
      <c r="F19" s="108" t="n"/>
      <c r="G19" s="109" t="inlineStr">
        <is>
          <t>Asphalters</t>
        </is>
      </c>
      <c r="H19" s="105" t="inlineStr">
        <is>
          <t>Asphalters</t>
        </is>
      </c>
      <c r="I19" s="110" t="n"/>
    </row>
    <row r="20" ht="23.25" customHeight="1">
      <c r="A20" s="104" t="inlineStr">
        <is>
          <t>SKINNER,Jamie</t>
        </is>
      </c>
      <c r="B20" s="105" t="inlineStr">
        <is>
          <t>Supervisor</t>
        </is>
      </c>
      <c r="C20" s="106" t="n"/>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c r="D21" s="111" t="n"/>
      <c r="E21" s="112" t="n"/>
      <c r="F21" s="108" t="n"/>
      <c r="G21" s="109" t="inlineStr">
        <is>
          <t>Ferstat, Frank</t>
        </is>
      </c>
      <c r="H21" s="105" t="inlineStr">
        <is>
          <t>Operator</t>
        </is>
      </c>
      <c r="I21" s="110" t="n"/>
    </row>
    <row r="22" ht="23.25" customHeight="1">
      <c r="A22" s="104" t="inlineStr">
        <is>
          <t>JOGI, Amit</t>
        </is>
      </c>
      <c r="B22" s="105" t="inlineStr">
        <is>
          <t>Project Engineer</t>
        </is>
      </c>
      <c r="C22" s="106" t="n">
        <v>12</v>
      </c>
      <c r="D22" s="111" t="n"/>
      <c r="E22" s="112" t="n"/>
      <c r="F22" s="108" t="n"/>
      <c r="G22" s="109" t="inlineStr">
        <is>
          <t>Ferstat, Blair</t>
        </is>
      </c>
      <c r="H22" s="105" t="inlineStr">
        <is>
          <t>Concretor</t>
        </is>
      </c>
      <c r="I22" s="110" t="n"/>
    </row>
    <row r="23" ht="23.25" customHeight="1">
      <c r="A23" s="104" t="n"/>
      <c r="B23" s="105" t="n"/>
      <c r="C23" s="106" t="n"/>
      <c r="D23" s="111" t="n"/>
      <c r="E23" s="112" t="n"/>
      <c r="F23" s="108" t="n"/>
      <c r="G23" s="109" t="inlineStr">
        <is>
          <t>McConnell, Adam</t>
        </is>
      </c>
      <c r="H23" s="105" t="inlineStr">
        <is>
          <t>Labourer</t>
        </is>
      </c>
      <c r="I23" s="110" t="n">
        <v>12</v>
      </c>
    </row>
    <row r="24" ht="23.25" customHeight="1" thickBot="1">
      <c r="A24" s="113" t="n"/>
      <c r="B24" s="114" t="n"/>
      <c r="C24" s="115" t="n"/>
      <c r="D24" s="116" t="n"/>
      <c r="E24" s="117" t="n"/>
      <c r="F24" s="118" t="n"/>
      <c r="G24" s="119" t="n"/>
      <c r="H24" s="114" t="n"/>
      <c r="I24" s="120" t="n"/>
    </row>
    <row r="25" ht="23.25" customHeight="1" thickTop="1">
      <c r="A25" s="121" t="n"/>
      <c r="B25" s="122" t="n"/>
      <c r="C25" s="123" t="n"/>
      <c r="D25" s="124" t="n"/>
      <c r="E25" s="125" t="n"/>
      <c r="F25" s="126" t="n"/>
      <c r="G25" s="127" t="n"/>
      <c r="H25" s="128" t="n"/>
      <c r="I25" s="129" t="n"/>
    </row>
    <row r="26" ht="23.25" customHeight="1">
      <c r="A26" s="130" t="inlineStr">
        <is>
          <t xml:space="preserve">Total Indirect Personnel onsite: </t>
        </is>
      </c>
      <c r="B26" s="180">
        <f>COUNT(C15:C24)</f>
        <v/>
      </c>
      <c r="C26" s="106" t="n"/>
      <c r="D26" s="132" t="inlineStr">
        <is>
          <t xml:space="preserve">Total Direct Personnel onsite:  </t>
        </is>
      </c>
      <c r="E26" s="180">
        <f>COUNT(F15:F24)</f>
        <v/>
      </c>
      <c r="F26" s="108" t="n"/>
      <c r="G26" s="133" t="inlineStr">
        <is>
          <t>Total Subcontractor on-site:</t>
        </is>
      </c>
      <c r="H26" s="180">
        <f>COUNT(I15:I24)</f>
        <v/>
      </c>
      <c r="I26" s="110" t="n"/>
    </row>
    <row r="27" ht="23.25" customHeight="1">
      <c r="A27" s="130" t="inlineStr">
        <is>
          <t xml:space="preserve">Total Indirect Personnel hours: </t>
        </is>
      </c>
      <c r="B27" s="180">
        <f>SUM(C15:C22)</f>
        <v/>
      </c>
      <c r="C27" s="134" t="n"/>
      <c r="D27" s="132" t="inlineStr">
        <is>
          <t xml:space="preserve">Total Direct Personnel hours: </t>
        </is>
      </c>
      <c r="E27" s="180">
        <f>SUM(F15:F16)</f>
        <v/>
      </c>
      <c r="F27" s="135" t="n"/>
      <c r="G27" s="133" t="inlineStr">
        <is>
          <t>Total Subcontractor hours:</t>
        </is>
      </c>
      <c r="H27" s="180">
        <f>SUM(I11:I24)</f>
        <v/>
      </c>
      <c r="I27" s="272" t="n"/>
    </row>
    <row r="28" ht="23.25" customHeight="1">
      <c r="A28" s="130" t="n"/>
      <c r="B28" s="131" t="n"/>
      <c r="C28" s="134" t="n"/>
      <c r="D28" s="132" t="n"/>
      <c r="E28" s="131" t="n"/>
      <c r="F28" s="137" t="n"/>
      <c r="G28" s="133" t="n"/>
      <c r="H28" s="131" t="n"/>
      <c r="I28" s="272" t="n"/>
    </row>
    <row r="29" ht="25" customHeight="1">
      <c r="A29" s="138" t="inlineStr">
        <is>
          <t>PLANT &amp; EQUIPMENT</t>
        </is>
      </c>
      <c r="B29" s="139" t="n"/>
      <c r="C29" s="139" t="n"/>
      <c r="D29" s="139" t="n"/>
      <c r="E29" s="139" t="n"/>
      <c r="F29" s="139" t="n"/>
      <c r="G29" s="139" t="n"/>
      <c r="H29" s="139" t="n"/>
      <c r="I29" s="140" t="n"/>
    </row>
    <row r="30" ht="24" customHeight="1" thickBot="1">
      <c r="A30" s="141" t="inlineStr">
        <is>
          <t>Plant</t>
        </is>
      </c>
      <c r="B30" s="142" t="inlineStr">
        <is>
          <t>ID</t>
        </is>
      </c>
      <c r="C30" s="143" t="inlineStr">
        <is>
          <t>Hrs</t>
        </is>
      </c>
      <c r="D30" s="144" t="inlineStr">
        <is>
          <t xml:space="preserve"> Vehicles</t>
        </is>
      </c>
      <c r="E30" s="142" t="inlineStr">
        <is>
          <t>ID</t>
        </is>
      </c>
      <c r="F30" s="145" t="inlineStr">
        <is>
          <t>QTY</t>
        </is>
      </c>
      <c r="G30" s="146" t="inlineStr">
        <is>
          <t>Site Facilities</t>
        </is>
      </c>
      <c r="H30" s="147" t="inlineStr">
        <is>
          <t>ID</t>
        </is>
      </c>
      <c r="I30" s="148" t="inlineStr">
        <is>
          <t>Qty</t>
        </is>
      </c>
    </row>
    <row r="31" ht="23.25" customHeight="1" thickTop="1">
      <c r="A31" s="97" t="inlineStr">
        <is>
          <t>Komatsu WA320</t>
        </is>
      </c>
      <c r="B31" s="98" t="inlineStr">
        <is>
          <t>FWL18</t>
        </is>
      </c>
      <c r="C31" s="149" t="n">
        <v>4</v>
      </c>
      <c r="D31" s="150" t="inlineStr">
        <is>
          <t>Hilux</t>
        </is>
      </c>
      <c r="E31" s="151" t="inlineStr">
        <is>
          <t>DLV90</t>
        </is>
      </c>
      <c r="F31" s="152" t="n">
        <v>1</v>
      </c>
      <c r="G31" s="153" t="inlineStr">
        <is>
          <t>Office 40ft</t>
        </is>
      </c>
      <c r="H31" s="151" t="n">
        <v>9255540</v>
      </c>
      <c r="I31" s="103" t="n">
        <v>1</v>
      </c>
    </row>
    <row r="32" ht="23.25" customHeight="1">
      <c r="A32" s="104" t="inlineStr">
        <is>
          <t>Wacker Neuson DPU</t>
        </is>
      </c>
      <c r="B32" s="105" t="inlineStr">
        <is>
          <t>DPC15</t>
        </is>
      </c>
      <c r="C32" s="154" t="n"/>
      <c r="D32" s="155" t="inlineStr">
        <is>
          <t>Hilux</t>
        </is>
      </c>
      <c r="E32" s="156" t="inlineStr">
        <is>
          <t>1DLV04</t>
        </is>
      </c>
      <c r="F32" s="157" t="n">
        <v>1</v>
      </c>
      <c r="G32" s="158" t="inlineStr">
        <is>
          <t>Sea Container 20ft</t>
        </is>
      </c>
      <c r="H32" s="105" t="n">
        <v>951200</v>
      </c>
      <c r="I32" s="110" t="n">
        <v>1</v>
      </c>
    </row>
    <row r="33" ht="23.25" customHeight="1">
      <c r="A33" s="159" t="inlineStr">
        <is>
          <t>Watercart</t>
        </is>
      </c>
      <c r="B33" s="156" t="inlineStr">
        <is>
          <t>WC04</t>
        </is>
      </c>
      <c r="C33" s="154" t="n">
        <v>2</v>
      </c>
      <c r="D33" s="155" t="n"/>
      <c r="E33" s="105" t="n"/>
      <c r="F33" s="157" t="n"/>
      <c r="G33" s="158" t="inlineStr">
        <is>
          <t>Site Sentry Tower</t>
        </is>
      </c>
      <c r="H33" s="156" t="n"/>
      <c r="I33" s="110" t="n">
        <v>2</v>
      </c>
    </row>
    <row r="34" ht="23.25" customHeight="1">
      <c r="A34" s="159" t="inlineStr">
        <is>
          <t>8T Excavator</t>
        </is>
      </c>
      <c r="B34" s="160" t="inlineStr">
        <is>
          <t>AMG 014</t>
        </is>
      </c>
      <c r="C34" s="154" t="n"/>
      <c r="D34" s="155" t="n"/>
      <c r="E34" s="156" t="n"/>
      <c r="F34" s="157" t="n"/>
      <c r="G34" s="158" t="inlineStr">
        <is>
          <t>Skip Bin</t>
        </is>
      </c>
      <c r="H34" s="156" t="n"/>
      <c r="I34" s="110" t="n">
        <v>1</v>
      </c>
    </row>
    <row r="35" ht="23.25" customHeight="1">
      <c r="A35" s="159" t="inlineStr">
        <is>
          <t>Mini Tipper</t>
        </is>
      </c>
      <c r="B35" s="156" t="inlineStr">
        <is>
          <t>SLS05</t>
        </is>
      </c>
      <c r="C35" s="106" t="n"/>
      <c r="D35" s="155" t="n"/>
      <c r="E35" s="156" t="n"/>
      <c r="F35" s="157" t="n"/>
      <c r="G35" s="158" t="inlineStr">
        <is>
          <t>Hydrocarbon Bund</t>
        </is>
      </c>
      <c r="H35" s="156" t="n"/>
      <c r="I35" s="110" t="n">
        <v>1</v>
      </c>
    </row>
    <row r="36" ht="23.25" customHeight="1">
      <c r="A36" s="159" t="inlineStr">
        <is>
          <t>1 t Excavator</t>
        </is>
      </c>
      <c r="B36" s="156" t="inlineStr">
        <is>
          <t>SLS03</t>
        </is>
      </c>
      <c r="C36" s="106" t="n"/>
      <c r="D36" s="155" t="n"/>
      <c r="E36" s="156" t="n"/>
      <c r="F36" s="157" t="n"/>
      <c r="G36" s="158" t="inlineStr">
        <is>
          <t>Temp Fence</t>
        </is>
      </c>
      <c r="H36" s="105" t="n"/>
      <c r="I36" s="110" t="n">
        <v>1</v>
      </c>
    </row>
    <row r="37" ht="23.25" customHeight="1">
      <c r="A37" s="159" t="inlineStr">
        <is>
          <t>8T Excavator (Wheeled)</t>
        </is>
      </c>
      <c r="B37" s="156" t="inlineStr">
        <is>
          <t>BCC12</t>
        </is>
      </c>
      <c r="C37" s="106" t="n">
        <v>2</v>
      </c>
      <c r="D37" s="155" t="n"/>
      <c r="E37" s="156" t="n"/>
      <c r="F37" s="157" t="n"/>
      <c r="G37" s="158" t="n"/>
      <c r="H37" s="105" t="n"/>
      <c r="I37" s="110" t="n"/>
    </row>
    <row r="38" ht="24" customHeight="1">
      <c r="A38" s="159" t="inlineStr">
        <is>
          <t>14t Excavator with GPS</t>
        </is>
      </c>
      <c r="B38" s="156" t="inlineStr">
        <is>
          <t>EX153</t>
        </is>
      </c>
      <c r="C38" s="106" t="n">
        <v>6</v>
      </c>
      <c r="D38" s="155" t="n"/>
      <c r="E38" s="156" t="n"/>
      <c r="F38" s="157" t="n"/>
      <c r="G38" s="161" t="n"/>
      <c r="H38" s="162" t="n"/>
      <c r="I38" s="163" t="n"/>
    </row>
    <row r="39" ht="24" customHeight="1">
      <c r="A39" s="159" t="inlineStr">
        <is>
          <t>Roller (1.5t)</t>
        </is>
      </c>
      <c r="B39" s="156" t="inlineStr">
        <is>
          <t>R538</t>
        </is>
      </c>
      <c r="C39" s="106" t="n"/>
      <c r="D39" s="155" t="n"/>
      <c r="E39" s="156" t="n"/>
      <c r="F39" s="157" t="n"/>
      <c r="G39" s="161" t="n"/>
      <c r="H39" s="162" t="n"/>
      <c r="I39" s="163" t="n"/>
    </row>
    <row r="40" ht="24" customHeight="1">
      <c r="A40" s="159" t="inlineStr">
        <is>
          <t>Positrak SSL</t>
        </is>
      </c>
      <c r="B40" s="156" t="inlineStr">
        <is>
          <t>SSL08</t>
        </is>
      </c>
      <c r="C40" s="154" t="n"/>
      <c r="D40" s="155" t="n"/>
      <c r="E40" s="156" t="n"/>
      <c r="F40" s="157" t="n"/>
      <c r="G40" s="161" t="n"/>
      <c r="H40" s="162" t="n"/>
      <c r="I40" s="163" t="n"/>
    </row>
    <row r="41" ht="24" customHeight="1" thickBot="1">
      <c r="A41" s="164" t="n"/>
      <c r="B41" s="165" t="n"/>
      <c r="C41" s="166" t="n"/>
      <c r="D41" s="167" t="n"/>
      <c r="E41" s="168" t="n"/>
      <c r="F41" s="169" t="n"/>
      <c r="G41" s="170" t="n"/>
      <c r="H41" s="168" t="n"/>
      <c r="I41" s="171" t="n"/>
    </row>
    <row r="42" ht="18" customHeight="1" thickTop="1">
      <c r="A42" s="172" t="n">
        <v>0</v>
      </c>
      <c r="B42" s="294" t="inlineStr">
        <is>
          <t xml:space="preserve">Repairs Required </t>
        </is>
      </c>
      <c r="C42" s="360" t="n"/>
      <c r="D42" s="296" t="inlineStr">
        <is>
          <t>N/A</t>
        </is>
      </c>
      <c r="E42" s="361" t="n"/>
      <c r="F42" s="361" t="n"/>
      <c r="G42" s="361" t="n"/>
      <c r="H42" s="361" t="n"/>
      <c r="I42" s="362" t="n"/>
    </row>
    <row r="43" ht="18" customHeight="1">
      <c r="A43" s="173" t="n">
        <v>0</v>
      </c>
      <c r="B43" s="299" t="inlineStr">
        <is>
          <t>Scheduled Service</t>
        </is>
      </c>
      <c r="C43" s="219" t="n"/>
      <c r="D43" s="301" t="inlineStr">
        <is>
          <t>N/A</t>
        </is>
      </c>
      <c r="E43" s="218" t="n"/>
      <c r="F43" s="218" t="n"/>
      <c r="G43" s="218" t="n"/>
      <c r="H43" s="218" t="n"/>
      <c r="I43" s="222" t="n"/>
    </row>
    <row r="44" ht="18" customHeight="1" thickBot="1">
      <c r="A44" s="174" t="n">
        <v>0</v>
      </c>
      <c r="B44" s="302" t="n"/>
      <c r="C44" s="363" t="n"/>
      <c r="D44" s="304" t="inlineStr">
        <is>
          <t>N/A</t>
        </is>
      </c>
      <c r="E44" s="364" t="n"/>
      <c r="F44" s="364" t="n"/>
      <c r="G44" s="364" t="n"/>
      <c r="H44" s="364" t="n"/>
      <c r="I44" s="365" t="n"/>
    </row>
    <row r="45" ht="23.25" customHeight="1" thickTop="1">
      <c r="A45" s="273" t="inlineStr">
        <is>
          <t xml:space="preserve">Total Plant and Equipment Hours: </t>
        </is>
      </c>
      <c r="B45" s="366" t="n"/>
      <c r="C45" s="175">
        <f>SUM(C31:C41)</f>
        <v/>
      </c>
      <c r="D45" s="275" t="n"/>
      <c r="E45" s="208" t="n"/>
      <c r="F45" s="208" t="n"/>
      <c r="G45" s="208" t="n"/>
      <c r="H45" s="208" t="n"/>
      <c r="I45" s="216" t="n"/>
    </row>
    <row r="46" ht="25" customHeight="1">
      <c r="A46" s="251" t="inlineStr">
        <is>
          <t>DELAYS-OPPORTUNITY</t>
        </is>
      </c>
      <c r="B46" s="218" t="n"/>
      <c r="C46" s="218" t="n"/>
      <c r="D46" s="218" t="n"/>
      <c r="E46" s="218" t="n"/>
      <c r="F46" s="218" t="n"/>
      <c r="G46" s="218" t="n"/>
      <c r="H46" s="218" t="n"/>
      <c r="I46" s="222" t="n"/>
    </row>
    <row r="47" ht="57" customHeight="1" thickBot="1">
      <c r="A47" s="278"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60" t="inlineStr">
        <is>
          <t>HSEQ MESSAGES</t>
        </is>
      </c>
      <c r="B51" s="239" t="n"/>
      <c r="C51" s="239" t="n"/>
      <c r="D51" s="239" t="n"/>
      <c r="E51" s="239" t="n"/>
      <c r="F51" s="239" t="n"/>
      <c r="G51" s="239" t="n"/>
      <c r="H51" s="239" t="n"/>
      <c r="I51" s="240" t="n"/>
    </row>
    <row r="52" ht="20" customHeight="1">
      <c r="A52" s="176" t="inlineStr">
        <is>
          <t>TCD - Monthly Safety Focus:</t>
        </is>
      </c>
      <c r="B52" s="285" t="inlineStr">
        <is>
          <t>Prestart Checks</t>
        </is>
      </c>
      <c r="C52" s="218" t="n"/>
      <c r="D52" s="218" t="n"/>
      <c r="E52" s="218" t="n"/>
      <c r="F52" s="218" t="n"/>
      <c r="G52" s="218" t="n"/>
      <c r="H52" s="218" t="n"/>
      <c r="I52" s="219" t="n"/>
    </row>
    <row r="53" ht="20" customHeight="1">
      <c r="A53" s="176" t="inlineStr">
        <is>
          <t>TCD - Daily Safety Focus:</t>
        </is>
      </c>
      <c r="B53" s="270" t="inlineStr">
        <is>
          <t>SIMOPS</t>
        </is>
      </c>
      <c r="C53" s="218" t="n"/>
      <c r="D53" s="218" t="n"/>
      <c r="E53" s="218" t="n"/>
      <c r="F53" s="218" t="n"/>
      <c r="G53" s="218" t="n"/>
      <c r="H53" s="218" t="n"/>
      <c r="I53" s="222" t="n"/>
    </row>
    <row r="54" ht="20" customHeight="1">
      <c r="A54" s="177" t="inlineStr">
        <is>
          <t xml:space="preserve">Hazards Reported: </t>
        </is>
      </c>
      <c r="B54" s="270" t="inlineStr">
        <is>
          <t>Nil</t>
        </is>
      </c>
      <c r="C54" s="218" t="n"/>
      <c r="D54" s="218" t="n"/>
      <c r="E54" s="218" t="n"/>
      <c r="F54" s="218" t="n"/>
      <c r="G54" s="218" t="n"/>
      <c r="H54" s="218" t="n"/>
      <c r="I54" s="222" t="n"/>
    </row>
    <row r="55" ht="20" customHeight="1">
      <c r="A55" s="177" t="inlineStr">
        <is>
          <t>Incident Free Days</t>
        </is>
      </c>
      <c r="B55" s="367" t="n">
        <v>23</v>
      </c>
      <c r="C55" s="218" t="n"/>
      <c r="D55" s="218" t="n"/>
      <c r="E55" s="218" t="n"/>
      <c r="F55" s="218" t="n"/>
      <c r="G55" s="218" t="n"/>
      <c r="H55" s="218" t="n"/>
      <c r="I55" s="222" t="n"/>
    </row>
    <row r="56" ht="20" customHeight="1">
      <c r="A56" s="178" t="inlineStr">
        <is>
          <t>Other Notes</t>
        </is>
      </c>
      <c r="B56" s="271" t="inlineStr">
        <is>
          <t>NA</t>
        </is>
      </c>
      <c r="C56" s="225" t="n"/>
      <c r="D56" s="225" t="n"/>
      <c r="E56" s="225" t="n"/>
      <c r="F56" s="225" t="n"/>
      <c r="G56" s="225" t="n"/>
      <c r="H56" s="225" t="n"/>
      <c r="I56" s="226" t="n"/>
    </row>
    <row r="57" ht="20.25" customHeight="1">
      <c r="A57" s="251" t="inlineStr">
        <is>
          <t xml:space="preserve">INCIDENTS &amp; REPORTS </t>
        </is>
      </c>
      <c r="B57" s="218" t="n"/>
      <c r="C57" s="218" t="n"/>
      <c r="D57" s="218" t="n"/>
      <c r="E57" s="218" t="n"/>
      <c r="F57" s="218" t="n"/>
      <c r="G57" s="218" t="n"/>
      <c r="H57" s="218" t="n"/>
      <c r="I57" s="222" t="n"/>
    </row>
    <row r="58" ht="20" customHeight="1">
      <c r="A58" s="179" t="n"/>
      <c r="B58" s="180" t="inlineStr">
        <is>
          <t>QTY</t>
        </is>
      </c>
      <c r="C58" s="272" t="inlineStr">
        <is>
          <t>Comments</t>
        </is>
      </c>
      <c r="D58" s="218" t="n"/>
      <c r="E58" s="218" t="n"/>
      <c r="F58" s="218" t="n"/>
      <c r="G58" s="218" t="n"/>
      <c r="H58" s="218" t="n"/>
      <c r="I58" s="222" t="n"/>
    </row>
    <row r="59" ht="20" customHeight="1">
      <c r="A59" s="130" t="inlineStr">
        <is>
          <t>INCIDENT</t>
        </is>
      </c>
      <c r="B59" s="105" t="n">
        <v>0</v>
      </c>
      <c r="C59" s="254" t="inlineStr">
        <is>
          <t>NA</t>
        </is>
      </c>
      <c r="D59" s="225" t="n"/>
      <c r="E59" s="225" t="n"/>
      <c r="F59" s="225" t="n"/>
      <c r="G59" s="225" t="n"/>
      <c r="H59" s="225" t="n"/>
      <c r="I59" s="226" t="n"/>
    </row>
    <row r="60" ht="20" customHeight="1">
      <c r="A60" s="196" t="inlineStr">
        <is>
          <t>IR</t>
        </is>
      </c>
      <c r="B60" s="114" t="n">
        <v>0</v>
      </c>
      <c r="C60" s="254" t="inlineStr">
        <is>
          <t>NA</t>
        </is>
      </c>
      <c r="D60" s="225" t="n"/>
      <c r="E60" s="225" t="n"/>
      <c r="F60" s="225" t="n"/>
      <c r="G60" s="225" t="n"/>
      <c r="H60" s="225" t="n"/>
      <c r="I60" s="226" t="n"/>
    </row>
    <row r="61" ht="20" customHeight="1" thickBot="1">
      <c r="A61" s="197" t="inlineStr">
        <is>
          <t>NCR</t>
        </is>
      </c>
      <c r="B61" s="198" t="n">
        <v>0</v>
      </c>
      <c r="C61" s="257" t="inlineStr">
        <is>
          <t>NA</t>
        </is>
      </c>
      <c r="D61" s="248" t="n"/>
      <c r="E61" s="248" t="n"/>
      <c r="F61" s="248" t="n"/>
      <c r="G61" s="248" t="n"/>
      <c r="H61" s="248" t="n"/>
      <c r="I61" s="249" t="n"/>
    </row>
    <row r="62" ht="20.25" customHeight="1">
      <c r="A62" s="260" t="inlineStr">
        <is>
          <t>COMMUNICATIONS</t>
        </is>
      </c>
      <c r="B62" s="239" t="n"/>
      <c r="C62" s="239" t="n"/>
      <c r="D62" s="239" t="n"/>
      <c r="E62" s="239" t="n"/>
      <c r="F62" s="239" t="n"/>
      <c r="G62" s="239" t="n"/>
      <c r="H62" s="239" t="n"/>
      <c r="I62" s="240" t="n"/>
    </row>
    <row r="63" ht="25" customHeight="1">
      <c r="A63" s="263" t="inlineStr">
        <is>
          <t>TGS MB1119-05 Scheme D implemented</t>
        </is>
      </c>
      <c r="B63" s="218" t="n"/>
      <c r="C63" s="218" t="n"/>
      <c r="D63" s="218" t="n"/>
      <c r="E63" s="218" t="n"/>
      <c r="F63" s="218" t="n"/>
      <c r="G63" s="218" t="n"/>
      <c r="H63" s="218" t="n"/>
      <c r="I63" s="222" t="n"/>
    </row>
    <row r="64" ht="25" customHeight="1">
      <c r="A64" s="251" t="inlineStr">
        <is>
          <t>PRODUCTION (CONSTRUCTION STATUS &amp; PROGRESS)</t>
        </is>
      </c>
      <c r="B64" s="218" t="n"/>
      <c r="C64" s="218" t="n"/>
      <c r="D64" s="218" t="n"/>
      <c r="E64" s="218" t="n"/>
      <c r="F64" s="218" t="n"/>
      <c r="G64" s="218" t="n"/>
      <c r="H64" s="218" t="n"/>
      <c r="I64" s="222" t="n"/>
    </row>
    <row r="65" ht="20" customHeight="1">
      <c r="A65" s="368" t="inlineStr">
        <is>
          <t>General Site Tidy</t>
        </is>
      </c>
      <c r="B65" s="218" t="n"/>
      <c r="C65" s="218" t="n"/>
      <c r="D65" s="218" t="n"/>
      <c r="E65" s="218" t="n"/>
      <c r="F65" s="218" t="n"/>
      <c r="G65" s="218" t="n"/>
      <c r="H65" s="218" t="n"/>
      <c r="I65" s="222" t="n"/>
    </row>
    <row r="66" ht="20" customHeight="1">
      <c r="A66" s="368" t="inlineStr">
        <is>
          <t>Topping up Northern Lots</t>
        </is>
      </c>
      <c r="B66" s="218" t="n"/>
      <c r="C66" s="218" t="n"/>
      <c r="D66" s="218" t="n"/>
      <c r="E66" s="218" t="n"/>
      <c r="F66" s="218" t="n"/>
      <c r="G66" s="218" t="n"/>
      <c r="H66" s="218" t="n"/>
      <c r="I66" s="222" t="n"/>
    </row>
    <row r="67" ht="20" customHeight="1">
      <c r="A67" s="368" t="n"/>
      <c r="B67" s="218" t="n"/>
      <c r="C67" s="218" t="n"/>
      <c r="D67" s="218" t="n"/>
      <c r="E67" s="218" t="n"/>
      <c r="F67" s="218" t="n"/>
      <c r="G67" s="218" t="n"/>
      <c r="H67" s="218" t="n"/>
      <c r="I67" s="222" t="n"/>
    </row>
    <row r="68" ht="20" customHeight="1">
      <c r="A68" s="368" t="n"/>
      <c r="B68" s="218" t="n"/>
      <c r="C68" s="218" t="n"/>
      <c r="D68" s="218" t="n"/>
      <c r="E68" s="218" t="n"/>
      <c r="F68" s="218" t="n"/>
      <c r="G68" s="218" t="n"/>
      <c r="H68" s="218" t="n"/>
      <c r="I68" s="222" t="n"/>
    </row>
    <row r="69" ht="26.25" customHeight="1" thickBot="1">
      <c r="A69" s="264" t="inlineStr">
        <is>
          <t>Photos</t>
        </is>
      </c>
      <c r="B69" s="225" t="n"/>
      <c r="C69" s="225" t="n"/>
      <c r="D69" s="225" t="n"/>
      <c r="E69" s="225" t="n"/>
      <c r="F69" s="225" t="n"/>
      <c r="G69" s="225" t="n"/>
      <c r="H69" s="225" t="n"/>
      <c r="I69" s="226" t="n"/>
    </row>
    <row r="70" ht="23.25" customHeight="1">
      <c r="A70" s="181" t="n"/>
      <c r="B70" s="182" t="n"/>
      <c r="C70" s="182" t="n"/>
      <c r="D70" s="182" t="n"/>
      <c r="E70" s="182" t="n"/>
      <c r="F70" s="182" t="n"/>
      <c r="G70" s="182" t="n"/>
      <c r="H70" s="182" t="n"/>
      <c r="I70" s="183" t="n"/>
    </row>
    <row r="71" ht="23.25" customHeight="1">
      <c r="A71" s="184" t="n"/>
      <c r="B71" s="185" t="n"/>
      <c r="C71" s="185" t="n"/>
      <c r="D71" s="185" t="n"/>
      <c r="E71" s="185" t="n"/>
      <c r="F71" s="185" t="n"/>
      <c r="G71" s="185" t="n"/>
      <c r="H71" s="185" t="n"/>
      <c r="I71" s="186" t="n"/>
    </row>
    <row r="72" ht="15" customHeight="1">
      <c r="A72" s="184" t="n"/>
      <c r="B72" s="185" t="n"/>
      <c r="C72" s="185" t="n"/>
      <c r="D72" s="185" t="n"/>
      <c r="E72" s="185" t="n"/>
      <c r="F72" s="185" t="n"/>
      <c r="G72" s="185" t="n"/>
      <c r="H72" s="185" t="n"/>
      <c r="I72" s="186" t="n"/>
    </row>
    <row r="73" ht="15" customHeight="1">
      <c r="A73" s="184" t="n"/>
      <c r="B73" s="185" t="n"/>
      <c r="C73" s="185" t="n"/>
      <c r="D73" s="185" t="n"/>
      <c r="E73" s="185" t="n"/>
      <c r="F73" s="185" t="n"/>
      <c r="G73" s="185" t="n"/>
      <c r="H73" s="185" t="n"/>
      <c r="I73" s="186" t="n"/>
    </row>
    <row r="74" ht="1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25" customFormat="1" customHeight="1" s="187">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15" customHeight="1">
      <c r="A95" s="184" t="n"/>
      <c r="B95" s="185" t="n"/>
      <c r="C95" s="185" t="n"/>
      <c r="D95" s="185" t="n"/>
      <c r="E95" s="185" t="n"/>
      <c r="F95" s="185" t="n"/>
      <c r="G95" s="185" t="n"/>
      <c r="H95" s="185" t="n"/>
      <c r="I95" s="186" t="n"/>
    </row>
    <row r="96" ht="15" customHeight="1">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2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15" customHeight="1">
      <c r="A119" s="184" t="n"/>
      <c r="B119" s="185" t="n"/>
      <c r="C119" s="185" t="n"/>
      <c r="D119" s="185" t="n"/>
      <c r="E119" s="185" t="n"/>
      <c r="F119" s="185" t="n"/>
      <c r="G119" s="185" t="n"/>
      <c r="H119" s="185" t="n"/>
      <c r="I119" s="186" t="n"/>
    </row>
    <row r="120" ht="28"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15" customHeight="1">
      <c r="A122" s="184" t="n"/>
      <c r="B122" s="185" t="n"/>
      <c r="C122" s="185" t="n"/>
      <c r="D122" s="185" t="n"/>
      <c r="E122" s="185" t="n"/>
      <c r="F122" s="185" t="n"/>
      <c r="G122" s="185" t="n"/>
      <c r="H122" s="185" t="n"/>
      <c r="I122" s="186" t="n"/>
    </row>
    <row r="123" ht="15"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6" customHeight="1">
      <c r="A140" s="184" t="n"/>
      <c r="B140" s="185" t="n"/>
      <c r="C140" s="185" t="n"/>
      <c r="D140" s="185" t="n"/>
      <c r="E140" s="185" t="n"/>
      <c r="F140" s="185" t="n"/>
      <c r="G140" s="185" t="n"/>
      <c r="H140" s="185" t="n"/>
      <c r="I140" s="186" t="n"/>
    </row>
    <row r="141" ht="56.25" customHeight="1" thickBot="1">
      <c r="A141" s="188" t="n"/>
      <c r="B141" s="189" t="n"/>
      <c r="C141" s="189" t="n"/>
      <c r="D141" s="189" t="n"/>
      <c r="E141" s="189" t="n"/>
      <c r="F141" s="189" t="n"/>
      <c r="G141" s="189" t="n"/>
      <c r="H141" s="189" t="n"/>
      <c r="I141" s="190" t="n"/>
    </row>
    <row r="142">
      <c r="A142" s="191" t="n"/>
      <c r="I142" s="192" t="n"/>
    </row>
    <row r="143">
      <c r="A143" s="191" t="n"/>
      <c r="I143" s="192" t="n"/>
    </row>
    <row r="144">
      <c r="A144" s="191" t="n"/>
      <c r="I144" s="192" t="n"/>
    </row>
    <row r="145">
      <c r="A145" s="191" t="n"/>
      <c r="I145" s="192" t="n"/>
    </row>
    <row r="146">
      <c r="A146" s="191" t="n"/>
      <c r="I146" s="192" t="n"/>
    </row>
    <row r="147">
      <c r="A147" s="191" t="n"/>
      <c r="I147" s="192" t="n"/>
    </row>
    <row r="148">
      <c r="A148" s="191" t="n"/>
      <c r="I148" s="192" t="n"/>
    </row>
    <row r="149">
      <c r="A149" s="191" t="n"/>
      <c r="I149" s="192" t="n"/>
    </row>
    <row r="150">
      <c r="A150" s="191" t="n"/>
      <c r="I150" s="192" t="n"/>
    </row>
    <row r="151">
      <c r="A151" s="191" t="n"/>
      <c r="I151" s="192" t="n"/>
    </row>
    <row r="152">
      <c r="A152" s="191" t="n"/>
      <c r="I152" s="192" t="n"/>
    </row>
    <row r="153">
      <c r="A153" s="191" t="n"/>
      <c r="I153" s="192" t="n"/>
    </row>
    <row r="154">
      <c r="A154" s="191" t="n"/>
      <c r="I154" s="192" t="n"/>
    </row>
    <row r="155">
      <c r="A155" s="191" t="n"/>
      <c r="I155" s="192" t="n"/>
    </row>
    <row r="156">
      <c r="A156" s="191" t="n"/>
      <c r="I156" s="192" t="n"/>
    </row>
    <row r="157">
      <c r="A157" s="191" t="n"/>
      <c r="I157" s="192" t="n"/>
    </row>
    <row r="158">
      <c r="A158" s="191" t="n"/>
      <c r="I158" s="192" t="n"/>
    </row>
    <row r="159">
      <c r="A159" s="191" t="n"/>
      <c r="I159" s="192" t="n"/>
    </row>
    <row r="160">
      <c r="A160" s="191" t="n"/>
      <c r="I160" s="192" t="n"/>
    </row>
    <row r="161">
      <c r="A161" s="191" t="n"/>
      <c r="I161" s="192" t="n"/>
    </row>
    <row r="162">
      <c r="A162" s="191" t="n"/>
      <c r="I162" s="192" t="n"/>
    </row>
    <row r="163">
      <c r="A163" s="191" t="n"/>
      <c r="I163" s="192" t="n"/>
    </row>
    <row r="164">
      <c r="A164" s="191" t="n"/>
      <c r="I164" s="192" t="n"/>
    </row>
    <row r="165">
      <c r="A165" s="191" t="n"/>
      <c r="I165" s="192" t="n"/>
    </row>
    <row r="166">
      <c r="A166" s="191" t="n"/>
      <c r="I166" s="192" t="n"/>
    </row>
    <row r="167">
      <c r="A167" s="191" t="n"/>
      <c r="I167" s="192" t="n"/>
    </row>
    <row r="168">
      <c r="A168" s="191" t="n"/>
      <c r="I168" s="192" t="n"/>
    </row>
    <row r="169">
      <c r="A169" s="191" t="n"/>
      <c r="I169" s="192" t="n"/>
    </row>
    <row r="170">
      <c r="A170" s="191" t="n"/>
      <c r="I170" s="192" t="n"/>
    </row>
    <row r="171">
      <c r="A171" s="191" t="n"/>
      <c r="I171" s="192" t="n"/>
    </row>
    <row r="172">
      <c r="A172" s="191" t="n"/>
      <c r="I172" s="192" t="n"/>
    </row>
    <row r="173">
      <c r="A173" s="191" t="n"/>
      <c r="I173" s="192" t="n"/>
    </row>
    <row r="174">
      <c r="A174" s="191" t="n"/>
      <c r="I174" s="192" t="n"/>
    </row>
    <row r="175">
      <c r="A175" s="191" t="n"/>
      <c r="I175" s="192" t="n"/>
    </row>
    <row r="176">
      <c r="A176" s="191" t="n"/>
      <c r="I176" s="192" t="n"/>
    </row>
    <row r="177">
      <c r="A177" s="191" t="n"/>
      <c r="I177" s="192" t="n"/>
    </row>
    <row r="178">
      <c r="A178" s="191" t="n"/>
      <c r="I178" s="192" t="n"/>
    </row>
    <row r="179">
      <c r="A179" s="191" t="n"/>
      <c r="I179" s="192" t="n"/>
    </row>
    <row r="180">
      <c r="A180" s="191" t="n"/>
      <c r="I180" s="192" t="n"/>
    </row>
    <row r="181">
      <c r="A181" s="191" t="n"/>
      <c r="I181" s="192" t="n"/>
    </row>
    <row r="182">
      <c r="A182" s="191" t="n"/>
      <c r="I182" s="192" t="n"/>
    </row>
    <row r="183">
      <c r="A183" s="191" t="n"/>
      <c r="I183" s="192" t="n"/>
    </row>
    <row r="184">
      <c r="A184" s="191" t="n"/>
      <c r="I184" s="192" t="n"/>
    </row>
    <row r="185">
      <c r="A185" s="191" t="n"/>
      <c r="I185" s="192" t="n"/>
    </row>
    <row r="186">
      <c r="A186" s="191" t="n"/>
      <c r="I186" s="192" t="n"/>
    </row>
    <row r="187">
      <c r="A187" s="191" t="n"/>
      <c r="I187" s="192" t="n"/>
    </row>
    <row r="188">
      <c r="A188" s="191" t="n"/>
      <c r="I188" s="192" t="n"/>
    </row>
    <row r="189">
      <c r="A189" s="191" t="n"/>
      <c r="I189" s="192" t="n"/>
    </row>
    <row r="190">
      <c r="A190" s="191" t="n"/>
      <c r="I190" s="192" t="n"/>
    </row>
    <row r="191">
      <c r="A191" s="191" t="n"/>
      <c r="I191" s="192" t="n"/>
    </row>
    <row r="192">
      <c r="A192" s="191" t="n"/>
      <c r="I192" s="192" t="n"/>
    </row>
    <row r="193">
      <c r="A193" s="191" t="n"/>
      <c r="I193" s="192" t="n"/>
    </row>
    <row r="194">
      <c r="A194" s="191" t="n"/>
      <c r="I194" s="192" t="n"/>
    </row>
    <row r="195" ht="16" customHeight="1" thickBot="1">
      <c r="A195" s="193" t="n"/>
      <c r="B195" s="194" t="n"/>
      <c r="C195" s="194" t="n"/>
      <c r="D195" s="194" t="n"/>
      <c r="E195" s="194" t="n"/>
      <c r="F195" s="194" t="n"/>
      <c r="G195" s="194" t="n"/>
      <c r="H195" s="194" t="n"/>
      <c r="I195" s="195" t="n"/>
    </row>
    <row r="196">
      <c r="A196" s="191" t="n"/>
      <c r="I196" s="192" t="n"/>
    </row>
    <row r="197">
      <c r="A197" s="191" t="n"/>
      <c r="I197" s="192" t="n"/>
    </row>
    <row r="198">
      <c r="A198" s="191" t="n"/>
      <c r="I198" s="192" t="n"/>
    </row>
    <row r="199">
      <c r="A199" s="191" t="n"/>
      <c r="I199" s="192" t="n"/>
    </row>
    <row r="200">
      <c r="A200" s="191" t="n"/>
      <c r="I200" s="192" t="n"/>
    </row>
    <row r="201">
      <c r="A201" s="191" t="n"/>
      <c r="I201" s="192" t="n"/>
    </row>
    <row r="202" ht="16" customHeight="1" thickBot="1">
      <c r="A202" s="193" t="n"/>
      <c r="B202" s="194" t="n"/>
      <c r="C202" s="194" t="n"/>
      <c r="D202" s="194" t="n"/>
      <c r="E202" s="194" t="n"/>
      <c r="F202" s="194" t="n"/>
      <c r="G202" s="194" t="n"/>
      <c r="H202" s="194" t="n"/>
      <c r="I202" s="195" t="n"/>
    </row>
  </sheetData>
  <mergeCells count="41">
    <mergeCell ref="A65:I65"/>
    <mergeCell ref="C61:I61"/>
    <mergeCell ref="D13:F13"/>
    <mergeCell ref="G13:I13"/>
    <mergeCell ref="A46:I46"/>
    <mergeCell ref="B8:D8"/>
    <mergeCell ref="B54:I54"/>
    <mergeCell ref="A66:I66"/>
    <mergeCell ref="A45:B45"/>
    <mergeCell ref="A47:I50"/>
    <mergeCell ref="A12:I12"/>
    <mergeCell ref="B43:C43"/>
    <mergeCell ref="B56:I56"/>
    <mergeCell ref="D43:I43"/>
    <mergeCell ref="A57:I57"/>
    <mergeCell ref="B52:I52"/>
    <mergeCell ref="A5:I5"/>
    <mergeCell ref="B42:C42"/>
    <mergeCell ref="B9:D9"/>
    <mergeCell ref="B6:D6"/>
    <mergeCell ref="A62:I62"/>
    <mergeCell ref="C58:I58"/>
    <mergeCell ref="B44:C44"/>
    <mergeCell ref="A13:C13"/>
    <mergeCell ref="D42:I42"/>
    <mergeCell ref="B53:I53"/>
    <mergeCell ref="A68:I68"/>
    <mergeCell ref="A10:I10"/>
    <mergeCell ref="A1:I4"/>
    <mergeCell ref="A63:I63"/>
    <mergeCell ref="A67:I67"/>
    <mergeCell ref="D44:I44"/>
    <mergeCell ref="B7:D7"/>
    <mergeCell ref="A64:I64"/>
    <mergeCell ref="A11:I11"/>
    <mergeCell ref="A51:I51"/>
    <mergeCell ref="B55:I55"/>
    <mergeCell ref="C59:I59"/>
    <mergeCell ref="D45:I45"/>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1"/>
  <rowBreaks count="1" manualBreakCount="1">
    <brk id="68" min="0" max="8" man="1"/>
  </rowBreaks>
</worksheet>
</file>

<file path=xl/worksheets/sheet23.xml><?xml version="1.0" encoding="utf-8"?>
<worksheet xmlns="http://schemas.openxmlformats.org/spreadsheetml/2006/main">
  <sheetPr>
    <outlinePr summaryBelow="1" summaryRight="1"/>
    <pageSetUpPr fitToPage="1"/>
  </sheetPr>
  <dimension ref="A1:J193"/>
  <sheetViews>
    <sheetView view="pageBreakPreview" topLeftCell="A32" zoomScale="70" zoomScaleNormal="55" zoomScaleSheetLayoutView="70" workbookViewId="0">
      <selection activeCell="A65" sqref="A65:I70"/>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45957</v>
      </c>
    </row>
    <row r="7" ht="23.25" customHeight="1">
      <c r="A7" s="80" t="inlineStr">
        <is>
          <t>Project Location:</t>
        </is>
      </c>
      <c r="B7" s="318" t="inlineStr">
        <is>
          <t>Geraldton</t>
        </is>
      </c>
      <c r="E7" s="318" t="n"/>
      <c r="F7" s="82" t="n"/>
      <c r="G7" s="82" t="n"/>
      <c r="H7" s="200" t="inlineStr">
        <is>
          <t>Day:</t>
        </is>
      </c>
      <c r="I7" s="84">
        <f>DAY(I6+3)</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f t="array" ref="B9">RIGHT(CELL("filename",A1),LEN(CELL("filename",A1))-FIND("]",CELL("filename",A1)))</f>
        <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24 0C,  Wind:  57 km/h SW, Precip: 1.4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c r="G15" s="102" t="inlineStr">
        <is>
          <t>McAuliffe, Daniel</t>
        </is>
      </c>
      <c r="H15" s="98" t="inlineStr">
        <is>
          <t>Operator</t>
        </is>
      </c>
      <c r="I15" s="103" t="n">
        <v>10</v>
      </c>
    </row>
    <row r="16" ht="23.25" customHeight="1">
      <c r="A16" s="104" t="inlineStr">
        <is>
          <t>GRIFFITHS, Daniel</t>
        </is>
      </c>
      <c r="B16" s="105" t="inlineStr">
        <is>
          <t>Project Manager</t>
        </is>
      </c>
      <c r="C16" s="106" t="n">
        <v>12</v>
      </c>
      <c r="D16" s="107" t="inlineStr">
        <is>
          <t>McGahon,Aideen</t>
        </is>
      </c>
      <c r="E16" s="105" t="inlineStr">
        <is>
          <t>Operator</t>
        </is>
      </c>
      <c r="F16" s="108" t="n">
        <v>12</v>
      </c>
      <c r="G16" s="109" t="inlineStr">
        <is>
          <t>Mosley,Joshua</t>
        </is>
      </c>
      <c r="H16" s="105" t="inlineStr">
        <is>
          <t>Surveyor</t>
        </is>
      </c>
      <c r="I16" s="110" t="n"/>
    </row>
    <row r="17" ht="23.25" customHeight="1">
      <c r="A17" s="104" t="inlineStr">
        <is>
          <t>O"SHEA, John</t>
        </is>
      </c>
      <c r="B17" s="105" t="inlineStr">
        <is>
          <t>Senior Project Engineer</t>
        </is>
      </c>
      <c r="C17" s="106" t="n"/>
      <c r="D17" s="107" t="n"/>
      <c r="E17" s="105" t="n"/>
      <c r="F17" s="108" t="n"/>
      <c r="G17" s="109" t="inlineStr">
        <is>
          <t>Keady, Brendan</t>
        </is>
      </c>
      <c r="H17" s="105" t="inlineStr">
        <is>
          <t>Operator</t>
        </is>
      </c>
      <c r="I17" s="110" t="n">
        <v>12</v>
      </c>
    </row>
    <row r="18" ht="23.25" customHeight="1">
      <c r="A18" s="104" t="inlineStr">
        <is>
          <t>GRIFFITHS, Ashley</t>
        </is>
      </c>
      <c r="B18" s="105" t="inlineStr">
        <is>
          <t>Supervisor</t>
        </is>
      </c>
      <c r="C18" s="106" t="n"/>
      <c r="D18" s="111" t="n"/>
      <c r="E18" s="112" t="n"/>
      <c r="F18" s="108" t="n"/>
      <c r="G18" s="109" t="inlineStr">
        <is>
          <t>Griffiths, Jaquai</t>
        </is>
      </c>
      <c r="H18" s="105" t="inlineStr">
        <is>
          <t>Operator</t>
        </is>
      </c>
      <c r="I18" s="110" t="n"/>
    </row>
    <row r="19" ht="23.25" customHeight="1">
      <c r="A19" s="104" t="inlineStr">
        <is>
          <t>THOMPSON,Cheryl</t>
        </is>
      </c>
      <c r="B19" s="105" t="inlineStr">
        <is>
          <t>HSET</t>
        </is>
      </c>
      <c r="C19" s="106" t="n"/>
      <c r="D19" s="111" t="n"/>
      <c r="E19" s="112" t="n"/>
      <c r="F19" s="108" t="n"/>
      <c r="G19" s="109" t="inlineStr">
        <is>
          <t>McConnell, Adam</t>
        </is>
      </c>
      <c r="H19" s="105" t="inlineStr">
        <is>
          <t>Labourer</t>
        </is>
      </c>
      <c r="I19" s="110" t="n">
        <v>12</v>
      </c>
    </row>
    <row r="20" ht="23.25" customHeight="1">
      <c r="A20" s="104" t="inlineStr">
        <is>
          <t>SKINNER,Jamie</t>
        </is>
      </c>
      <c r="B20" s="105" t="inlineStr">
        <is>
          <t>Supervisor</t>
        </is>
      </c>
      <c r="C20" s="106" t="n">
        <v>12</v>
      </c>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v>12</v>
      </c>
      <c r="D21" s="111" t="n"/>
      <c r="E21" s="112" t="n"/>
      <c r="F21" s="108" t="n"/>
      <c r="G21" s="109" t="inlineStr">
        <is>
          <t>Thinkwater</t>
        </is>
      </c>
      <c r="H21" s="105" t="inlineStr">
        <is>
          <t>Labourers</t>
        </is>
      </c>
      <c r="I21" s="110" t="n">
        <v>8</v>
      </c>
    </row>
    <row r="22" ht="23.25" customHeight="1">
      <c r="A22" s="104" t="inlineStr">
        <is>
          <t>JOGI, Amit</t>
        </is>
      </c>
      <c r="B22" s="105" t="inlineStr">
        <is>
          <t>Project Engineer</t>
        </is>
      </c>
      <c r="C22" s="106" t="n">
        <v>12</v>
      </c>
      <c r="D22" s="111" t="n"/>
      <c r="E22" s="112" t="n"/>
      <c r="F22" s="108" t="n"/>
      <c r="G22" s="109" t="inlineStr">
        <is>
          <t>Superstruct</t>
        </is>
      </c>
      <c r="H22" s="105" t="inlineStr">
        <is>
          <t>Concereters</t>
        </is>
      </c>
      <c r="I22" s="110" t="n">
        <v>8</v>
      </c>
    </row>
    <row r="23" ht="23.25" customHeight="1">
      <c r="A23" s="104" t="n"/>
      <c r="B23" s="105" t="n"/>
      <c r="C23" s="106" t="n"/>
      <c r="D23" s="111" t="n"/>
      <c r="E23" s="112" t="n"/>
      <c r="F23" s="108" t="n"/>
      <c r="I23" s="192" t="n"/>
    </row>
    <row r="24" ht="23.25" customHeight="1" thickBot="1">
      <c r="A24" s="113" t="n"/>
      <c r="B24" s="114" t="n"/>
      <c r="C24" s="115" t="n"/>
      <c r="D24" s="116" t="n"/>
      <c r="E24" s="117" t="n"/>
      <c r="F24" s="118" t="n"/>
      <c r="G24" s="119" t="n"/>
      <c r="H24" s="114" t="n"/>
      <c r="I24" s="120" t="n"/>
    </row>
    <row r="25" ht="23.25" customHeight="1" thickTop="1">
      <c r="A25" s="121" t="n"/>
      <c r="B25" s="122" t="n"/>
      <c r="C25" s="123" t="n"/>
      <c r="D25" s="124" t="n"/>
      <c r="E25" s="125" t="n"/>
      <c r="F25" s="126" t="n"/>
      <c r="G25" s="127" t="n"/>
      <c r="H25" s="128" t="n"/>
      <c r="I25" s="129" t="n"/>
    </row>
    <row r="26" ht="23.25" customHeight="1">
      <c r="A26" s="130" t="inlineStr">
        <is>
          <t xml:space="preserve">Total Indirect Personnel onsite: </t>
        </is>
      </c>
      <c r="B26" s="180">
        <f>COUNT(C15:C24)</f>
        <v/>
      </c>
      <c r="C26" s="106" t="n"/>
      <c r="D26" s="132" t="inlineStr">
        <is>
          <t xml:space="preserve">Total Direct Personnel onsite:  </t>
        </is>
      </c>
      <c r="E26" s="180">
        <f>COUNT(F15:F24)</f>
        <v/>
      </c>
      <c r="F26" s="108" t="n"/>
      <c r="G26" s="133" t="inlineStr">
        <is>
          <t>Total Subcontractor on-site:</t>
        </is>
      </c>
      <c r="H26" s="180">
        <f>COUNT(I15:I24)</f>
        <v/>
      </c>
      <c r="I26" s="110" t="n"/>
    </row>
    <row r="27" ht="23.25" customHeight="1">
      <c r="A27" s="130" t="inlineStr">
        <is>
          <t xml:space="preserve">Total Indirect Personnel hours: </t>
        </is>
      </c>
      <c r="B27" s="180">
        <f>SUM(C15:C22)</f>
        <v/>
      </c>
      <c r="C27" s="134" t="n"/>
      <c r="D27" s="132" t="inlineStr">
        <is>
          <t xml:space="preserve">Total Direct Personnel hours: </t>
        </is>
      </c>
      <c r="E27" s="180">
        <f>SUM(F15:F16)</f>
        <v/>
      </c>
      <c r="F27" s="135" t="n"/>
      <c r="G27" s="133" t="inlineStr">
        <is>
          <t>Total Subcontractor hours:</t>
        </is>
      </c>
      <c r="H27" s="180">
        <f>SUM(I11:I24)</f>
        <v/>
      </c>
      <c r="I27" s="272" t="n"/>
    </row>
    <row r="28" ht="23.25" customHeight="1">
      <c r="A28" s="130" t="n"/>
      <c r="B28" s="131" t="n"/>
      <c r="C28" s="134" t="n"/>
      <c r="D28" s="132" t="n"/>
      <c r="E28" s="131" t="n"/>
      <c r="F28" s="137" t="n"/>
      <c r="G28" s="133" t="n"/>
      <c r="H28" s="131" t="n"/>
      <c r="I28" s="272" t="n"/>
    </row>
    <row r="29" ht="25" customHeight="1">
      <c r="A29" s="138" t="inlineStr">
        <is>
          <t>PLANT &amp; EQUIPMENT</t>
        </is>
      </c>
      <c r="B29" s="139" t="n"/>
      <c r="C29" s="139" t="n"/>
      <c r="D29" s="139" t="n"/>
      <c r="E29" s="139" t="n"/>
      <c r="F29" s="139" t="n"/>
      <c r="G29" s="139" t="n"/>
      <c r="H29" s="139" t="n"/>
      <c r="I29" s="140" t="n"/>
    </row>
    <row r="30" ht="24" customHeight="1" thickBot="1">
      <c r="A30" s="141" t="inlineStr">
        <is>
          <t>Plant</t>
        </is>
      </c>
      <c r="B30" s="142" t="inlineStr">
        <is>
          <t>ID</t>
        </is>
      </c>
      <c r="C30" s="143" t="inlineStr">
        <is>
          <t>Hrs</t>
        </is>
      </c>
      <c r="D30" s="144" t="inlineStr">
        <is>
          <t xml:space="preserve"> Vehicles</t>
        </is>
      </c>
      <c r="E30" s="142" t="inlineStr">
        <is>
          <t>ID</t>
        </is>
      </c>
      <c r="F30" s="145" t="inlineStr">
        <is>
          <t>QTY</t>
        </is>
      </c>
      <c r="G30" s="146" t="inlineStr">
        <is>
          <t>Site Facilities</t>
        </is>
      </c>
      <c r="H30" s="147" t="inlineStr">
        <is>
          <t>ID</t>
        </is>
      </c>
      <c r="I30" s="148" t="inlineStr">
        <is>
          <t>Qty</t>
        </is>
      </c>
    </row>
    <row r="31" ht="23.25" customHeight="1" thickTop="1">
      <c r="A31" s="97" t="inlineStr">
        <is>
          <t>Komatsu WA320</t>
        </is>
      </c>
      <c r="B31" s="98" t="inlineStr">
        <is>
          <t>FWL18</t>
        </is>
      </c>
      <c r="C31" s="149" t="n">
        <v>4</v>
      </c>
      <c r="D31" s="150" t="inlineStr">
        <is>
          <t>Hilux</t>
        </is>
      </c>
      <c r="E31" s="151" t="inlineStr">
        <is>
          <t>DLV90</t>
        </is>
      </c>
      <c r="F31" s="152" t="n">
        <v>1</v>
      </c>
      <c r="G31" s="153" t="inlineStr">
        <is>
          <t>Office 40ft</t>
        </is>
      </c>
      <c r="H31" s="151" t="n">
        <v>9255540</v>
      </c>
      <c r="I31" s="103" t="n">
        <v>1</v>
      </c>
    </row>
    <row r="32" ht="23.25" customHeight="1">
      <c r="A32" s="104" t="inlineStr">
        <is>
          <t>Wacker Neuson DPU</t>
        </is>
      </c>
      <c r="B32" s="105" t="inlineStr">
        <is>
          <t>DPC15</t>
        </is>
      </c>
      <c r="C32" s="154" t="n"/>
      <c r="D32" s="155" t="inlineStr">
        <is>
          <t>Hilux</t>
        </is>
      </c>
      <c r="E32" s="156" t="inlineStr">
        <is>
          <t>1DLV04</t>
        </is>
      </c>
      <c r="F32" s="157" t="n">
        <v>1</v>
      </c>
      <c r="G32" s="158" t="inlineStr">
        <is>
          <t>Sea Container 20ft</t>
        </is>
      </c>
      <c r="H32" s="105" t="n">
        <v>951200</v>
      </c>
      <c r="I32" s="110" t="n">
        <v>1</v>
      </c>
    </row>
    <row r="33" ht="23.25" customHeight="1">
      <c r="A33" s="159" t="inlineStr">
        <is>
          <t>Watercart</t>
        </is>
      </c>
      <c r="B33" s="156" t="inlineStr">
        <is>
          <t>WC119</t>
        </is>
      </c>
      <c r="C33" s="154" t="n">
        <v>8</v>
      </c>
      <c r="D33" s="155" t="n"/>
      <c r="E33" s="105" t="n"/>
      <c r="F33" s="157" t="n"/>
      <c r="G33" s="158" t="inlineStr">
        <is>
          <t>Site Sentry Tower</t>
        </is>
      </c>
      <c r="H33" s="156" t="n"/>
      <c r="I33" s="110" t="n">
        <v>2</v>
      </c>
    </row>
    <row r="34" ht="23.25" customHeight="1">
      <c r="A34" s="159" t="inlineStr">
        <is>
          <t>8T Excavator</t>
        </is>
      </c>
      <c r="B34" s="160" t="inlineStr">
        <is>
          <t>AMG 014</t>
        </is>
      </c>
      <c r="C34" s="154" t="n"/>
      <c r="D34" s="155" t="n"/>
      <c r="E34" s="156" t="n"/>
      <c r="F34" s="157" t="n"/>
      <c r="G34" s="158" t="inlineStr">
        <is>
          <t>Skip Bin</t>
        </is>
      </c>
      <c r="H34" s="156" t="n"/>
      <c r="I34" s="110" t="n">
        <v>1</v>
      </c>
    </row>
    <row r="35" ht="23.25" customHeight="1">
      <c r="A35" s="159" t="inlineStr">
        <is>
          <t>Mini Tipper</t>
        </is>
      </c>
      <c r="B35" s="156" t="inlineStr">
        <is>
          <t>SLS05</t>
        </is>
      </c>
      <c r="C35" s="106" t="n">
        <v>4</v>
      </c>
      <c r="D35" s="155" t="n"/>
      <c r="E35" s="156" t="n"/>
      <c r="F35" s="157" t="n"/>
      <c r="G35" s="158" t="inlineStr">
        <is>
          <t>Hydrocarbon Bund</t>
        </is>
      </c>
      <c r="H35" s="156" t="n"/>
      <c r="I35" s="110" t="n">
        <v>1</v>
      </c>
    </row>
    <row r="36" ht="23.25" customHeight="1">
      <c r="A36" s="159" t="inlineStr">
        <is>
          <t>1 t Excavator</t>
        </is>
      </c>
      <c r="B36" s="156" t="inlineStr">
        <is>
          <t>SLS03</t>
        </is>
      </c>
      <c r="C36" s="106" t="n"/>
      <c r="D36" s="155" t="n"/>
      <c r="E36" s="156" t="n"/>
      <c r="F36" s="157" t="n"/>
      <c r="G36" s="158" t="inlineStr">
        <is>
          <t>Temp Fence</t>
        </is>
      </c>
      <c r="H36" s="105" t="n"/>
      <c r="I36" s="110" t="n">
        <v>1</v>
      </c>
    </row>
    <row r="37" ht="23.25" customHeight="1">
      <c r="A37" s="159" t="inlineStr">
        <is>
          <t>8T Excavator (Wheeled)</t>
        </is>
      </c>
      <c r="B37" s="156" t="inlineStr">
        <is>
          <t>BCC12</t>
        </is>
      </c>
      <c r="C37" s="106" t="n">
        <v>3</v>
      </c>
      <c r="D37" s="155" t="n"/>
      <c r="E37" s="156" t="n"/>
      <c r="F37" s="157" t="n"/>
      <c r="G37" s="158" t="n"/>
      <c r="H37" s="105" t="n"/>
      <c r="I37" s="110" t="n"/>
    </row>
    <row r="38" ht="24" customHeight="1">
      <c r="A38" s="159" t="inlineStr">
        <is>
          <t>14t Excavator with GPS</t>
        </is>
      </c>
      <c r="B38" s="156" t="inlineStr">
        <is>
          <t>EX197</t>
        </is>
      </c>
      <c r="C38" s="106" t="n">
        <v>11</v>
      </c>
      <c r="D38" s="155" t="n"/>
      <c r="E38" s="156" t="n"/>
      <c r="F38" s="157" t="n"/>
      <c r="G38" s="161" t="n"/>
      <c r="H38" s="162" t="n"/>
      <c r="I38" s="163" t="n"/>
    </row>
    <row r="39" ht="24" customHeight="1">
      <c r="A39" s="159" t="inlineStr">
        <is>
          <t>Roller (1.5t)</t>
        </is>
      </c>
      <c r="B39" s="156" t="inlineStr">
        <is>
          <t>R538</t>
        </is>
      </c>
      <c r="C39" s="106" t="n">
        <v>3</v>
      </c>
      <c r="D39" s="155" t="n"/>
      <c r="E39" s="156" t="n"/>
      <c r="F39" s="157" t="n"/>
      <c r="G39" s="161" t="n"/>
      <c r="H39" s="162" t="n"/>
      <c r="I39" s="163" t="n"/>
    </row>
    <row r="40" ht="24" customHeight="1">
      <c r="A40" s="159" t="inlineStr">
        <is>
          <t>Positrak SSL</t>
        </is>
      </c>
      <c r="B40" s="156" t="inlineStr">
        <is>
          <t>SSL08</t>
        </is>
      </c>
      <c r="C40" s="154" t="n"/>
      <c r="D40" s="155" t="n"/>
      <c r="E40" s="156" t="n"/>
      <c r="F40" s="157" t="n"/>
      <c r="G40" s="161" t="n"/>
      <c r="H40" s="162" t="n"/>
      <c r="I40" s="163" t="n"/>
    </row>
    <row r="41" ht="24" customHeight="1" thickBot="1">
      <c r="A41" s="164" t="n"/>
      <c r="B41" s="165" t="n"/>
      <c r="C41" s="166" t="n"/>
      <c r="D41" s="167" t="n"/>
      <c r="E41" s="168" t="n"/>
      <c r="F41" s="169" t="n"/>
      <c r="G41" s="170" t="n"/>
      <c r="H41" s="168" t="n"/>
      <c r="I41" s="171" t="n"/>
    </row>
    <row r="42" ht="18" customHeight="1" thickTop="1">
      <c r="A42" s="172" t="n">
        <v>0</v>
      </c>
      <c r="B42" s="294" t="inlineStr">
        <is>
          <t xml:space="preserve">Repairs Required </t>
        </is>
      </c>
      <c r="C42" s="360" t="n"/>
      <c r="D42" s="323" t="inlineStr">
        <is>
          <t>NA</t>
        </is>
      </c>
      <c r="E42" s="361" t="n"/>
      <c r="F42" s="361" t="n"/>
      <c r="G42" s="361" t="n"/>
      <c r="H42" s="361" t="n"/>
      <c r="I42" s="362" t="n"/>
    </row>
    <row r="43" ht="18" customHeight="1">
      <c r="A43" s="173" t="n">
        <v>0</v>
      </c>
      <c r="B43" s="299" t="inlineStr">
        <is>
          <t>Scheduled Service</t>
        </is>
      </c>
      <c r="C43" s="219" t="n"/>
      <c r="D43" s="326" t="inlineStr">
        <is>
          <t>NA</t>
        </is>
      </c>
      <c r="E43" s="218" t="n"/>
      <c r="F43" s="218" t="n"/>
      <c r="G43" s="218" t="n"/>
      <c r="H43" s="218" t="n"/>
      <c r="I43" s="222" t="n"/>
    </row>
    <row r="44" ht="18" customHeight="1" thickBot="1">
      <c r="A44" s="174" t="n">
        <v>0</v>
      </c>
      <c r="B44" s="302" t="inlineStr">
        <is>
          <t>Repairs Required but Operable</t>
        </is>
      </c>
      <c r="C44" s="363" t="n"/>
      <c r="D44" s="329" t="inlineStr">
        <is>
          <t>NA</t>
        </is>
      </c>
      <c r="E44" s="364" t="n"/>
      <c r="F44" s="364" t="n"/>
      <c r="G44" s="364" t="n"/>
      <c r="H44" s="364" t="n"/>
      <c r="I44" s="365" t="n"/>
    </row>
    <row r="45" ht="23.25" customHeight="1" thickTop="1">
      <c r="A45" s="273" t="inlineStr">
        <is>
          <t xml:space="preserve">Total Plant and Equipment Hours: </t>
        </is>
      </c>
      <c r="B45" s="366" t="n"/>
      <c r="C45" s="175">
        <f>SUM(C31:C41)</f>
        <v/>
      </c>
      <c r="D45" s="275" t="n"/>
      <c r="E45" s="208" t="n"/>
      <c r="F45" s="208" t="n"/>
      <c r="G45" s="208" t="n"/>
      <c r="H45" s="208" t="n"/>
      <c r="I45" s="216" t="n"/>
    </row>
    <row r="46" ht="25" customHeight="1">
      <c r="A46" s="251" t="inlineStr">
        <is>
          <t>DELAYS-OPPORTUNITY</t>
        </is>
      </c>
      <c r="B46" s="218" t="n"/>
      <c r="C46" s="218" t="n"/>
      <c r="D46" s="218" t="n"/>
      <c r="E46" s="218" t="n"/>
      <c r="F46" s="218" t="n"/>
      <c r="G46" s="218" t="n"/>
      <c r="H46" s="218" t="n"/>
      <c r="I46" s="222" t="n"/>
    </row>
    <row r="47" ht="57" customHeight="1" thickBot="1">
      <c r="A47" s="278" t="inlineStr">
        <is>
          <t xml:space="preserve">ATCO Gas has advised that Piece Up has not been scheduled ETA 3 Weeks (From 2/10/25)
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7" s="225" t="n"/>
      <c r="C47" s="225" t="n"/>
      <c r="D47" s="225" t="n"/>
      <c r="E47" s="225" t="n"/>
      <c r="F47" s="225" t="n"/>
      <c r="G47" s="225" t="n"/>
      <c r="H47" s="225" t="n"/>
      <c r="I47" s="226" t="n"/>
    </row>
    <row r="48" ht="91.5" customHeight="1">
      <c r="A48" s="212" t="n"/>
      <c r="I48" s="214" t="n"/>
    </row>
    <row r="49" ht="70" customHeight="1" thickBot="1">
      <c r="A49" s="212" t="n"/>
      <c r="I49" s="214" t="n"/>
    </row>
    <row r="50" hidden="1" ht="84" customHeight="1" thickBot="1">
      <c r="A50" s="235" t="n"/>
      <c r="B50" s="236" t="n"/>
      <c r="C50" s="236" t="n"/>
      <c r="D50" s="236" t="n"/>
      <c r="E50" s="236" t="n"/>
      <c r="F50" s="236" t="n"/>
      <c r="G50" s="236" t="n"/>
      <c r="H50" s="236" t="n"/>
      <c r="I50" s="237" t="n"/>
    </row>
    <row r="51" ht="25" customHeight="1">
      <c r="A51" s="260" t="inlineStr">
        <is>
          <t>HSEQ MESSAGES</t>
        </is>
      </c>
      <c r="B51" s="239" t="n"/>
      <c r="C51" s="239" t="n"/>
      <c r="D51" s="239" t="n"/>
      <c r="E51" s="239" t="n"/>
      <c r="F51" s="239" t="n"/>
      <c r="G51" s="239" t="n"/>
      <c r="H51" s="239" t="n"/>
      <c r="I51" s="240" t="n"/>
    </row>
    <row r="52" ht="20" customHeight="1">
      <c r="A52" s="176" t="inlineStr">
        <is>
          <t>TCD - Monthly Safety Focus:</t>
        </is>
      </c>
      <c r="B52" s="285" t="inlineStr">
        <is>
          <t>Prestart Checks</t>
        </is>
      </c>
      <c r="C52" s="218" t="n"/>
      <c r="D52" s="218" t="n"/>
      <c r="E52" s="218" t="n"/>
      <c r="F52" s="218" t="n"/>
      <c r="G52" s="218" t="n"/>
      <c r="H52" s="218" t="n"/>
      <c r="I52" s="219" t="n"/>
    </row>
    <row r="53" ht="20" customHeight="1">
      <c r="A53" s="176" t="inlineStr">
        <is>
          <t>TCD - Daily Safety Focus:</t>
        </is>
      </c>
      <c r="B53" s="270" t="inlineStr">
        <is>
          <t>Protect Existing Works</t>
        </is>
      </c>
      <c r="C53" s="218" t="n"/>
      <c r="D53" s="218" t="n"/>
      <c r="E53" s="218" t="n"/>
      <c r="F53" s="218" t="n"/>
      <c r="G53" s="218" t="n"/>
      <c r="H53" s="218" t="n"/>
      <c r="I53" s="222" t="n"/>
    </row>
    <row r="54" ht="20" customHeight="1">
      <c r="A54" s="177" t="inlineStr">
        <is>
          <t xml:space="preserve">Hazards Reported: </t>
        </is>
      </c>
      <c r="B54" s="270" t="inlineStr">
        <is>
          <t>Nil</t>
        </is>
      </c>
      <c r="C54" s="218" t="n"/>
      <c r="D54" s="218" t="n"/>
      <c r="E54" s="218" t="n"/>
      <c r="F54" s="218" t="n"/>
      <c r="G54" s="218" t="n"/>
      <c r="H54" s="218" t="n"/>
      <c r="I54" s="222" t="n"/>
    </row>
    <row r="55" ht="20" customHeight="1">
      <c r="A55" s="177" t="inlineStr">
        <is>
          <t>Incident Free Days</t>
        </is>
      </c>
      <c r="B55" s="367" t="n">
        <v>24</v>
      </c>
      <c r="C55" s="218" t="n"/>
      <c r="D55" s="218" t="n"/>
      <c r="E55" s="218" t="n"/>
      <c r="F55" s="218" t="n"/>
      <c r="G55" s="218" t="n"/>
      <c r="H55" s="218" t="n"/>
      <c r="I55" s="222" t="n"/>
    </row>
    <row r="56" ht="20" customHeight="1">
      <c r="A56" s="178" t="inlineStr">
        <is>
          <t>Other Notes</t>
        </is>
      </c>
      <c r="B56" s="271" t="inlineStr">
        <is>
          <t>NA</t>
        </is>
      </c>
      <c r="C56" s="225" t="n"/>
      <c r="D56" s="225" t="n"/>
      <c r="E56" s="225" t="n"/>
      <c r="F56" s="225" t="n"/>
      <c r="G56" s="225" t="n"/>
      <c r="H56" s="225" t="n"/>
      <c r="I56" s="226" t="n"/>
    </row>
    <row r="57" ht="20.25" customHeight="1">
      <c r="A57" s="251" t="inlineStr">
        <is>
          <t xml:space="preserve">INCIDENTS &amp; REPORTS </t>
        </is>
      </c>
      <c r="B57" s="218" t="n"/>
      <c r="C57" s="218" t="n"/>
      <c r="D57" s="218" t="n"/>
      <c r="E57" s="218" t="n"/>
      <c r="F57" s="218" t="n"/>
      <c r="G57" s="218" t="n"/>
      <c r="H57" s="218" t="n"/>
      <c r="I57" s="222" t="n"/>
    </row>
    <row r="58" ht="20" customHeight="1">
      <c r="A58" s="179" t="n"/>
      <c r="B58" s="180" t="inlineStr">
        <is>
          <t>QTY</t>
        </is>
      </c>
      <c r="C58" s="272" t="inlineStr">
        <is>
          <t>Comments</t>
        </is>
      </c>
      <c r="D58" s="218" t="n"/>
      <c r="E58" s="218" t="n"/>
      <c r="F58" s="218" t="n"/>
      <c r="G58" s="218" t="n"/>
      <c r="H58" s="218" t="n"/>
      <c r="I58" s="222" t="n"/>
    </row>
    <row r="59" ht="20" customHeight="1">
      <c r="A59" s="130" t="inlineStr">
        <is>
          <t>INCIDENT</t>
        </is>
      </c>
      <c r="B59" s="105" t="n">
        <v>0</v>
      </c>
      <c r="C59" s="254" t="inlineStr">
        <is>
          <t>NA</t>
        </is>
      </c>
      <c r="D59" s="225" t="n"/>
      <c r="E59" s="225" t="n"/>
      <c r="F59" s="225" t="n"/>
      <c r="G59" s="225" t="n"/>
      <c r="H59" s="225" t="n"/>
      <c r="I59" s="226" t="n"/>
    </row>
    <row r="60" ht="20" customHeight="1">
      <c r="A60" s="196" t="inlineStr">
        <is>
          <t>IR</t>
        </is>
      </c>
      <c r="B60" s="114" t="n">
        <v>0</v>
      </c>
      <c r="C60" s="254" t="inlineStr">
        <is>
          <t>NA</t>
        </is>
      </c>
      <c r="D60" s="225" t="n"/>
      <c r="E60" s="225" t="n"/>
      <c r="F60" s="225" t="n"/>
      <c r="G60" s="225" t="n"/>
      <c r="H60" s="225" t="n"/>
      <c r="I60" s="226" t="n"/>
    </row>
    <row r="61" ht="20" customHeight="1" thickBot="1">
      <c r="A61" s="197" t="inlineStr">
        <is>
          <t>NCR</t>
        </is>
      </c>
      <c r="B61" s="198" t="n">
        <v>0</v>
      </c>
      <c r="C61" s="257" t="inlineStr">
        <is>
          <t>NA</t>
        </is>
      </c>
      <c r="D61" s="248" t="n"/>
      <c r="E61" s="248" t="n"/>
      <c r="F61" s="248" t="n"/>
      <c r="G61" s="248" t="n"/>
      <c r="H61" s="248" t="n"/>
      <c r="I61" s="249" t="n"/>
    </row>
    <row r="62" ht="20.25" customHeight="1">
      <c r="A62" s="260" t="inlineStr">
        <is>
          <t>COMMUNICATIONS</t>
        </is>
      </c>
      <c r="B62" s="239" t="n"/>
      <c r="C62" s="239" t="n"/>
      <c r="D62" s="239" t="n"/>
      <c r="E62" s="239" t="n"/>
      <c r="F62" s="239" t="n"/>
      <c r="G62" s="239" t="n"/>
      <c r="H62" s="239" t="n"/>
      <c r="I62" s="240" t="n"/>
    </row>
    <row r="63" ht="25" customHeight="1">
      <c r="A63" s="263" t="inlineStr">
        <is>
          <t>TGS MB1119-05 Scheme D implemented</t>
        </is>
      </c>
      <c r="B63" s="218" t="n"/>
      <c r="C63" s="218" t="n"/>
      <c r="D63" s="218" t="n"/>
      <c r="E63" s="218" t="n"/>
      <c r="F63" s="218" t="n"/>
      <c r="G63" s="218" t="n"/>
      <c r="H63" s="218" t="n"/>
      <c r="I63" s="222" t="n"/>
    </row>
    <row r="64" ht="25" customHeight="1">
      <c r="A64" s="251" t="inlineStr">
        <is>
          <t>PRODUCTION (CONSTRUCTION STATUS &amp; PROGRESS)</t>
        </is>
      </c>
      <c r="B64" s="218" t="n"/>
      <c r="C64" s="218" t="n"/>
      <c r="D64" s="218" t="n"/>
      <c r="E64" s="218" t="n"/>
      <c r="F64" s="218" t="n"/>
      <c r="G64" s="218" t="n"/>
      <c r="H64" s="218" t="n"/>
      <c r="I64" s="222" t="n"/>
    </row>
    <row r="65" ht="20" customHeight="1">
      <c r="A65" s="263" t="inlineStr">
        <is>
          <t>Ground prep for pavers starting back at forest</t>
        </is>
      </c>
      <c r="B65" s="218" t="n"/>
      <c r="C65" s="218" t="n"/>
      <c r="D65" s="218" t="n"/>
      <c r="E65" s="218" t="n"/>
      <c r="F65" s="218" t="n"/>
      <c r="G65" s="218" t="n"/>
      <c r="H65" s="218" t="n"/>
      <c r="I65" s="222" t="n"/>
    </row>
    <row r="66" ht="20" customHeight="1">
      <c r="A66" s="263" t="inlineStr">
        <is>
          <t>Form disabled ramp and 4x concrete footings for furniture</t>
        </is>
      </c>
      <c r="B66" s="218" t="n"/>
      <c r="C66" s="218" t="n"/>
      <c r="D66" s="218" t="n"/>
      <c r="E66" s="218" t="n"/>
      <c r="F66" s="218" t="n"/>
      <c r="G66" s="218" t="n"/>
      <c r="H66" s="218" t="n"/>
      <c r="I66" s="222" t="n"/>
    </row>
    <row r="67" ht="20" customHeight="1">
      <c r="A67" s="263" t="inlineStr">
        <is>
          <t>Expose last 6 planters including retek pipework</t>
        </is>
      </c>
      <c r="B67" s="218" t="n"/>
      <c r="C67" s="218" t="n"/>
      <c r="D67" s="218" t="n"/>
      <c r="E67" s="218" t="n"/>
      <c r="F67" s="218" t="n"/>
      <c r="G67" s="218" t="n"/>
      <c r="H67" s="218" t="n"/>
      <c r="I67" s="222" t="n"/>
    </row>
    <row r="68" ht="20" customHeight="1">
      <c r="A68" s="322" t="inlineStr">
        <is>
          <t>Ongoing 80mm fill on lots with EX197</t>
        </is>
      </c>
      <c r="B68" s="218" t="n"/>
      <c r="C68" s="218" t="n"/>
      <c r="D68" s="218" t="n"/>
      <c r="E68" s="218" t="n"/>
      <c r="F68" s="218" t="n"/>
      <c r="G68" s="218" t="n"/>
      <c r="H68" s="218" t="n"/>
      <c r="I68" s="222" t="n"/>
    </row>
    <row r="69" ht="20" customHeight="1">
      <c r="A69" s="336" t="inlineStr">
        <is>
          <t>Further Planter Lateral Works</t>
        </is>
      </c>
      <c r="B69" s="208" t="n"/>
      <c r="C69" s="208" t="n"/>
      <c r="D69" s="208" t="n"/>
      <c r="E69" s="208" t="n"/>
      <c r="F69" s="208" t="n"/>
      <c r="G69" s="208" t="n"/>
      <c r="H69" s="208" t="n"/>
      <c r="I69" s="216" t="n"/>
    </row>
    <row r="70" ht="20" customHeight="1">
      <c r="A70" s="263" t="inlineStr">
        <is>
          <t>Verge Trimming Bayley End Bayley End</t>
        </is>
      </c>
      <c r="B70" s="218" t="n"/>
      <c r="C70" s="218" t="n"/>
      <c r="D70" s="218" t="n"/>
      <c r="E70" s="218" t="n"/>
      <c r="F70" s="218" t="n"/>
      <c r="G70" s="218" t="n"/>
      <c r="H70" s="218" t="n"/>
      <c r="I70" s="222" t="n"/>
    </row>
    <row r="71" ht="20" customHeight="1">
      <c r="A71" s="368" t="n"/>
      <c r="B71" s="218" t="n"/>
      <c r="C71" s="218" t="n"/>
      <c r="D71" s="218" t="n"/>
      <c r="E71" s="218" t="n"/>
      <c r="F71" s="218" t="n"/>
      <c r="G71" s="218" t="n"/>
      <c r="H71" s="218" t="n"/>
      <c r="I71" s="222" t="n"/>
    </row>
    <row r="72" ht="26.25" customHeight="1" thickBot="1">
      <c r="A72" s="264" t="inlineStr">
        <is>
          <t>Photos</t>
        </is>
      </c>
      <c r="B72" s="225" t="n"/>
      <c r="C72" s="225" t="n"/>
      <c r="D72" s="225" t="n"/>
      <c r="E72" s="225" t="n"/>
      <c r="F72" s="225" t="n"/>
      <c r="G72" s="225" t="n"/>
      <c r="H72" s="225" t="n"/>
      <c r="I72" s="226" t="n"/>
    </row>
    <row r="73" ht="23.25" customHeight="1">
      <c r="A73" s="181" t="n"/>
      <c r="B73" s="182" t="n"/>
      <c r="C73" s="182" t="n"/>
      <c r="D73" s="182" t="n"/>
      <c r="E73" s="182" t="n"/>
      <c r="F73" s="182" t="n"/>
      <c r="G73" s="182" t="n"/>
      <c r="H73" s="182" t="n"/>
      <c r="I73" s="183" t="n"/>
    </row>
    <row r="74" ht="23.2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15" customHeight="1">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15" customHeight="1">
      <c r="A95" s="184" t="n"/>
      <c r="B95" s="185" t="n"/>
      <c r="C95" s="185" t="n"/>
      <c r="D95" s="185" t="n"/>
      <c r="E95" s="185" t="n"/>
      <c r="F95" s="185" t="n"/>
      <c r="G95" s="185" t="n"/>
      <c r="H95" s="185" t="n"/>
      <c r="I95" s="186" t="n"/>
    </row>
    <row r="96" ht="25" customFormat="1" customHeight="1" s="187">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1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15" customHeight="1">
      <c r="A119" s="184" t="n"/>
      <c r="B119" s="185" t="n"/>
      <c r="C119" s="185" t="n"/>
      <c r="D119" s="185" t="n"/>
      <c r="E119" s="185" t="n"/>
      <c r="F119" s="185" t="n"/>
      <c r="G119" s="185" t="n"/>
      <c r="H119" s="185" t="n"/>
      <c r="I119" s="186" t="n"/>
    </row>
    <row r="120" ht="25"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15" customHeight="1">
      <c r="A122" s="184" t="n"/>
      <c r="B122" s="185" t="n"/>
      <c r="C122" s="185" t="n"/>
      <c r="D122" s="185" t="n"/>
      <c r="E122" s="185" t="n"/>
      <c r="F122" s="185" t="n"/>
      <c r="G122" s="185" t="n"/>
      <c r="H122" s="185" t="n"/>
      <c r="I122" s="186" t="n"/>
    </row>
    <row r="123" ht="28"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5" customHeight="1">
      <c r="A140" s="184" t="n"/>
      <c r="B140" s="185" t="n"/>
      <c r="C140" s="185" t="n"/>
      <c r="D140" s="185" t="n"/>
      <c r="E140" s="185" t="n"/>
      <c r="F140" s="185" t="n"/>
      <c r="G140" s="185" t="n"/>
      <c r="H140" s="185" t="n"/>
      <c r="I140" s="186" t="n"/>
    </row>
    <row r="141" ht="15" customHeight="1">
      <c r="A141" s="184" t="n"/>
      <c r="B141" s="185" t="n"/>
      <c r="C141" s="185" t="n"/>
      <c r="D141" s="185" t="n"/>
      <c r="E141" s="185" t="n"/>
      <c r="F141" s="185" t="n"/>
      <c r="G141" s="185" t="n"/>
      <c r="H141" s="185" t="n"/>
      <c r="I141" s="186" t="n"/>
    </row>
    <row r="142" ht="15" customHeight="1">
      <c r="A142" s="184" t="n"/>
      <c r="B142" s="185" t="n"/>
      <c r="C142" s="185" t="n"/>
      <c r="D142" s="185" t="n"/>
      <c r="E142" s="185" t="n"/>
      <c r="F142" s="185" t="n"/>
      <c r="G142" s="185" t="n"/>
      <c r="H142" s="185" t="n"/>
      <c r="I142" s="186" t="n"/>
    </row>
    <row r="143" ht="16" customHeight="1">
      <c r="A143" s="184" t="n"/>
      <c r="B143" s="185" t="n"/>
      <c r="C143" s="185" t="n"/>
      <c r="D143" s="185" t="n"/>
      <c r="E143" s="185" t="n"/>
      <c r="F143" s="185" t="n"/>
      <c r="G143" s="185" t="n"/>
      <c r="H143" s="185" t="n"/>
      <c r="I143" s="186" t="n"/>
    </row>
    <row r="144" ht="56.25" customHeight="1">
      <c r="A144" s="184" t="n"/>
      <c r="B144" s="185" t="n"/>
      <c r="C144" s="185" t="n"/>
      <c r="D144" s="185" t="n"/>
      <c r="E144" s="185" t="n"/>
      <c r="F144" s="185" t="n"/>
      <c r="G144" s="185" t="n"/>
      <c r="H144" s="185" t="n"/>
      <c r="I144" s="186" t="n"/>
    </row>
    <row r="145">
      <c r="A145" s="184" t="n"/>
      <c r="B145" s="185" t="n"/>
      <c r="C145" s="185" t="n"/>
      <c r="D145" s="185" t="n"/>
      <c r="E145" s="185" t="n"/>
      <c r="F145" s="185" t="n"/>
      <c r="G145" s="185" t="n"/>
      <c r="H145" s="185" t="n"/>
      <c r="I145" s="186" t="n"/>
    </row>
    <row r="146">
      <c r="A146" s="184" t="n"/>
      <c r="B146" s="185" t="n"/>
      <c r="C146" s="185" t="n"/>
      <c r="D146" s="185" t="n"/>
      <c r="E146" s="185" t="n"/>
      <c r="F146" s="185" t="n"/>
      <c r="G146" s="185" t="n"/>
      <c r="H146" s="185" t="n"/>
      <c r="I146" s="186" t="n"/>
    </row>
    <row r="147" ht="20" customHeight="1" thickBot="1">
      <c r="A147" s="188" t="n"/>
      <c r="B147" s="189" t="n"/>
      <c r="C147" s="189" t="n"/>
      <c r="D147" s="189" t="n"/>
      <c r="E147" s="189" t="n"/>
      <c r="F147" s="189" t="n"/>
      <c r="G147" s="189" t="n"/>
      <c r="H147" s="189" t="n"/>
      <c r="I147" s="190" t="n"/>
    </row>
    <row r="148">
      <c r="A148" s="184" t="n"/>
      <c r="B148" s="185" t="n"/>
      <c r="C148" s="185" t="n"/>
      <c r="D148" s="185" t="n"/>
      <c r="E148" s="185" t="n"/>
      <c r="F148" s="185" t="n"/>
      <c r="G148" s="185" t="n"/>
      <c r="H148" s="185" t="n"/>
      <c r="I148" s="185" t="n"/>
    </row>
    <row r="149">
      <c r="A149" s="184" t="n"/>
      <c r="B149" s="185" t="n"/>
      <c r="C149" s="185" t="n"/>
      <c r="D149" s="185" t="n"/>
      <c r="E149" s="185" t="n"/>
      <c r="F149" s="185" t="n"/>
      <c r="G149" s="185" t="n"/>
      <c r="H149" s="185" t="n"/>
    </row>
    <row r="150">
      <c r="A150" s="184" t="n"/>
      <c r="B150" s="185" t="n"/>
      <c r="C150" s="185" t="n"/>
      <c r="D150" s="185" t="n"/>
      <c r="E150" s="185" t="n"/>
      <c r="F150" s="185" t="n"/>
      <c r="G150" s="185" t="n"/>
      <c r="H150" s="185" t="n"/>
    </row>
    <row r="151">
      <c r="A151" s="184" t="n"/>
      <c r="B151" s="185" t="n"/>
      <c r="C151" s="185" t="n"/>
      <c r="D151" s="185" t="n"/>
      <c r="E151" s="185" t="n"/>
      <c r="F151" s="185" t="n"/>
      <c r="G151" s="185" t="n"/>
      <c r="H151" s="185" t="n"/>
    </row>
    <row r="152">
      <c r="A152" s="184" t="n"/>
      <c r="B152" s="185" t="n"/>
      <c r="C152" s="185" t="n"/>
      <c r="D152" s="185" t="n"/>
      <c r="E152" s="185" t="n"/>
      <c r="F152" s="185" t="n"/>
      <c r="G152" s="185" t="n"/>
      <c r="H152" s="185" t="n"/>
    </row>
    <row r="153">
      <c r="A153" s="184" t="n"/>
      <c r="B153" s="185" t="n"/>
      <c r="C153" s="185" t="n"/>
      <c r="D153" s="185" t="n"/>
      <c r="E153" s="185" t="n"/>
      <c r="F153" s="185" t="n"/>
      <c r="G153" s="185" t="n"/>
      <c r="H153" s="185" t="n"/>
    </row>
    <row r="154">
      <c r="A154" s="184" t="n"/>
      <c r="B154" s="185" t="n"/>
      <c r="C154" s="185" t="n"/>
      <c r="D154" s="185" t="n"/>
      <c r="E154" s="185" t="n"/>
      <c r="F154" s="185" t="n"/>
      <c r="G154" s="185" t="n"/>
      <c r="H154" s="185" t="n"/>
    </row>
    <row r="155">
      <c r="A155" s="184" t="n"/>
      <c r="B155" s="185" t="n"/>
      <c r="C155" s="185" t="n"/>
      <c r="D155" s="185" t="n"/>
      <c r="E155" s="185" t="n"/>
      <c r="F155" s="185" t="n"/>
      <c r="G155" s="185" t="n"/>
      <c r="H155" s="185" t="n"/>
    </row>
    <row r="156">
      <c r="A156" s="184" t="n"/>
      <c r="B156" s="185" t="n"/>
      <c r="C156" s="185" t="n"/>
      <c r="D156" s="185" t="n"/>
      <c r="E156" s="185" t="n"/>
      <c r="F156" s="185" t="n"/>
      <c r="G156" s="185" t="n"/>
      <c r="H156" s="185" t="n"/>
    </row>
    <row r="157">
      <c r="A157" s="184" t="n"/>
      <c r="B157" s="185" t="n"/>
      <c r="C157" s="185" t="n"/>
      <c r="D157" s="185" t="n"/>
      <c r="E157" s="185" t="n"/>
      <c r="F157" s="185" t="n"/>
      <c r="G157" s="185" t="n"/>
      <c r="H157" s="185" t="n"/>
    </row>
    <row r="158">
      <c r="A158" s="184" t="n"/>
      <c r="B158" s="185" t="n"/>
      <c r="C158" s="185" t="n"/>
      <c r="D158" s="185" t="n"/>
      <c r="E158" s="185" t="n"/>
      <c r="F158" s="185" t="n"/>
      <c r="G158" s="185" t="n"/>
      <c r="H158" s="185" t="n"/>
    </row>
    <row r="159">
      <c r="A159" s="184" t="n"/>
      <c r="B159" s="185" t="n"/>
      <c r="C159" s="185" t="n"/>
      <c r="D159" s="185" t="n"/>
      <c r="E159" s="185" t="n"/>
      <c r="F159" s="185" t="n"/>
      <c r="G159" s="185" t="n"/>
      <c r="H159" s="185" t="n"/>
    </row>
    <row r="160">
      <c r="A160" s="184" t="n"/>
      <c r="B160" s="185" t="n"/>
      <c r="C160" s="185" t="n"/>
      <c r="D160" s="185" t="n"/>
      <c r="E160" s="185" t="n"/>
      <c r="F160" s="185" t="n"/>
      <c r="G160" s="185" t="n"/>
      <c r="H160" s="185" t="n"/>
    </row>
    <row r="161">
      <c r="A161" s="184" t="n"/>
      <c r="B161" s="185" t="n"/>
      <c r="C161" s="185" t="n"/>
      <c r="D161" s="185" t="n"/>
      <c r="E161" s="185" t="n"/>
      <c r="F161" s="185" t="n"/>
      <c r="G161" s="185" t="n"/>
      <c r="H161" s="185" t="n"/>
    </row>
    <row r="162">
      <c r="A162" s="184" t="n"/>
      <c r="B162" s="185" t="n"/>
      <c r="C162" s="185" t="n"/>
      <c r="D162" s="185" t="n"/>
      <c r="E162" s="185" t="n"/>
      <c r="F162" s="185" t="n"/>
      <c r="G162" s="185" t="n"/>
      <c r="H162" s="185" t="n"/>
    </row>
    <row r="163">
      <c r="A163" s="184" t="n"/>
      <c r="B163" s="185" t="n"/>
      <c r="C163" s="185" t="n"/>
      <c r="D163" s="185" t="n"/>
      <c r="E163" s="185" t="n"/>
      <c r="F163" s="185" t="n"/>
      <c r="G163" s="185" t="n"/>
      <c r="H163" s="185" t="n"/>
    </row>
    <row r="164">
      <c r="A164" s="184" t="n"/>
      <c r="B164" s="185" t="n"/>
      <c r="C164" s="185" t="n"/>
      <c r="D164" s="185" t="n"/>
      <c r="E164" s="185" t="n"/>
      <c r="F164" s="185" t="n"/>
      <c r="G164" s="185" t="n"/>
      <c r="H164" s="185" t="n"/>
    </row>
    <row r="165">
      <c r="A165" s="184" t="n"/>
      <c r="B165" s="185" t="n"/>
      <c r="C165" s="185" t="n"/>
      <c r="D165" s="185" t="n"/>
      <c r="E165" s="185" t="n"/>
      <c r="F165" s="185" t="n"/>
      <c r="G165" s="185" t="n"/>
      <c r="H165" s="185" t="n"/>
    </row>
    <row r="166">
      <c r="A166" s="184" t="n"/>
      <c r="B166" s="185" t="n"/>
      <c r="C166" s="185" t="n"/>
      <c r="D166" s="185" t="n"/>
      <c r="E166" s="185" t="n"/>
      <c r="F166" s="185" t="n"/>
      <c r="G166" s="185" t="n"/>
      <c r="H166" s="185" t="n"/>
    </row>
    <row r="167">
      <c r="A167" s="184" t="n"/>
      <c r="B167" s="185" t="n"/>
      <c r="C167" s="185" t="n"/>
      <c r="D167" s="185" t="n"/>
      <c r="E167" s="185" t="n"/>
      <c r="F167" s="185" t="n"/>
      <c r="G167" s="185" t="n"/>
      <c r="H167" s="185" t="n"/>
    </row>
    <row r="168">
      <c r="A168" s="184" t="n"/>
      <c r="B168" s="185" t="n"/>
      <c r="C168" s="185" t="n"/>
      <c r="D168" s="185" t="n"/>
      <c r="E168" s="185" t="n"/>
      <c r="F168" s="185" t="n"/>
      <c r="G168" s="185" t="n"/>
      <c r="H168" s="185" t="n"/>
    </row>
    <row r="169">
      <c r="A169" s="191" t="n"/>
    </row>
    <row r="170">
      <c r="A170" s="191" t="n"/>
    </row>
    <row r="171">
      <c r="A171" s="191" t="n"/>
    </row>
    <row r="172">
      <c r="A172" s="191" t="n"/>
    </row>
    <row r="173">
      <c r="A173" s="191" t="n"/>
    </row>
    <row r="174">
      <c r="A174" s="191" t="n"/>
    </row>
    <row r="175">
      <c r="A175" s="191" t="n"/>
    </row>
    <row r="176">
      <c r="A176" s="191" t="n"/>
    </row>
    <row r="177">
      <c r="A177" s="191" t="n"/>
    </row>
    <row r="178">
      <c r="A178" s="191" t="n"/>
    </row>
    <row r="179">
      <c r="A179" s="191" t="n"/>
    </row>
    <row r="180">
      <c r="A180" s="191" t="n"/>
    </row>
    <row r="181">
      <c r="A181" s="191" t="n"/>
    </row>
    <row r="182">
      <c r="A182" s="191" t="n"/>
    </row>
    <row r="183">
      <c r="A183" s="191" t="n"/>
    </row>
    <row r="184">
      <c r="A184" s="191" t="n"/>
    </row>
    <row r="185">
      <c r="A185" s="191" t="n"/>
    </row>
    <row r="186">
      <c r="A186" s="191" t="n"/>
    </row>
    <row r="187">
      <c r="A187" s="191" t="n"/>
    </row>
    <row r="188">
      <c r="A188" s="191" t="n"/>
    </row>
    <row r="189">
      <c r="A189" s="191" t="n"/>
    </row>
    <row r="190">
      <c r="A190" s="191" t="n"/>
    </row>
    <row r="191">
      <c r="A191" s="191" t="n"/>
    </row>
    <row r="192">
      <c r="A192" s="191" t="n"/>
    </row>
    <row r="193">
      <c r="A193" s="191" t="n"/>
    </row>
    <row r="198" ht="16" customHeight="1"/>
    <row r="205" ht="16" customHeight="1"/>
  </sheetData>
  <mergeCells count="44">
    <mergeCell ref="A65:I65"/>
    <mergeCell ref="C61:I61"/>
    <mergeCell ref="D13:F13"/>
    <mergeCell ref="G13:I13"/>
    <mergeCell ref="A46:I46"/>
    <mergeCell ref="B54:I54"/>
    <mergeCell ref="A66:I66"/>
    <mergeCell ref="B8:D8"/>
    <mergeCell ref="A45:B45"/>
    <mergeCell ref="A47:I50"/>
    <mergeCell ref="A12:I12"/>
    <mergeCell ref="B43:C43"/>
    <mergeCell ref="B56:I56"/>
    <mergeCell ref="D43:I43"/>
    <mergeCell ref="A57:I57"/>
    <mergeCell ref="B52:I52"/>
    <mergeCell ref="A71:I71"/>
    <mergeCell ref="A5:I5"/>
    <mergeCell ref="B42:C42"/>
    <mergeCell ref="B9:D9"/>
    <mergeCell ref="A62:I62"/>
    <mergeCell ref="B6:D6"/>
    <mergeCell ref="C58:I58"/>
    <mergeCell ref="A72:I72"/>
    <mergeCell ref="B44:C44"/>
    <mergeCell ref="B53:I53"/>
    <mergeCell ref="D42:I42"/>
    <mergeCell ref="A63:I63"/>
    <mergeCell ref="A68:I68"/>
    <mergeCell ref="A10:I10"/>
    <mergeCell ref="A1:I4"/>
    <mergeCell ref="A13:C13"/>
    <mergeCell ref="A67:I67"/>
    <mergeCell ref="D44:I44"/>
    <mergeCell ref="B7:D7"/>
    <mergeCell ref="A64:I64"/>
    <mergeCell ref="A51:I51"/>
    <mergeCell ref="A11:I11"/>
    <mergeCell ref="B55:I55"/>
    <mergeCell ref="C59:I59"/>
    <mergeCell ref="A70:I70"/>
    <mergeCell ref="D45:I45"/>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27"/>
  <rowBreaks count="1" manualBreakCount="1">
    <brk id="71" min="0" max="8" man="1"/>
  </rowBreaks>
</worksheet>
</file>

<file path=xl/worksheets/sheet24.xml><?xml version="1.0" encoding="utf-8"?>
<worksheet xmlns="http://schemas.openxmlformats.org/spreadsheetml/2006/main">
  <sheetPr>
    <outlinePr summaryBelow="1" summaryRight="1"/>
    <pageSetUpPr fitToPage="1"/>
  </sheetPr>
  <dimension ref="A1:K193"/>
  <sheetViews>
    <sheetView view="pageBreakPreview" zoomScale="40" zoomScaleNormal="55" zoomScaleSheetLayoutView="40" workbookViewId="0">
      <selection activeCell="I6" sqref="I6"/>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45958</v>
      </c>
    </row>
    <row r="7" ht="23.25" customHeight="1">
      <c r="A7" s="80" t="inlineStr">
        <is>
          <t>Project Location:</t>
        </is>
      </c>
      <c r="B7" s="318" t="inlineStr">
        <is>
          <t>Geraldton</t>
        </is>
      </c>
      <c r="E7" s="318" t="n"/>
      <c r="F7" s="82" t="n"/>
      <c r="G7" s="82" t="n"/>
      <c r="H7" s="200" t="inlineStr">
        <is>
          <t>Day:</t>
        </is>
      </c>
      <c r="I7" s="84">
        <f>DAY(I6+3)</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f t="array" ref="B9">RIGHT(CELL("filename",A1),LEN(CELL("filename",A1))-FIND("]",CELL("filename",A1)))</f>
        <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17-290C,  Wind:  29 km/h SSW, Precip: 0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c r="G15" s="102" t="inlineStr">
        <is>
          <t>McAuliffe, Daniel</t>
        </is>
      </c>
      <c r="H15" s="98" t="inlineStr">
        <is>
          <t>Operator</t>
        </is>
      </c>
      <c r="I15" s="103" t="n">
        <v>10</v>
      </c>
    </row>
    <row r="16" ht="23.25" customHeight="1">
      <c r="A16" s="104" t="inlineStr">
        <is>
          <t>GRIFFITHS, Daniel</t>
        </is>
      </c>
      <c r="B16" s="105" t="inlineStr">
        <is>
          <t>Project Manager</t>
        </is>
      </c>
      <c r="C16" s="106" t="n">
        <v>12</v>
      </c>
      <c r="D16" s="107" t="inlineStr">
        <is>
          <t>McGahon,Aideen</t>
        </is>
      </c>
      <c r="E16" s="105" t="inlineStr">
        <is>
          <t>Operator</t>
        </is>
      </c>
      <c r="F16" s="108" t="n">
        <v>12</v>
      </c>
      <c r="G16" s="109" t="inlineStr">
        <is>
          <t>Mosley,Joshua</t>
        </is>
      </c>
      <c r="H16" s="105" t="inlineStr">
        <is>
          <t>Surveyor</t>
        </is>
      </c>
      <c r="I16" s="110" t="n">
        <v>3</v>
      </c>
    </row>
    <row r="17" ht="23.25" customHeight="1">
      <c r="A17" s="104" t="inlineStr">
        <is>
          <t>O"SHEA, John</t>
        </is>
      </c>
      <c r="B17" s="105" t="inlineStr">
        <is>
          <t>Senior Project Engineer</t>
        </is>
      </c>
      <c r="C17" s="106" t="n"/>
      <c r="D17" s="107" t="n"/>
      <c r="E17" s="105" t="n"/>
      <c r="F17" s="108" t="n"/>
      <c r="G17" s="109" t="inlineStr">
        <is>
          <t>Keady, Brendan</t>
        </is>
      </c>
      <c r="H17" s="105" t="inlineStr">
        <is>
          <t>Operator</t>
        </is>
      </c>
      <c r="I17" s="110" t="n">
        <v>12</v>
      </c>
    </row>
    <row r="18" ht="23.25" customHeight="1">
      <c r="A18" s="104" t="inlineStr">
        <is>
          <t>GRIFFITHS, Ashley</t>
        </is>
      </c>
      <c r="B18" s="105" t="inlineStr">
        <is>
          <t>Supervisor</t>
        </is>
      </c>
      <c r="C18" s="106" t="n"/>
      <c r="D18" s="111" t="n"/>
      <c r="E18" s="112" t="n"/>
      <c r="F18" s="108" t="n"/>
      <c r="G18" s="109" t="inlineStr">
        <is>
          <t>Griffiths, Jaquai</t>
        </is>
      </c>
      <c r="H18" s="105" t="inlineStr">
        <is>
          <t>Operator</t>
        </is>
      </c>
      <c r="I18" s="110" t="n"/>
    </row>
    <row r="19" ht="23.25" customHeight="1">
      <c r="A19" s="104" t="inlineStr">
        <is>
          <t>THOMPSON,Cheryl</t>
        </is>
      </c>
      <c r="B19" s="105" t="inlineStr">
        <is>
          <t>HSET</t>
        </is>
      </c>
      <c r="C19" s="106" t="n"/>
      <c r="D19" s="111" t="n"/>
      <c r="E19" s="112" t="n"/>
      <c r="F19" s="108" t="n"/>
      <c r="G19" s="109" t="inlineStr">
        <is>
          <t>McConnell, Adam</t>
        </is>
      </c>
      <c r="H19" s="105" t="inlineStr">
        <is>
          <t>Labourer</t>
        </is>
      </c>
      <c r="I19" s="110" t="n">
        <v>12</v>
      </c>
    </row>
    <row r="20" ht="23.25" customHeight="1">
      <c r="A20" s="104" t="inlineStr">
        <is>
          <t>SKINNER,Jamie</t>
        </is>
      </c>
      <c r="B20" s="105" t="inlineStr">
        <is>
          <t>Supervisor</t>
        </is>
      </c>
      <c r="C20" s="106" t="n">
        <v>12</v>
      </c>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v>12</v>
      </c>
      <c r="D21" s="111" t="n"/>
      <c r="E21" s="112" t="n"/>
      <c r="F21" s="108" t="n"/>
      <c r="G21" s="109" t="inlineStr">
        <is>
          <t>Kerbers</t>
        </is>
      </c>
      <c r="H21" s="105" t="inlineStr">
        <is>
          <t>Kerbers</t>
        </is>
      </c>
      <c r="I21" s="110" t="n">
        <v>20</v>
      </c>
    </row>
    <row r="22" ht="23.25" customHeight="1">
      <c r="A22" s="104" t="inlineStr">
        <is>
          <t>JOGI, Amit</t>
        </is>
      </c>
      <c r="B22" s="105" t="inlineStr">
        <is>
          <t>Project Engineer</t>
        </is>
      </c>
      <c r="C22" s="106" t="n">
        <v>12</v>
      </c>
      <c r="D22" s="111" t="n"/>
      <c r="E22" s="112" t="n"/>
      <c r="F22" s="108" t="n"/>
      <c r="G22" s="109" t="inlineStr">
        <is>
          <t>Superstruct</t>
        </is>
      </c>
      <c r="H22" s="105" t="inlineStr">
        <is>
          <t>Concereters</t>
        </is>
      </c>
      <c r="I22" s="110" t="n">
        <v>3</v>
      </c>
    </row>
    <row r="23" ht="23.25" customHeight="1">
      <c r="A23" s="104" t="n"/>
      <c r="B23" s="105" t="n"/>
      <c r="C23" s="106" t="n"/>
      <c r="D23" s="111" t="n"/>
      <c r="E23" s="112" t="n"/>
      <c r="F23" s="108" t="n"/>
      <c r="G23" s="109" t="inlineStr">
        <is>
          <t>ATCO Gas</t>
        </is>
      </c>
      <c r="H23" s="105" t="inlineStr">
        <is>
          <t>Local Authority</t>
        </is>
      </c>
      <c r="I23" s="110" t="n">
        <v>40</v>
      </c>
    </row>
    <row r="24" ht="23.25" customHeight="1" thickBot="1">
      <c r="A24" s="113" t="n"/>
      <c r="B24" s="114" t="n"/>
      <c r="C24" s="115" t="n"/>
      <c r="D24" s="116" t="n"/>
      <c r="E24" s="117" t="n"/>
      <c r="F24" s="118" t="n"/>
      <c r="G24" s="119" t="inlineStr">
        <is>
          <t>Pavers</t>
        </is>
      </c>
      <c r="H24" s="114" t="inlineStr">
        <is>
          <t>Pavers</t>
        </is>
      </c>
      <c r="I24" s="120" t="n">
        <v>18</v>
      </c>
    </row>
    <row r="25" ht="23.25" customHeight="1" thickTop="1">
      <c r="A25" s="121" t="n"/>
      <c r="B25" s="122" t="n"/>
      <c r="C25" s="123" t="n"/>
      <c r="D25" s="124" t="n"/>
      <c r="E25" s="125" t="n"/>
      <c r="F25" s="126" t="n"/>
      <c r="G25" s="127" t="n"/>
      <c r="H25" s="128" t="n"/>
      <c r="I25" s="129" t="n"/>
    </row>
    <row r="26" ht="23.25" customHeight="1">
      <c r="A26" s="130" t="inlineStr">
        <is>
          <t xml:space="preserve">Total Indirect Personnel onsite: </t>
        </is>
      </c>
      <c r="B26" s="180">
        <f>COUNT(C15:C24)</f>
        <v/>
      </c>
      <c r="C26" s="106" t="n"/>
      <c r="D26" s="132" t="inlineStr">
        <is>
          <t xml:space="preserve">Total Direct Personnel onsite:  </t>
        </is>
      </c>
      <c r="E26" s="180">
        <f>COUNT(F15:F24)</f>
        <v/>
      </c>
      <c r="F26" s="108" t="n"/>
      <c r="G26" s="133" t="inlineStr">
        <is>
          <t>Total Subcontractor on-site:</t>
        </is>
      </c>
      <c r="H26" s="180">
        <f>COUNT(I15:I24)</f>
        <v/>
      </c>
      <c r="I26" s="110" t="n"/>
    </row>
    <row r="27" ht="23.25" customHeight="1">
      <c r="A27" s="130" t="inlineStr">
        <is>
          <t xml:space="preserve">Total Indirect Personnel hours: </t>
        </is>
      </c>
      <c r="B27" s="180">
        <f>SUM(C15:C22)</f>
        <v/>
      </c>
      <c r="C27" s="134" t="n"/>
      <c r="D27" s="132" t="inlineStr">
        <is>
          <t xml:space="preserve">Total Direct Personnel hours: </t>
        </is>
      </c>
      <c r="E27" s="180">
        <f>SUM(F15:F16)</f>
        <v/>
      </c>
      <c r="F27" s="135" t="n"/>
      <c r="G27" s="133" t="inlineStr">
        <is>
          <t>Total Subcontractor hours:</t>
        </is>
      </c>
      <c r="H27" s="180">
        <f>SUM(I11:I24)</f>
        <v/>
      </c>
      <c r="I27" s="272" t="n"/>
    </row>
    <row r="28" ht="23.25" customHeight="1">
      <c r="A28" s="130" t="n"/>
      <c r="B28" s="131" t="n"/>
      <c r="C28" s="134" t="n"/>
      <c r="D28" s="132" t="n"/>
      <c r="E28" s="131" t="n"/>
      <c r="F28" s="137" t="n"/>
      <c r="G28" s="133" t="n"/>
      <c r="H28" s="131" t="n"/>
      <c r="I28" s="272" t="n"/>
    </row>
    <row r="29" ht="25" customHeight="1">
      <c r="A29" s="138" t="inlineStr">
        <is>
          <t>PLANT &amp; EQUIPMENT</t>
        </is>
      </c>
      <c r="B29" s="139" t="n"/>
      <c r="C29" s="139" t="n"/>
      <c r="D29" s="139" t="n"/>
      <c r="E29" s="139" t="n"/>
      <c r="F29" s="139" t="n"/>
      <c r="G29" s="139" t="n"/>
      <c r="H29" s="139" t="n"/>
      <c r="I29" s="140" t="n"/>
    </row>
    <row r="30" ht="24" customHeight="1" thickBot="1">
      <c r="A30" s="141" t="inlineStr">
        <is>
          <t>Plant</t>
        </is>
      </c>
      <c r="B30" s="142" t="inlineStr">
        <is>
          <t>ID</t>
        </is>
      </c>
      <c r="C30" s="143" t="inlineStr">
        <is>
          <t>Hrs</t>
        </is>
      </c>
      <c r="D30" s="144" t="inlineStr">
        <is>
          <t xml:space="preserve"> Vehicles</t>
        </is>
      </c>
      <c r="E30" s="142" t="inlineStr">
        <is>
          <t>ID</t>
        </is>
      </c>
      <c r="F30" s="145" t="inlineStr">
        <is>
          <t>QTY</t>
        </is>
      </c>
      <c r="G30" s="146" t="inlineStr">
        <is>
          <t>Site Facilities</t>
        </is>
      </c>
      <c r="H30" s="147" t="inlineStr">
        <is>
          <t>ID</t>
        </is>
      </c>
      <c r="I30" s="148" t="inlineStr">
        <is>
          <t>Qty</t>
        </is>
      </c>
    </row>
    <row r="31" ht="23.25" customHeight="1" thickTop="1">
      <c r="A31" s="97" t="inlineStr">
        <is>
          <t>Komatsu WA320</t>
        </is>
      </c>
      <c r="B31" s="98" t="inlineStr">
        <is>
          <t>FWL18</t>
        </is>
      </c>
      <c r="C31" s="149" t="n">
        <v>4</v>
      </c>
      <c r="D31" s="150" t="inlineStr">
        <is>
          <t>Hilux</t>
        </is>
      </c>
      <c r="E31" s="151" t="inlineStr">
        <is>
          <t>DLV90</t>
        </is>
      </c>
      <c r="F31" s="152" t="n">
        <v>1</v>
      </c>
      <c r="G31" s="153" t="inlineStr">
        <is>
          <t>Office 40ft</t>
        </is>
      </c>
      <c r="H31" s="151" t="n">
        <v>9255540</v>
      </c>
      <c r="I31" s="103" t="n">
        <v>1</v>
      </c>
    </row>
    <row r="32" ht="23.25" customHeight="1">
      <c r="A32" s="104" t="inlineStr">
        <is>
          <t>Wacker Neuson DPU</t>
        </is>
      </c>
      <c r="B32" s="105" t="inlineStr">
        <is>
          <t>DPC15</t>
        </is>
      </c>
      <c r="C32" s="154" t="n"/>
      <c r="D32" s="155" t="inlineStr">
        <is>
          <t>Hilux</t>
        </is>
      </c>
      <c r="E32" s="156" t="inlineStr">
        <is>
          <t>1DLV04</t>
        </is>
      </c>
      <c r="F32" s="157" t="n">
        <v>1</v>
      </c>
      <c r="G32" s="158" t="inlineStr">
        <is>
          <t>Sea Container 20ft</t>
        </is>
      </c>
      <c r="H32" s="105" t="n">
        <v>951200</v>
      </c>
      <c r="I32" s="110" t="n">
        <v>1</v>
      </c>
    </row>
    <row r="33" ht="23.25" customHeight="1">
      <c r="A33" s="159" t="inlineStr">
        <is>
          <t>Watercart</t>
        </is>
      </c>
      <c r="B33" s="156" t="inlineStr">
        <is>
          <t>WC119</t>
        </is>
      </c>
      <c r="C33" s="154" t="n">
        <v>6</v>
      </c>
      <c r="D33" s="155" t="n"/>
      <c r="E33" s="105" t="n"/>
      <c r="F33" s="157" t="n"/>
      <c r="G33" s="158" t="inlineStr">
        <is>
          <t>Site Sentry Tower</t>
        </is>
      </c>
      <c r="H33" s="156" t="n"/>
      <c r="I33" s="110" t="n">
        <v>2</v>
      </c>
    </row>
    <row r="34" ht="23.25" customHeight="1">
      <c r="A34" s="159" t="inlineStr">
        <is>
          <t>8T Excavator</t>
        </is>
      </c>
      <c r="B34" s="160" t="inlineStr">
        <is>
          <t>AMG 014</t>
        </is>
      </c>
      <c r="C34" s="154" t="n"/>
      <c r="D34" s="155" t="n"/>
      <c r="E34" s="156" t="n"/>
      <c r="F34" s="157" t="n"/>
      <c r="G34" s="158" t="inlineStr">
        <is>
          <t>Skip Bin</t>
        </is>
      </c>
      <c r="H34" s="156" t="n"/>
      <c r="I34" s="110" t="n">
        <v>1</v>
      </c>
    </row>
    <row r="35" ht="23.25" customHeight="1">
      <c r="A35" s="159" t="inlineStr">
        <is>
          <t>Mini Tipper</t>
        </is>
      </c>
      <c r="B35" s="156" t="inlineStr">
        <is>
          <t>SLS05</t>
        </is>
      </c>
      <c r="C35" s="106" t="n">
        <v>9</v>
      </c>
      <c r="D35" s="155" t="n"/>
      <c r="E35" s="156" t="n"/>
      <c r="F35" s="157" t="n"/>
      <c r="G35" s="158" t="inlineStr">
        <is>
          <t>Hydrocarbon Bund</t>
        </is>
      </c>
      <c r="H35" s="156" t="n"/>
      <c r="I35" s="110" t="n">
        <v>1</v>
      </c>
    </row>
    <row r="36" ht="23.25" customHeight="1">
      <c r="A36" s="159" t="inlineStr">
        <is>
          <t>1 t Excavator</t>
        </is>
      </c>
      <c r="B36" s="156" t="inlineStr">
        <is>
          <t>SLS03</t>
        </is>
      </c>
      <c r="C36" s="106" t="n">
        <v>5</v>
      </c>
      <c r="D36" s="155" t="n"/>
      <c r="E36" s="156" t="n"/>
      <c r="F36" s="157" t="n"/>
      <c r="G36" s="158" t="inlineStr">
        <is>
          <t>Temp Fence</t>
        </is>
      </c>
      <c r="H36" s="105" t="n"/>
      <c r="I36" s="110" t="n">
        <v>1</v>
      </c>
    </row>
    <row r="37" ht="23.25" customHeight="1">
      <c r="A37" s="159" t="inlineStr">
        <is>
          <t>8T Excavator (Wheeled)</t>
        </is>
      </c>
      <c r="B37" s="156" t="inlineStr">
        <is>
          <t>BCC12</t>
        </is>
      </c>
      <c r="C37" s="106" t="n">
        <v>3</v>
      </c>
      <c r="D37" s="155" t="n"/>
      <c r="E37" s="156" t="n"/>
      <c r="F37" s="157" t="n"/>
      <c r="G37" s="158" t="n"/>
      <c r="H37" s="105" t="n"/>
      <c r="I37" s="110" t="n"/>
    </row>
    <row r="38" ht="24" customHeight="1">
      <c r="A38" s="159" t="inlineStr">
        <is>
          <t>14t Excavator with GPS</t>
        </is>
      </c>
      <c r="B38" s="156" t="inlineStr">
        <is>
          <t>EX197</t>
        </is>
      </c>
      <c r="C38" s="106" t="n">
        <v>11</v>
      </c>
      <c r="D38" s="155" t="n"/>
      <c r="E38" s="156" t="n"/>
      <c r="F38" s="157" t="n"/>
      <c r="G38" s="161" t="n"/>
      <c r="H38" s="162" t="n"/>
      <c r="I38" s="163" t="n"/>
    </row>
    <row r="39" ht="24" customHeight="1">
      <c r="A39" s="159" t="inlineStr">
        <is>
          <t>Positrak SSL</t>
        </is>
      </c>
      <c r="B39" s="156" t="inlineStr">
        <is>
          <t>SSL08</t>
        </is>
      </c>
      <c r="C39" s="154" t="n"/>
      <c r="D39" s="155" t="n"/>
      <c r="E39" s="156" t="n"/>
      <c r="F39" s="157" t="n"/>
      <c r="G39" s="161" t="n"/>
      <c r="H39" s="162" t="n"/>
      <c r="I39" s="163" t="n"/>
    </row>
    <row r="40" ht="24" customHeight="1">
      <c r="A40" s="159" t="n"/>
      <c r="B40" s="156" t="n"/>
      <c r="C40" s="106" t="n"/>
      <c r="D40" s="155" t="n"/>
      <c r="E40" s="156" t="n"/>
      <c r="F40" s="157" t="n"/>
      <c r="G40" s="161" t="n"/>
      <c r="H40" s="162" t="n"/>
      <c r="I40" s="163" t="n"/>
    </row>
    <row r="41" ht="24" customHeight="1" thickBot="1">
      <c r="A41" s="159" t="n"/>
      <c r="B41" s="156" t="n"/>
      <c r="C41" s="154" t="n"/>
      <c r="D41" s="167" t="n"/>
      <c r="E41" s="168" t="n"/>
      <c r="F41" s="169" t="n"/>
      <c r="G41" s="170" t="n"/>
      <c r="H41" s="168" t="n"/>
      <c r="I41" s="171" t="n"/>
    </row>
    <row r="42" ht="18" customHeight="1" thickTop="1">
      <c r="A42" s="172" t="n">
        <v>0</v>
      </c>
      <c r="B42" s="294" t="inlineStr">
        <is>
          <t xml:space="preserve">Repairs Required </t>
        </is>
      </c>
      <c r="C42" s="360" t="n"/>
      <c r="D42" s="323" t="inlineStr">
        <is>
          <t>NA</t>
        </is>
      </c>
      <c r="E42" s="361" t="n"/>
      <c r="F42" s="361" t="n"/>
      <c r="G42" s="361" t="n"/>
      <c r="H42" s="361" t="n"/>
      <c r="I42" s="362" t="n"/>
    </row>
    <row r="43" ht="18" customHeight="1">
      <c r="A43" s="173" t="n">
        <v>0</v>
      </c>
      <c r="B43" s="299" t="inlineStr">
        <is>
          <t>Scheduled Service</t>
        </is>
      </c>
      <c r="C43" s="219" t="n"/>
      <c r="D43" s="326" t="inlineStr">
        <is>
          <t>NA</t>
        </is>
      </c>
      <c r="E43" s="218" t="n"/>
      <c r="F43" s="218" t="n"/>
      <c r="G43" s="218" t="n"/>
      <c r="H43" s="218" t="n"/>
      <c r="I43" s="222" t="n"/>
    </row>
    <row r="44" ht="18" customHeight="1" thickBot="1">
      <c r="A44" s="174" t="n">
        <v>0</v>
      </c>
      <c r="B44" s="302" t="inlineStr">
        <is>
          <t>Repairs Required but Operable</t>
        </is>
      </c>
      <c r="C44" s="363" t="n"/>
      <c r="D44" s="329" t="inlineStr">
        <is>
          <t>NA</t>
        </is>
      </c>
      <c r="E44" s="364" t="n"/>
      <c r="F44" s="364" t="n"/>
      <c r="G44" s="364" t="n"/>
      <c r="H44" s="364" t="n"/>
      <c r="I44" s="365" t="n"/>
    </row>
    <row r="45" ht="23.25" customHeight="1" thickTop="1">
      <c r="A45" s="273" t="inlineStr">
        <is>
          <t xml:space="preserve">Total Plant and Equipment Hours: </t>
        </is>
      </c>
      <c r="B45" s="366" t="n"/>
      <c r="C45" s="175">
        <f>SUM(C31:C41)</f>
        <v/>
      </c>
      <c r="D45" s="275" t="n"/>
      <c r="E45" s="208" t="n"/>
      <c r="F45" s="208" t="n"/>
      <c r="G45" s="208" t="n"/>
      <c r="H45" s="208" t="n"/>
      <c r="I45" s="216" t="n"/>
    </row>
    <row r="46" ht="25" customHeight="1">
      <c r="A46" s="251" t="inlineStr">
        <is>
          <t>DELAYS-OPPORTUNITY</t>
        </is>
      </c>
      <c r="B46" s="218" t="n"/>
      <c r="C46" s="218" t="n"/>
      <c r="D46" s="218" t="n"/>
      <c r="E46" s="218" t="n"/>
      <c r="F46" s="218" t="n"/>
      <c r="G46" s="218" t="n"/>
      <c r="H46" s="218" t="n"/>
      <c r="I46" s="222" t="n"/>
    </row>
    <row r="47" ht="69" customHeight="1" thickBot="1">
      <c r="A47" s="337"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7" s="225" t="n"/>
      <c r="C47" s="225" t="n"/>
      <c r="D47" s="225" t="n"/>
      <c r="E47" s="225" t="n"/>
      <c r="F47" s="225" t="n"/>
      <c r="G47" s="225" t="n"/>
      <c r="H47" s="225" t="n"/>
      <c r="I47" s="226" t="n"/>
    </row>
    <row r="48" ht="36" customHeight="1">
      <c r="A48" s="212" t="n"/>
      <c r="I48" s="214" t="n"/>
    </row>
    <row r="49" ht="75.5" customHeight="1" thickBot="1">
      <c r="A49" s="212" t="n"/>
      <c r="I49" s="214" t="n"/>
    </row>
    <row r="50" hidden="1" ht="84" customHeight="1" thickBot="1">
      <c r="A50" s="235" t="n"/>
      <c r="B50" s="236" t="n"/>
      <c r="C50" s="236" t="n"/>
      <c r="D50" s="236" t="n"/>
      <c r="E50" s="236" t="n"/>
      <c r="F50" s="236" t="n"/>
      <c r="G50" s="236" t="n"/>
      <c r="H50" s="236" t="n"/>
      <c r="I50" s="237" t="n"/>
    </row>
    <row r="51" ht="25" customHeight="1">
      <c r="A51" s="260" t="inlineStr">
        <is>
          <t>HSEQ MESSAGES</t>
        </is>
      </c>
      <c r="B51" s="239" t="n"/>
      <c r="C51" s="239" t="n"/>
      <c r="D51" s="239" t="n"/>
      <c r="E51" s="239" t="n"/>
      <c r="F51" s="239" t="n"/>
      <c r="G51" s="239" t="n"/>
      <c r="H51" s="239" t="n"/>
      <c r="I51" s="240" t="n"/>
    </row>
    <row r="52" ht="20" customHeight="1">
      <c r="A52" s="176" t="inlineStr">
        <is>
          <t>TCD - Monthly Safety Focus:</t>
        </is>
      </c>
      <c r="B52" s="285" t="inlineStr">
        <is>
          <t>Prestart Checks</t>
        </is>
      </c>
      <c r="C52" s="218" t="n"/>
      <c r="D52" s="218" t="n"/>
      <c r="E52" s="218" t="n"/>
      <c r="F52" s="218" t="n"/>
      <c r="G52" s="218" t="n"/>
      <c r="H52" s="218" t="n"/>
      <c r="I52" s="219" t="n"/>
    </row>
    <row r="53" ht="20" customHeight="1">
      <c r="A53" s="176" t="inlineStr">
        <is>
          <t>TCD - Daily Safety Focus:</t>
        </is>
      </c>
      <c r="B53" s="270" t="inlineStr">
        <is>
          <t>Positive communications</t>
        </is>
      </c>
      <c r="C53" s="218" t="n"/>
      <c r="D53" s="218" t="n"/>
      <c r="E53" s="218" t="n"/>
      <c r="F53" s="218" t="n"/>
      <c r="G53" s="218" t="n"/>
      <c r="H53" s="218" t="n"/>
      <c r="I53" s="222" t="n"/>
    </row>
    <row r="54" ht="20" customHeight="1">
      <c r="A54" s="177" t="inlineStr">
        <is>
          <t xml:space="preserve">Hazards Reported: </t>
        </is>
      </c>
      <c r="B54" s="270" t="inlineStr">
        <is>
          <t>Nil</t>
        </is>
      </c>
      <c r="C54" s="218" t="n"/>
      <c r="D54" s="218" t="n"/>
      <c r="E54" s="218" t="n"/>
      <c r="F54" s="218" t="n"/>
      <c r="G54" s="218" t="n"/>
      <c r="H54" s="218" t="n"/>
      <c r="I54" s="222" t="n"/>
    </row>
    <row r="55" ht="20" customHeight="1">
      <c r="A55" s="177" t="inlineStr">
        <is>
          <t>Incident Free Days</t>
        </is>
      </c>
      <c r="B55" s="367" t="n">
        <v>25</v>
      </c>
      <c r="C55" s="218" t="n"/>
      <c r="D55" s="218" t="n"/>
      <c r="E55" s="218" t="n"/>
      <c r="F55" s="218" t="n"/>
      <c r="G55" s="218" t="n"/>
      <c r="H55" s="218" t="n"/>
      <c r="I55" s="222" t="n"/>
    </row>
    <row r="56" ht="20" customHeight="1">
      <c r="A56" s="178" t="inlineStr">
        <is>
          <t>Other Notes</t>
        </is>
      </c>
      <c r="B56" s="271" t="inlineStr">
        <is>
          <t>NA</t>
        </is>
      </c>
      <c r="C56" s="225" t="n"/>
      <c r="D56" s="225" t="n"/>
      <c r="E56" s="225" t="n"/>
      <c r="F56" s="225" t="n"/>
      <c r="G56" s="225" t="n"/>
      <c r="H56" s="225" t="n"/>
      <c r="I56" s="226" t="n"/>
    </row>
    <row r="57" ht="20.25" customHeight="1">
      <c r="A57" s="251" t="inlineStr">
        <is>
          <t xml:space="preserve">INCIDENTS &amp; REPORTS </t>
        </is>
      </c>
      <c r="B57" s="218" t="n"/>
      <c r="C57" s="218" t="n"/>
      <c r="D57" s="218" t="n"/>
      <c r="E57" s="218" t="n"/>
      <c r="F57" s="218" t="n"/>
      <c r="G57" s="218" t="n"/>
      <c r="H57" s="218" t="n"/>
      <c r="I57" s="222" t="n"/>
    </row>
    <row r="58" ht="20" customHeight="1">
      <c r="A58" s="179" t="n"/>
      <c r="B58" s="180" t="inlineStr">
        <is>
          <t>QTY</t>
        </is>
      </c>
      <c r="C58" s="272" t="inlineStr">
        <is>
          <t>Comments</t>
        </is>
      </c>
      <c r="D58" s="218" t="n"/>
      <c r="E58" s="218" t="n"/>
      <c r="F58" s="218" t="n"/>
      <c r="G58" s="218" t="n"/>
      <c r="H58" s="218" t="n"/>
      <c r="I58" s="222" t="n"/>
    </row>
    <row r="59" ht="20" customHeight="1">
      <c r="A59" s="130" t="inlineStr">
        <is>
          <t>INCIDENT</t>
        </is>
      </c>
      <c r="B59" s="105" t="n">
        <v>0</v>
      </c>
      <c r="C59" s="254" t="inlineStr">
        <is>
          <t>NA</t>
        </is>
      </c>
      <c r="D59" s="225" t="n"/>
      <c r="E59" s="225" t="n"/>
      <c r="F59" s="225" t="n"/>
      <c r="G59" s="225" t="n"/>
      <c r="H59" s="225" t="n"/>
      <c r="I59" s="226" t="n"/>
    </row>
    <row r="60" ht="20" customHeight="1">
      <c r="A60" s="196" t="inlineStr">
        <is>
          <t>IR</t>
        </is>
      </c>
      <c r="B60" s="114" t="n">
        <v>0</v>
      </c>
      <c r="C60" s="254" t="inlineStr">
        <is>
          <t>NA</t>
        </is>
      </c>
      <c r="D60" s="225" t="n"/>
      <c r="E60" s="225" t="n"/>
      <c r="F60" s="225" t="n"/>
      <c r="G60" s="225" t="n"/>
      <c r="H60" s="225" t="n"/>
      <c r="I60" s="226" t="n"/>
    </row>
    <row r="61" ht="20" customHeight="1" thickBot="1">
      <c r="A61" s="197" t="inlineStr">
        <is>
          <t>NCR</t>
        </is>
      </c>
      <c r="B61" s="198" t="n">
        <v>0</v>
      </c>
      <c r="C61" s="257" t="inlineStr">
        <is>
          <t>NA</t>
        </is>
      </c>
      <c r="D61" s="248" t="n"/>
      <c r="E61" s="248" t="n"/>
      <c r="F61" s="248" t="n"/>
      <c r="G61" s="248" t="n"/>
      <c r="H61" s="248" t="n"/>
      <c r="I61" s="249" t="n"/>
    </row>
    <row r="62" ht="20.25" customHeight="1">
      <c r="A62" s="260" t="inlineStr">
        <is>
          <t>COMMUNICATIONS</t>
        </is>
      </c>
      <c r="B62" s="239" t="n"/>
      <c r="C62" s="239" t="n"/>
      <c r="D62" s="239" t="n"/>
      <c r="E62" s="239" t="n"/>
      <c r="F62" s="239" t="n"/>
      <c r="G62" s="239" t="n"/>
      <c r="H62" s="239" t="n"/>
      <c r="I62" s="240" t="n"/>
    </row>
    <row r="63" ht="25" customHeight="1">
      <c r="A63" s="263" t="inlineStr">
        <is>
          <t>TGS MB1119-05 Scheme D implemented</t>
        </is>
      </c>
      <c r="B63" s="218" t="n"/>
      <c r="C63" s="218" t="n"/>
      <c r="D63" s="218" t="n"/>
      <c r="E63" s="218" t="n"/>
      <c r="F63" s="218" t="n"/>
      <c r="G63" s="218" t="n"/>
      <c r="H63" s="218" t="n"/>
      <c r="I63" s="222" t="n"/>
    </row>
    <row r="64" ht="25" customHeight="1">
      <c r="A64" s="251" t="inlineStr">
        <is>
          <t>PRODUCTION (CONSTRUCTION STATUS &amp; PROGRESS)</t>
        </is>
      </c>
      <c r="B64" s="218" t="n"/>
      <c r="C64" s="218" t="n"/>
      <c r="D64" s="218" t="n"/>
      <c r="E64" s="218" t="n"/>
      <c r="F64" s="218" t="n"/>
      <c r="G64" s="218" t="n"/>
      <c r="H64" s="218" t="n"/>
      <c r="I64" s="222" t="n"/>
    </row>
    <row r="65" ht="20" customHeight="1">
      <c r="A65" s="319" t="inlineStr">
        <is>
          <t>Ground preparation for Paving</t>
        </is>
      </c>
      <c r="B65" s="218" t="n"/>
      <c r="C65" s="218" t="n"/>
      <c r="D65" s="218" t="n"/>
      <c r="E65" s="218" t="n"/>
      <c r="F65" s="218" t="n"/>
      <c r="G65" s="218" t="n"/>
      <c r="H65" s="218" t="n"/>
      <c r="I65" s="218" t="n"/>
    </row>
    <row r="66" ht="20" customHeight="1">
      <c r="A66" s="319" t="inlineStr">
        <is>
          <t>Concrete pour for Kerbs at the intersection &amp; some sections of Chambers Street</t>
        </is>
      </c>
      <c r="B66" s="218" t="n"/>
      <c r="C66" s="218" t="n"/>
      <c r="D66" s="218" t="n"/>
      <c r="E66" s="218" t="n"/>
      <c r="F66" s="218" t="n"/>
      <c r="G66" s="218" t="n"/>
      <c r="H66" s="218" t="n"/>
      <c r="I66" s="218" t="n"/>
    </row>
    <row r="67" ht="20" customHeight="1">
      <c r="A67" s="319" t="inlineStr">
        <is>
          <t>North east with paving install ongoing</t>
        </is>
      </c>
      <c r="B67" s="218" t="n"/>
      <c r="C67" s="218" t="n"/>
      <c r="D67" s="218" t="n"/>
      <c r="E67" s="218" t="n"/>
      <c r="F67" s="218" t="n"/>
      <c r="G67" s="218" t="n"/>
      <c r="H67" s="218" t="n"/>
      <c r="I67" s="218" t="n"/>
    </row>
    <row r="68" ht="20" customHeight="1">
      <c r="A68" s="319" t="inlineStr">
        <is>
          <t>Signage install ongoing</t>
        </is>
      </c>
      <c r="B68" s="218" t="n"/>
      <c r="C68" s="218" t="n"/>
      <c r="D68" s="218" t="n"/>
      <c r="E68" s="218" t="n"/>
      <c r="F68" s="218" t="n"/>
      <c r="G68" s="218" t="n"/>
      <c r="H68" s="218" t="n"/>
      <c r="I68" s="218" t="n"/>
    </row>
    <row r="69" ht="20" customHeight="1">
      <c r="A69" s="319" t="inlineStr">
        <is>
          <t>NBN and Water Pit Setting</t>
        </is>
      </c>
      <c r="B69" s="320" t="n"/>
      <c r="C69" s="320" t="n"/>
      <c r="D69" s="320" t="n"/>
      <c r="E69" s="320" t="n"/>
      <c r="F69" s="320" t="n"/>
      <c r="G69" s="320" t="n"/>
      <c r="H69" s="320" t="n"/>
      <c r="I69" s="320" t="n"/>
    </row>
    <row r="70" ht="20" customHeight="1">
      <c r="A70" s="319" t="inlineStr">
        <is>
          <t xml:space="preserve">Excavate last of the planters and start works on root deflector </t>
        </is>
      </c>
      <c r="B70" s="218" t="n"/>
      <c r="C70" s="218" t="n"/>
      <c r="D70" s="218" t="n"/>
      <c r="E70" s="218" t="n"/>
      <c r="F70" s="218" t="n"/>
      <c r="G70" s="218" t="n"/>
      <c r="H70" s="218" t="n"/>
      <c r="I70" s="218" t="n"/>
    </row>
    <row r="71" ht="20" customHeight="1">
      <c r="A71" s="368" t="inlineStr">
        <is>
          <t>ATCO Gas Connection has been Completed</t>
        </is>
      </c>
      <c r="B71" s="218" t="n"/>
      <c r="C71" s="218" t="n"/>
      <c r="D71" s="218" t="n"/>
      <c r="E71" s="218" t="n"/>
      <c r="F71" s="218" t="n"/>
      <c r="G71" s="218" t="n"/>
      <c r="H71" s="218" t="n"/>
      <c r="I71" s="222" t="n"/>
    </row>
    <row r="72" ht="26.25" customHeight="1" thickBot="1">
      <c r="A72" s="264" t="inlineStr">
        <is>
          <t>Photos</t>
        </is>
      </c>
      <c r="B72" s="225" t="n"/>
      <c r="C72" s="225" t="n"/>
      <c r="D72" s="225" t="n"/>
      <c r="E72" s="225" t="n"/>
      <c r="F72" s="225" t="n"/>
      <c r="G72" s="225" t="n"/>
      <c r="H72" s="225" t="n"/>
      <c r="I72" s="226" t="n"/>
    </row>
    <row r="73" ht="23.25" customHeight="1">
      <c r="A73" s="181" t="n"/>
      <c r="B73" s="182" t="n"/>
      <c r="C73" s="182" t="n"/>
      <c r="D73" s="182" t="n"/>
      <c r="E73" s="182" t="n"/>
      <c r="F73" s="182" t="n"/>
      <c r="G73" s="182" t="n"/>
      <c r="H73" s="182" t="n"/>
      <c r="I73" s="183" t="n"/>
    </row>
    <row r="74" ht="23.2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15" customHeight="1">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15" customHeight="1">
      <c r="A95" s="184" t="n"/>
      <c r="B95" s="185" t="n"/>
      <c r="C95" s="185" t="n"/>
      <c r="D95" s="185" t="n"/>
      <c r="E95" s="185" t="n"/>
      <c r="F95" s="185" t="n"/>
      <c r="G95" s="185" t="n"/>
      <c r="H95" s="185" t="n"/>
      <c r="I95" s="186" t="n"/>
    </row>
    <row r="96" ht="25" customFormat="1" customHeight="1" s="187">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1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15" customHeight="1">
      <c r="A119" s="184" t="n"/>
      <c r="B119" s="185" t="n"/>
      <c r="C119" s="185" t="n"/>
      <c r="D119" s="185" t="n"/>
      <c r="E119" s="185" t="n"/>
      <c r="F119" s="185" t="n"/>
      <c r="G119" s="185" t="n"/>
      <c r="H119" s="185" t="n"/>
      <c r="I119" s="186" t="n"/>
    </row>
    <row r="120" ht="25"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15" customHeight="1">
      <c r="A122" s="184" t="n"/>
      <c r="B122" s="185" t="n"/>
      <c r="C122" s="185" t="n"/>
      <c r="D122" s="185" t="n"/>
      <c r="E122" s="185" t="n"/>
      <c r="F122" s="185" t="n"/>
      <c r="G122" s="185" t="n"/>
      <c r="H122" s="185" t="n"/>
      <c r="I122" s="186" t="n"/>
    </row>
    <row r="123" ht="28"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5" customHeight="1">
      <c r="A140" s="184" t="n"/>
      <c r="B140" s="185" t="n"/>
      <c r="C140" s="185" t="n"/>
      <c r="D140" s="185" t="n"/>
      <c r="E140" s="185" t="n"/>
      <c r="F140" s="185" t="n"/>
      <c r="G140" s="185" t="n"/>
      <c r="H140" s="185" t="n"/>
      <c r="I140" s="186" t="n"/>
    </row>
    <row r="141" ht="15" customHeight="1">
      <c r="A141" s="184" t="n"/>
      <c r="B141" s="185" t="n"/>
      <c r="C141" s="185" t="n"/>
      <c r="D141" s="185" t="n"/>
      <c r="E141" s="185" t="n"/>
      <c r="F141" s="185" t="n"/>
      <c r="G141" s="185" t="n"/>
      <c r="H141" s="185" t="n"/>
      <c r="I141" s="186" t="n"/>
    </row>
    <row r="142" ht="15" customHeight="1">
      <c r="A142" s="184" t="n"/>
      <c r="B142" s="185" t="n"/>
      <c r="C142" s="185" t="n"/>
      <c r="D142" s="185" t="n"/>
      <c r="E142" s="185" t="n"/>
      <c r="F142" s="185" t="n"/>
      <c r="G142" s="185" t="n"/>
      <c r="H142" s="185" t="n"/>
      <c r="I142" s="186" t="n"/>
    </row>
    <row r="143" ht="16" customHeight="1">
      <c r="A143" s="184" t="n"/>
      <c r="B143" s="185" t="n"/>
      <c r="C143" s="185" t="n"/>
      <c r="D143" s="185" t="n"/>
      <c r="E143" s="185" t="n"/>
      <c r="F143" s="185" t="n"/>
      <c r="G143" s="185" t="n"/>
      <c r="H143" s="185" t="n"/>
      <c r="I143" s="186" t="n"/>
    </row>
    <row r="144" ht="56.25" customHeight="1">
      <c r="A144" s="184" t="n"/>
      <c r="B144" s="185" t="n"/>
      <c r="C144" s="185" t="n"/>
      <c r="D144" s="185" t="n"/>
      <c r="E144" s="185" t="n"/>
      <c r="F144" s="185" t="n"/>
      <c r="G144" s="185" t="n"/>
      <c r="H144" s="185" t="n"/>
      <c r="I144" s="186" t="n"/>
    </row>
    <row r="145">
      <c r="A145" s="184" t="n"/>
      <c r="B145" s="185" t="n"/>
      <c r="C145" s="185" t="n"/>
      <c r="D145" s="185" t="n"/>
      <c r="E145" s="185" t="n"/>
      <c r="F145" s="185" t="n"/>
      <c r="G145" s="185" t="n"/>
      <c r="H145" s="185" t="n"/>
      <c r="I145" s="186" t="n"/>
    </row>
    <row r="146">
      <c r="A146" s="184" t="n"/>
      <c r="B146" s="185" t="n"/>
      <c r="C146" s="185" t="n"/>
      <c r="D146" s="185" t="n"/>
      <c r="E146" s="185" t="n"/>
      <c r="F146" s="185" t="n"/>
      <c r="G146" s="185" t="n"/>
      <c r="H146" s="185" t="n"/>
      <c r="I146" s="186" t="n"/>
    </row>
    <row r="147">
      <c r="A147" s="184" t="n"/>
      <c r="B147" s="185" t="n"/>
      <c r="C147" s="185" t="n"/>
      <c r="D147" s="185" t="n"/>
      <c r="E147" s="185" t="n"/>
      <c r="F147" s="185" t="n"/>
      <c r="G147" s="185" t="n"/>
      <c r="H147" s="185" t="n"/>
      <c r="I147" s="186" t="n"/>
    </row>
    <row r="148">
      <c r="A148" s="184" t="n"/>
      <c r="B148" s="185" t="n"/>
      <c r="C148" s="185" t="n"/>
      <c r="D148" s="185" t="n"/>
      <c r="E148" s="185" t="n"/>
      <c r="F148" s="185" t="n"/>
      <c r="G148" s="185" t="n"/>
      <c r="H148" s="185" t="n"/>
      <c r="I148" s="186" t="n"/>
    </row>
    <row r="149">
      <c r="A149" s="184" t="n"/>
      <c r="B149" s="185" t="n"/>
      <c r="C149" s="185" t="n"/>
      <c r="D149" s="185" t="n"/>
      <c r="E149" s="185" t="n"/>
      <c r="F149" s="185" t="n"/>
      <c r="G149" s="185" t="n"/>
      <c r="H149" s="185" t="n"/>
      <c r="I149" s="186" t="n"/>
    </row>
    <row r="150">
      <c r="A150" s="184" t="n"/>
      <c r="B150" s="185" t="n"/>
      <c r="C150" s="185" t="n"/>
      <c r="D150" s="185" t="n"/>
      <c r="E150" s="185" t="n"/>
      <c r="F150" s="185" t="n"/>
      <c r="G150" s="185" t="n"/>
      <c r="H150" s="185" t="n"/>
      <c r="I150" s="186" t="n"/>
    </row>
    <row r="151">
      <c r="A151" s="184" t="n"/>
      <c r="B151" s="185" t="n"/>
      <c r="C151" s="185" t="n"/>
      <c r="D151" s="185" t="n"/>
      <c r="E151" s="185" t="n"/>
      <c r="F151" s="185" t="n"/>
      <c r="G151" s="185" t="n"/>
      <c r="H151" s="185" t="n"/>
      <c r="I151" s="186" t="n"/>
    </row>
    <row r="152">
      <c r="A152" s="184" t="n"/>
      <c r="B152" s="185" t="n"/>
      <c r="C152" s="185" t="n"/>
      <c r="D152" s="185" t="n"/>
      <c r="E152" s="185" t="n"/>
      <c r="F152" s="185" t="n"/>
      <c r="G152" s="185" t="n"/>
      <c r="H152" s="185" t="n"/>
      <c r="I152" s="186" t="n"/>
    </row>
    <row r="153">
      <c r="A153" s="184" t="n"/>
      <c r="B153" s="185" t="n"/>
      <c r="C153" s="185" t="n"/>
      <c r="D153" s="185" t="n"/>
      <c r="E153" s="185" t="n"/>
      <c r="F153" s="185" t="n"/>
      <c r="G153" s="185" t="n"/>
      <c r="H153" s="185" t="n"/>
      <c r="I153" s="186" t="n"/>
    </row>
    <row r="154">
      <c r="A154" s="184" t="n"/>
      <c r="B154" s="185" t="n"/>
      <c r="C154" s="185" t="n"/>
      <c r="D154" s="185" t="n"/>
      <c r="E154" s="185" t="n"/>
      <c r="F154" s="185" t="n"/>
      <c r="G154" s="185" t="n"/>
      <c r="H154" s="185" t="n"/>
      <c r="I154" s="186" t="n"/>
    </row>
    <row r="155">
      <c r="A155" s="184" t="n"/>
      <c r="B155" s="185" t="n"/>
      <c r="C155" s="185" t="n"/>
      <c r="D155" s="185" t="n"/>
      <c r="E155" s="185" t="n"/>
      <c r="F155" s="185" t="n"/>
      <c r="G155" s="185" t="n"/>
      <c r="H155" s="185" t="n"/>
      <c r="I155" s="186" t="n"/>
    </row>
    <row r="156">
      <c r="A156" s="184" t="n"/>
      <c r="B156" s="185" t="n"/>
      <c r="C156" s="185" t="n"/>
      <c r="D156" s="185" t="n"/>
      <c r="E156" s="185" t="n"/>
      <c r="F156" s="185" t="n"/>
      <c r="G156" s="185" t="n"/>
      <c r="H156" s="185" t="n"/>
      <c r="I156" s="186" t="n"/>
    </row>
    <row r="157">
      <c r="A157" s="184" t="n"/>
      <c r="B157" s="185" t="n"/>
      <c r="C157" s="185" t="n"/>
      <c r="D157" s="185" t="n"/>
      <c r="E157" s="185" t="n"/>
      <c r="F157" s="185" t="n"/>
      <c r="G157" s="185" t="n"/>
      <c r="H157" s="185" t="n"/>
      <c r="I157" s="186" t="n"/>
    </row>
    <row r="158">
      <c r="A158" s="184" t="n"/>
      <c r="B158" s="185" t="n"/>
      <c r="C158" s="185" t="n"/>
      <c r="D158" s="185" t="n"/>
      <c r="E158" s="185" t="n"/>
      <c r="F158" s="185" t="n"/>
      <c r="G158" s="185" t="n"/>
      <c r="H158" s="185" t="n"/>
      <c r="I158" s="186" t="n"/>
    </row>
    <row r="159">
      <c r="A159" s="184" t="n"/>
      <c r="B159" s="185" t="n"/>
      <c r="C159" s="185" t="n"/>
      <c r="D159" s="185" t="n"/>
      <c r="E159" s="185" t="n"/>
      <c r="F159" s="185" t="n"/>
      <c r="G159" s="185" t="n"/>
      <c r="H159" s="185" t="n"/>
      <c r="I159" s="186" t="n"/>
    </row>
    <row r="160">
      <c r="A160" s="184" t="n"/>
      <c r="B160" s="185" t="n"/>
      <c r="C160" s="185" t="n"/>
      <c r="D160" s="185" t="n"/>
      <c r="E160" s="185" t="n"/>
      <c r="F160" s="185" t="n"/>
      <c r="G160" s="185" t="n"/>
      <c r="H160" s="185" t="n"/>
      <c r="I160" s="186" t="n"/>
    </row>
    <row r="161">
      <c r="A161" s="184" t="n"/>
      <c r="B161" s="185" t="n"/>
      <c r="C161" s="185" t="n"/>
      <c r="D161" s="185" t="n"/>
      <c r="E161" s="185" t="n"/>
      <c r="F161" s="185" t="n"/>
      <c r="G161" s="185" t="n"/>
      <c r="H161" s="185" t="n"/>
      <c r="I161" s="186" t="n"/>
    </row>
    <row r="162">
      <c r="A162" s="184" t="n"/>
      <c r="B162" s="185" t="n"/>
      <c r="C162" s="185" t="n"/>
      <c r="D162" s="185" t="n"/>
      <c r="E162" s="185" t="n"/>
      <c r="F162" s="185" t="n"/>
      <c r="G162" s="185" t="n"/>
      <c r="H162" s="185" t="n"/>
      <c r="I162" s="186" t="n"/>
    </row>
    <row r="163">
      <c r="A163" s="184" t="n"/>
      <c r="B163" s="185" t="n"/>
      <c r="C163" s="185" t="n"/>
      <c r="D163" s="185" t="n"/>
      <c r="E163" s="185" t="n"/>
      <c r="F163" s="185" t="n"/>
      <c r="G163" s="185" t="n"/>
      <c r="H163" s="185" t="n"/>
      <c r="I163" s="186" t="n"/>
    </row>
    <row r="164">
      <c r="A164" s="184" t="n"/>
      <c r="B164" s="185" t="n"/>
      <c r="C164" s="185" t="n"/>
      <c r="D164" s="185" t="n"/>
      <c r="E164" s="185" t="n"/>
      <c r="F164" s="185" t="n"/>
      <c r="G164" s="185" t="n"/>
      <c r="H164" s="185" t="n"/>
      <c r="I164" s="186" t="n"/>
    </row>
    <row r="165">
      <c r="A165" s="184" t="n"/>
      <c r="B165" s="185" t="n"/>
      <c r="C165" s="185" t="n"/>
      <c r="D165" s="185" t="n"/>
      <c r="E165" s="185" t="n"/>
      <c r="F165" s="185" t="n"/>
      <c r="G165" s="185" t="n"/>
      <c r="H165" s="185" t="n"/>
      <c r="I165" s="186" t="n"/>
    </row>
    <row r="166">
      <c r="A166" s="184" t="n"/>
      <c r="B166" s="185" t="n"/>
      <c r="C166" s="185" t="n"/>
      <c r="D166" s="185" t="n"/>
      <c r="E166" s="185" t="n"/>
      <c r="F166" s="185" t="n"/>
      <c r="G166" s="185" t="n"/>
      <c r="H166" s="185" t="n"/>
      <c r="I166" s="186" t="n"/>
    </row>
    <row r="167">
      <c r="A167" s="184" t="n"/>
      <c r="B167" s="185" t="n"/>
      <c r="C167" s="185" t="n"/>
      <c r="D167" s="185" t="n"/>
      <c r="E167" s="185" t="n"/>
      <c r="F167" s="185" t="n"/>
      <c r="G167" s="185" t="n"/>
      <c r="H167" s="185" t="n"/>
      <c r="I167" s="186" t="n"/>
    </row>
    <row r="168">
      <c r="A168" s="184" t="n"/>
      <c r="B168" s="185" t="n"/>
      <c r="C168" s="185" t="n"/>
      <c r="D168" s="185" t="n"/>
      <c r="E168" s="185" t="n"/>
      <c r="F168" s="185" t="n"/>
      <c r="G168" s="185" t="n"/>
      <c r="H168" s="185" t="n"/>
      <c r="I168" s="186" t="n"/>
    </row>
    <row r="169">
      <c r="A169" s="184" t="n"/>
      <c r="B169" s="185" t="n"/>
      <c r="C169" s="185" t="n"/>
      <c r="D169" s="185" t="n"/>
      <c r="E169" s="185" t="n"/>
      <c r="F169" s="185" t="n"/>
      <c r="G169" s="185" t="n"/>
      <c r="H169" s="185" t="n"/>
      <c r="I169" s="186" t="n"/>
    </row>
    <row r="170">
      <c r="A170" s="184" t="n"/>
      <c r="B170" s="185" t="n"/>
      <c r="C170" s="185" t="n"/>
      <c r="D170" s="185" t="n"/>
      <c r="E170" s="185" t="n"/>
      <c r="F170" s="185" t="n"/>
      <c r="G170" s="185" t="n"/>
      <c r="H170" s="185" t="n"/>
      <c r="I170" s="186" t="n"/>
    </row>
    <row r="171">
      <c r="A171" s="184" t="n"/>
      <c r="B171" s="185" t="n"/>
      <c r="C171" s="185" t="n"/>
      <c r="D171" s="185" t="n"/>
      <c r="E171" s="185" t="n"/>
      <c r="F171" s="185" t="n"/>
      <c r="G171" s="185" t="n"/>
      <c r="H171" s="185" t="n"/>
      <c r="I171" s="186" t="n"/>
    </row>
    <row r="172">
      <c r="A172" s="184" t="n"/>
      <c r="B172" s="185" t="n"/>
      <c r="C172" s="185" t="n"/>
      <c r="D172" s="185" t="n"/>
      <c r="E172" s="185" t="n"/>
      <c r="F172" s="185" t="n"/>
      <c r="G172" s="185" t="n"/>
      <c r="H172" s="185" t="n"/>
      <c r="I172" s="186" t="n"/>
    </row>
    <row r="173">
      <c r="A173" s="184" t="n"/>
      <c r="B173" s="185" t="n"/>
      <c r="C173" s="185" t="n"/>
      <c r="D173" s="185" t="n"/>
      <c r="E173" s="185" t="n"/>
      <c r="F173" s="185" t="n"/>
      <c r="G173" s="185" t="n"/>
      <c r="H173" s="185" t="n"/>
      <c r="I173" s="186" t="n"/>
    </row>
    <row r="174">
      <c r="A174" s="184" t="n"/>
      <c r="B174" s="185" t="n"/>
      <c r="C174" s="185" t="n"/>
      <c r="D174" s="185" t="n"/>
      <c r="E174" s="185" t="n"/>
      <c r="F174" s="185" t="n"/>
      <c r="G174" s="185" t="n"/>
      <c r="H174" s="185" t="n"/>
      <c r="I174" s="186" t="n"/>
    </row>
    <row r="175">
      <c r="A175" s="184" t="n"/>
      <c r="B175" s="185" t="n"/>
      <c r="C175" s="185" t="n"/>
      <c r="D175" s="185" t="n"/>
      <c r="E175" s="185" t="n"/>
      <c r="F175" s="185" t="n"/>
      <c r="G175" s="185" t="n"/>
      <c r="H175" s="185" t="n"/>
      <c r="I175" s="186" t="n"/>
    </row>
    <row r="176">
      <c r="A176" s="184" t="n"/>
      <c r="B176" s="185" t="n"/>
      <c r="C176" s="185" t="n"/>
      <c r="D176" s="185" t="n"/>
      <c r="E176" s="185" t="n"/>
      <c r="F176" s="185" t="n"/>
      <c r="G176" s="185" t="n"/>
      <c r="H176" s="185" t="n"/>
      <c r="I176" s="186" t="n"/>
    </row>
    <row r="177">
      <c r="A177" s="184" t="n"/>
      <c r="B177" s="185" t="n"/>
      <c r="C177" s="185" t="n"/>
      <c r="D177" s="185" t="n"/>
      <c r="E177" s="185" t="n"/>
      <c r="F177" s="185" t="n"/>
      <c r="G177" s="185" t="n"/>
      <c r="H177" s="185" t="n"/>
      <c r="I177" s="185" t="n"/>
      <c r="J177" s="185" t="n"/>
    </row>
    <row r="178">
      <c r="A178" s="184" t="n"/>
      <c r="B178" s="185" t="n"/>
      <c r="C178" s="185" t="n"/>
      <c r="D178" s="185" t="n"/>
      <c r="E178" s="185" t="n"/>
      <c r="F178" s="185" t="n"/>
      <c r="G178" s="185" t="n"/>
      <c r="H178" s="185" t="n"/>
      <c r="I178" s="185" t="n"/>
      <c r="J178" s="185" t="n"/>
      <c r="K178" s="185" t="n"/>
    </row>
    <row r="179">
      <c r="A179" s="184" t="n"/>
      <c r="B179" s="185" t="n"/>
      <c r="C179" s="185" t="n"/>
      <c r="D179" s="185" t="n"/>
      <c r="E179" s="185" t="n"/>
      <c r="F179" s="185" t="n"/>
      <c r="G179" s="185" t="n"/>
      <c r="H179" s="185" t="n"/>
      <c r="I179" s="185" t="n"/>
      <c r="J179" s="185" t="n"/>
    </row>
    <row r="180">
      <c r="A180" s="191" t="n"/>
    </row>
    <row r="181">
      <c r="A181" s="191" t="n"/>
    </row>
    <row r="182">
      <c r="A182" s="191" t="n"/>
    </row>
    <row r="183">
      <c r="A183" s="191" t="n"/>
    </row>
    <row r="184">
      <c r="A184" s="191" t="n"/>
    </row>
    <row r="185">
      <c r="A185" s="191" t="n"/>
    </row>
    <row r="186">
      <c r="A186" s="191" t="n"/>
    </row>
    <row r="187">
      <c r="A187" s="191" t="n"/>
    </row>
    <row r="188">
      <c r="A188" s="191" t="n"/>
    </row>
    <row r="189">
      <c r="A189" s="191" t="n"/>
    </row>
    <row r="190">
      <c r="A190" s="191" t="n"/>
    </row>
    <row r="191">
      <c r="A191" s="191" t="n"/>
    </row>
    <row r="192">
      <c r="A192" s="191" t="n"/>
    </row>
    <row r="193">
      <c r="A193" s="191" t="n"/>
    </row>
    <row r="198" ht="16" customHeight="1"/>
    <row r="205" ht="16" customHeight="1"/>
  </sheetData>
  <mergeCells count="43">
    <mergeCell ref="A65:I65"/>
    <mergeCell ref="C61:I61"/>
    <mergeCell ref="D13:F13"/>
    <mergeCell ref="G13:I13"/>
    <mergeCell ref="A46:I46"/>
    <mergeCell ref="B54:I54"/>
    <mergeCell ref="A66:I66"/>
    <mergeCell ref="B8:D8"/>
    <mergeCell ref="A45:B45"/>
    <mergeCell ref="A47:I50"/>
    <mergeCell ref="A12:I12"/>
    <mergeCell ref="B43:C43"/>
    <mergeCell ref="B56:I56"/>
    <mergeCell ref="D43:I43"/>
    <mergeCell ref="A57:I57"/>
    <mergeCell ref="B52:I52"/>
    <mergeCell ref="A71:I71"/>
    <mergeCell ref="A5:I5"/>
    <mergeCell ref="B42:C42"/>
    <mergeCell ref="B9:D9"/>
    <mergeCell ref="A62:I62"/>
    <mergeCell ref="B6:D6"/>
    <mergeCell ref="C58:I58"/>
    <mergeCell ref="A72:I72"/>
    <mergeCell ref="B44:C44"/>
    <mergeCell ref="B53:I53"/>
    <mergeCell ref="A68:I68"/>
    <mergeCell ref="A63:I63"/>
    <mergeCell ref="D42:I42"/>
    <mergeCell ref="A10:I10"/>
    <mergeCell ref="A13:C13"/>
    <mergeCell ref="A1:I4"/>
    <mergeCell ref="A67:I67"/>
    <mergeCell ref="D44:I44"/>
    <mergeCell ref="B7:D7"/>
    <mergeCell ref="A64:I64"/>
    <mergeCell ref="A51:I51"/>
    <mergeCell ref="A11:I11"/>
    <mergeCell ref="B55:I55"/>
    <mergeCell ref="C59:I59"/>
    <mergeCell ref="A70:I70"/>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23"/>
  <rowBreaks count="1" manualBreakCount="1">
    <brk id="71" min="0" max="8" man="1"/>
  </rowBreaks>
</worksheet>
</file>

<file path=xl/worksheets/sheet25.xml><?xml version="1.0" encoding="utf-8"?>
<worksheet xmlns="http://schemas.openxmlformats.org/spreadsheetml/2006/main">
  <sheetPr>
    <outlinePr summaryBelow="1" summaryRight="1"/>
    <pageSetUpPr fitToPage="1"/>
  </sheetPr>
  <dimension ref="A1:L192"/>
  <sheetViews>
    <sheetView tabSelected="1" view="pageBreakPreview" topLeftCell="A29" zoomScale="70" zoomScaleNormal="55" zoomScaleSheetLayoutView="70" workbookViewId="0">
      <selection activeCell="A63" sqref="A63:I70"/>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45959</v>
      </c>
    </row>
    <row r="7" ht="23.25" customHeight="1">
      <c r="A7" s="80" t="inlineStr">
        <is>
          <t>Project Location:</t>
        </is>
      </c>
      <c r="B7" s="318" t="inlineStr">
        <is>
          <t>Geraldton</t>
        </is>
      </c>
      <c r="E7" s="318" t="n"/>
      <c r="F7" s="82" t="n"/>
      <c r="G7" s="82" t="n"/>
      <c r="H7" s="200" t="inlineStr">
        <is>
          <t>Day:</t>
        </is>
      </c>
      <c r="I7" s="84">
        <f>WEEKDAY(I6)</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f t="array" ref="B9">RIGHT(CELL("filename",A1),LEN(CELL("filename",A1))-FIND("]",CELL("filename",A1)))</f>
        <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15-220C,  Wind:  25 km/h SSW, Precip: 1.2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c r="G15" s="102" t="inlineStr">
        <is>
          <t>McAuliffe, Daniel</t>
        </is>
      </c>
      <c r="H15" s="98" t="inlineStr">
        <is>
          <t>Operator</t>
        </is>
      </c>
      <c r="I15" s="103" t="n">
        <v>10</v>
      </c>
    </row>
    <row r="16" ht="23.25" customHeight="1">
      <c r="A16" s="104" t="inlineStr">
        <is>
          <t>GRIFFITHS, Daniel</t>
        </is>
      </c>
      <c r="B16" s="105" t="inlineStr">
        <is>
          <t>Project Manager</t>
        </is>
      </c>
      <c r="C16" s="106" t="n">
        <v>12</v>
      </c>
      <c r="D16" s="107" t="inlineStr">
        <is>
          <t>McGahon,Aideen</t>
        </is>
      </c>
      <c r="E16" s="105" t="inlineStr">
        <is>
          <t>Operator</t>
        </is>
      </c>
      <c r="F16" s="108" t="n">
        <v>12</v>
      </c>
      <c r="G16" s="109" t="inlineStr">
        <is>
          <t>Mosley,Joshua</t>
        </is>
      </c>
      <c r="H16" s="105" t="inlineStr">
        <is>
          <t>Surveyor</t>
        </is>
      </c>
      <c r="I16" s="110" t="n">
        <v>6</v>
      </c>
    </row>
    <row r="17" ht="23.25" customHeight="1">
      <c r="A17" s="104" t="inlineStr">
        <is>
          <t>O"SHEA, John</t>
        </is>
      </c>
      <c r="B17" s="105" t="inlineStr">
        <is>
          <t>Senior Project Engineer</t>
        </is>
      </c>
      <c r="C17" s="106" t="n">
        <v>12</v>
      </c>
      <c r="D17" s="107" t="n"/>
      <c r="E17" s="105" t="n"/>
      <c r="F17" s="108" t="n"/>
      <c r="G17" s="109" t="inlineStr">
        <is>
          <t>Keady, Brendan</t>
        </is>
      </c>
      <c r="H17" s="105" t="inlineStr">
        <is>
          <t>Operator</t>
        </is>
      </c>
      <c r="I17" s="110" t="n">
        <v>12</v>
      </c>
    </row>
    <row r="18" ht="23.25" customHeight="1">
      <c r="A18" s="104" t="inlineStr">
        <is>
          <t>GRIFFITHS, Ashley</t>
        </is>
      </c>
      <c r="B18" s="105" t="inlineStr">
        <is>
          <t>Supervisor</t>
        </is>
      </c>
      <c r="C18" s="106" t="n">
        <v>10</v>
      </c>
      <c r="D18" s="111" t="n"/>
      <c r="E18" s="112" t="n"/>
      <c r="F18" s="108" t="n"/>
      <c r="G18" s="109" t="inlineStr">
        <is>
          <t>Griffiths, Jaquai</t>
        </is>
      </c>
      <c r="H18" s="105" t="inlineStr">
        <is>
          <t>Operator</t>
        </is>
      </c>
      <c r="I18" s="110" t="n">
        <v>10</v>
      </c>
    </row>
    <row r="19" ht="23.25" customHeight="1">
      <c r="A19" s="104" t="inlineStr">
        <is>
          <t>THOMPSON,Cheryl</t>
        </is>
      </c>
      <c r="B19" s="105" t="inlineStr">
        <is>
          <t>HSET</t>
        </is>
      </c>
      <c r="C19" s="106" t="n"/>
      <c r="D19" s="111" t="n"/>
      <c r="E19" s="112" t="n"/>
      <c r="F19" s="108" t="n"/>
      <c r="G19" s="109" t="inlineStr">
        <is>
          <t>McConnell, Adam</t>
        </is>
      </c>
      <c r="H19" s="105" t="inlineStr">
        <is>
          <t>Labourer</t>
        </is>
      </c>
      <c r="I19" s="110" t="n">
        <v>12</v>
      </c>
    </row>
    <row r="20" ht="23.25" customHeight="1">
      <c r="A20" s="104" t="inlineStr">
        <is>
          <t>SKINNER,Jamie</t>
        </is>
      </c>
      <c r="B20" s="105" t="inlineStr">
        <is>
          <t>Supervisor</t>
        </is>
      </c>
      <c r="C20" s="106" t="n">
        <v>12</v>
      </c>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v>12</v>
      </c>
      <c r="D21" s="111" t="n"/>
      <c r="E21" s="112" t="n"/>
      <c r="F21" s="108" t="n"/>
      <c r="G21" s="109" t="inlineStr">
        <is>
          <t>Kerbers</t>
        </is>
      </c>
      <c r="H21" s="105" t="inlineStr">
        <is>
          <t>Kerbers</t>
        </is>
      </c>
      <c r="I21" s="110" t="n"/>
    </row>
    <row r="22" ht="23.25" customHeight="1">
      <c r="A22" s="104" t="inlineStr">
        <is>
          <t>JOGI, Amit</t>
        </is>
      </c>
      <c r="B22" s="105" t="inlineStr">
        <is>
          <t>Project Engineer</t>
        </is>
      </c>
      <c r="C22" s="106" t="n">
        <v>12</v>
      </c>
      <c r="D22" s="111" t="n"/>
      <c r="E22" s="112" t="n"/>
      <c r="F22" s="108" t="n"/>
      <c r="G22" s="109" t="inlineStr">
        <is>
          <t>Superstruct</t>
        </is>
      </c>
      <c r="H22" s="105" t="inlineStr">
        <is>
          <t>Concereters</t>
        </is>
      </c>
      <c r="I22" s="110" t="n"/>
    </row>
    <row r="23" ht="23.25" customHeight="1" thickBot="1">
      <c r="A23" s="113" t="n"/>
      <c r="B23" s="114" t="n"/>
      <c r="C23" s="115" t="n"/>
      <c r="D23" s="116" t="n"/>
      <c r="E23" s="117" t="n"/>
      <c r="F23" s="118" t="n"/>
      <c r="G23" s="119" t="inlineStr">
        <is>
          <t>Pavers</t>
        </is>
      </c>
      <c r="H23" s="114" t="inlineStr">
        <is>
          <t>Pavers</t>
        </is>
      </c>
      <c r="I23" s="120" t="n">
        <v>40</v>
      </c>
    </row>
    <row r="24" ht="23.25" customHeight="1" thickTop="1">
      <c r="A24" s="121" t="n"/>
      <c r="B24" s="122" t="n"/>
      <c r="C24" s="123" t="n"/>
      <c r="D24" s="124" t="n"/>
      <c r="E24" s="125" t="n"/>
      <c r="F24" s="126" t="n"/>
      <c r="G24" s="127" t="n"/>
      <c r="H24" s="128" t="n"/>
      <c r="I24" s="129" t="n"/>
    </row>
    <row r="25" ht="23.25" customHeight="1">
      <c r="A25" s="130" t="inlineStr">
        <is>
          <t xml:space="preserve">Total Indirect Personnel onsite: </t>
        </is>
      </c>
      <c r="B25" s="180">
        <f>COUNT(C15:C23)</f>
        <v/>
      </c>
      <c r="C25" s="106" t="n"/>
      <c r="D25" s="132" t="inlineStr">
        <is>
          <t xml:space="preserve">Total Direct Personnel onsite:  </t>
        </is>
      </c>
      <c r="E25" s="180">
        <f>COUNT(F15:F23)</f>
        <v/>
      </c>
      <c r="F25" s="108" t="n"/>
      <c r="G25" s="133" t="inlineStr">
        <is>
          <t>Total Subcontractor on-site:</t>
        </is>
      </c>
      <c r="H25" s="180">
        <f>COUNT(I15:I23)</f>
        <v/>
      </c>
      <c r="I25" s="110" t="n"/>
    </row>
    <row r="26" ht="23.25" customHeight="1">
      <c r="A26" s="130" t="inlineStr">
        <is>
          <t xml:space="preserve">Total Indirect Personnel hours: </t>
        </is>
      </c>
      <c r="B26" s="180">
        <f>SUM(C15:C22)</f>
        <v/>
      </c>
      <c r="C26" s="134" t="n"/>
      <c r="D26" s="132" t="inlineStr">
        <is>
          <t xml:space="preserve">Total Direct Personnel hours: </t>
        </is>
      </c>
      <c r="E26" s="180">
        <f>SUM(F15:F16)</f>
        <v/>
      </c>
      <c r="F26" s="135" t="n"/>
      <c r="G26" s="133" t="inlineStr">
        <is>
          <t>Total Subcontractor hours:</t>
        </is>
      </c>
      <c r="H26" s="180">
        <f>SUM(I11:I23)</f>
        <v/>
      </c>
      <c r="I26" s="272" t="n"/>
    </row>
    <row r="27" ht="23.25" customHeight="1">
      <c r="A27" s="130" t="n"/>
      <c r="B27" s="131" t="n"/>
      <c r="C27" s="134" t="n"/>
      <c r="D27" s="132" t="n"/>
      <c r="E27" s="131" t="n"/>
      <c r="F27" s="137" t="n"/>
      <c r="G27" s="133" t="n"/>
      <c r="H27" s="131" t="n"/>
      <c r="I27" s="272" t="n"/>
    </row>
    <row r="28" ht="25" customHeight="1">
      <c r="A28" s="138" t="inlineStr">
        <is>
          <t>PLANT &amp; EQUIPMENT</t>
        </is>
      </c>
      <c r="B28" s="139" t="n"/>
      <c r="C28" s="139" t="n"/>
      <c r="D28" s="139" t="n"/>
      <c r="E28" s="139" t="n"/>
      <c r="F28" s="139" t="n"/>
      <c r="G28" s="139" t="n"/>
      <c r="H28" s="139" t="n"/>
      <c r="I28" s="140" t="n"/>
    </row>
    <row r="29" ht="24" customHeight="1" thickBot="1">
      <c r="A29" s="141" t="inlineStr">
        <is>
          <t>Plant</t>
        </is>
      </c>
      <c r="B29" s="142" t="inlineStr">
        <is>
          <t>ID</t>
        </is>
      </c>
      <c r="C29" s="143" t="inlineStr">
        <is>
          <t>Hrs</t>
        </is>
      </c>
      <c r="D29" s="144" t="inlineStr">
        <is>
          <t xml:space="preserve"> Vehicles</t>
        </is>
      </c>
      <c r="E29" s="142" t="inlineStr">
        <is>
          <t>ID</t>
        </is>
      </c>
      <c r="F29" s="145" t="inlineStr">
        <is>
          <t>QTY</t>
        </is>
      </c>
      <c r="G29" s="146" t="inlineStr">
        <is>
          <t>Site Facilities</t>
        </is>
      </c>
      <c r="H29" s="147" t="inlineStr">
        <is>
          <t>ID</t>
        </is>
      </c>
      <c r="I29" s="148" t="inlineStr">
        <is>
          <t>Qty</t>
        </is>
      </c>
    </row>
    <row r="30" ht="23.25" customHeight="1" thickTop="1">
      <c r="A30" s="97" t="inlineStr">
        <is>
          <t>Komatsu WA320</t>
        </is>
      </c>
      <c r="B30" s="98" t="inlineStr">
        <is>
          <t>FWL18</t>
        </is>
      </c>
      <c r="C30" s="149" t="n">
        <v>4</v>
      </c>
      <c r="D30" s="150" t="inlineStr">
        <is>
          <t>Hilux</t>
        </is>
      </c>
      <c r="E30" s="151" t="inlineStr">
        <is>
          <t>DLV90</t>
        </is>
      </c>
      <c r="F30" s="152" t="n">
        <v>1</v>
      </c>
      <c r="G30" s="153" t="inlineStr">
        <is>
          <t>Office 40ft</t>
        </is>
      </c>
      <c r="H30" s="151" t="n">
        <v>9255540</v>
      </c>
      <c r="I30" s="103" t="n">
        <v>1</v>
      </c>
    </row>
    <row r="31" ht="23.25" customHeight="1">
      <c r="A31" s="104" t="inlineStr">
        <is>
          <t>Wacker Neuson DPU</t>
        </is>
      </c>
      <c r="B31" s="105" t="inlineStr">
        <is>
          <t>DPC15</t>
        </is>
      </c>
      <c r="C31" s="154" t="n"/>
      <c r="D31" s="155" t="inlineStr">
        <is>
          <t>Hilux</t>
        </is>
      </c>
      <c r="E31" s="156" t="inlineStr">
        <is>
          <t>1DLV04</t>
        </is>
      </c>
      <c r="F31" s="157" t="n">
        <v>1</v>
      </c>
      <c r="G31" s="158" t="inlineStr">
        <is>
          <t>Sea Container 20ft</t>
        </is>
      </c>
      <c r="H31" s="105" t="n">
        <v>951200</v>
      </c>
      <c r="I31" s="110" t="n">
        <v>1</v>
      </c>
    </row>
    <row r="32" ht="23.25" customHeight="1">
      <c r="A32" s="159" t="inlineStr">
        <is>
          <t>Watercart</t>
        </is>
      </c>
      <c r="B32" s="156" t="inlineStr">
        <is>
          <t>WC119</t>
        </is>
      </c>
      <c r="C32" s="154" t="n">
        <v>3</v>
      </c>
      <c r="D32" s="155" t="n"/>
      <c r="E32" s="105" t="n"/>
      <c r="F32" s="157" t="n"/>
      <c r="G32" s="158" t="inlineStr">
        <is>
          <t>Site Sentry Tower</t>
        </is>
      </c>
      <c r="H32" s="156" t="n"/>
      <c r="I32" s="110" t="n">
        <v>2</v>
      </c>
    </row>
    <row r="33" ht="23.25" customHeight="1">
      <c r="A33" s="159" t="inlineStr">
        <is>
          <t>8T Excavator</t>
        </is>
      </c>
      <c r="B33" s="160" t="inlineStr">
        <is>
          <t>AMG 014</t>
        </is>
      </c>
      <c r="C33" s="154" t="n"/>
      <c r="D33" s="155" t="n"/>
      <c r="E33" s="156" t="n"/>
      <c r="F33" s="157" t="n"/>
      <c r="G33" s="158" t="inlineStr">
        <is>
          <t>Skip Bin</t>
        </is>
      </c>
      <c r="H33" s="156" t="n"/>
      <c r="I33" s="110" t="n">
        <v>1</v>
      </c>
    </row>
    <row r="34" ht="23.25" customHeight="1">
      <c r="A34" s="159" t="inlineStr">
        <is>
          <t>Mini Tipper</t>
        </is>
      </c>
      <c r="B34" s="156" t="inlineStr">
        <is>
          <t>SLS04</t>
        </is>
      </c>
      <c r="C34" s="106" t="n">
        <v>8.5</v>
      </c>
      <c r="D34" s="155" t="n"/>
      <c r="E34" s="156" t="n"/>
      <c r="F34" s="157" t="n"/>
      <c r="G34" s="158" t="inlineStr">
        <is>
          <t>Hydrocarbon Bund</t>
        </is>
      </c>
      <c r="H34" s="156" t="n"/>
      <c r="I34" s="110" t="n">
        <v>1</v>
      </c>
    </row>
    <row r="35" ht="23.25" customHeight="1">
      <c r="A35" s="159" t="inlineStr">
        <is>
          <t>Skid Steer</t>
        </is>
      </c>
      <c r="B35" s="156" t="inlineStr">
        <is>
          <t>SLS03</t>
        </is>
      </c>
      <c r="C35" s="106" t="n">
        <v>2</v>
      </c>
      <c r="D35" s="155" t="n"/>
      <c r="E35" s="156" t="n"/>
      <c r="F35" s="157" t="n"/>
      <c r="G35" s="158" t="inlineStr">
        <is>
          <t>Temp Fence</t>
        </is>
      </c>
      <c r="H35" s="105" t="n"/>
      <c r="I35" s="110" t="n">
        <v>1</v>
      </c>
    </row>
    <row r="36" ht="23.25" customHeight="1">
      <c r="A36" s="159" t="inlineStr">
        <is>
          <t>1t Excavator</t>
        </is>
      </c>
      <c r="B36" s="156" t="inlineStr">
        <is>
          <t>SLS02</t>
        </is>
      </c>
      <c r="C36" s="106" t="n">
        <v>8</v>
      </c>
      <c r="D36" s="155" t="n"/>
      <c r="E36" s="156" t="n"/>
      <c r="F36" s="157" t="n"/>
      <c r="G36" s="158" t="n"/>
      <c r="H36" s="105" t="n"/>
      <c r="I36" s="110" t="n"/>
    </row>
    <row r="37" ht="24" customHeight="1">
      <c r="A37" s="159" t="inlineStr">
        <is>
          <t>8T Excavator (Wheeled)</t>
        </is>
      </c>
      <c r="B37" s="156" t="inlineStr">
        <is>
          <t>BCC12</t>
        </is>
      </c>
      <c r="C37" s="106" t="n">
        <v>12</v>
      </c>
      <c r="D37" s="155" t="n"/>
      <c r="E37" s="156" t="n"/>
      <c r="F37" s="157" t="n"/>
      <c r="G37" s="161" t="n"/>
      <c r="H37" s="162" t="n"/>
      <c r="I37" s="163" t="n"/>
    </row>
    <row r="38" ht="24" customHeight="1">
      <c r="A38" s="159" t="inlineStr">
        <is>
          <t>14t Excavator with GPS</t>
        </is>
      </c>
      <c r="B38" s="156" t="inlineStr">
        <is>
          <t>EX197</t>
        </is>
      </c>
      <c r="C38" s="106" t="n">
        <v>10</v>
      </c>
      <c r="D38" s="155" t="n"/>
      <c r="E38" s="156" t="n"/>
      <c r="F38" s="157" t="n"/>
      <c r="G38" s="161" t="n"/>
      <c r="H38" s="162" t="n"/>
      <c r="I38" s="163" t="n"/>
    </row>
    <row r="39" ht="24" customHeight="1">
      <c r="A39" s="159" t="inlineStr">
        <is>
          <t>Positrak SSL</t>
        </is>
      </c>
      <c r="B39" s="156" t="inlineStr">
        <is>
          <t>SSL08</t>
        </is>
      </c>
      <c r="C39" s="154" t="n"/>
      <c r="D39" s="155" t="n"/>
      <c r="E39" s="156" t="n"/>
      <c r="F39" s="157" t="n"/>
      <c r="G39" s="161" t="n"/>
      <c r="H39" s="162" t="n"/>
      <c r="I39" s="163" t="n"/>
    </row>
    <row r="40" ht="24" customHeight="1" thickBot="1">
      <c r="A40" s="159" t="inlineStr">
        <is>
          <t>IT Loader</t>
        </is>
      </c>
      <c r="B40" s="156" t="inlineStr">
        <is>
          <t>LD011</t>
        </is>
      </c>
      <c r="C40" s="106" t="n">
        <v>10</v>
      </c>
      <c r="D40" s="167" t="n"/>
      <c r="E40" s="168" t="n"/>
      <c r="F40" s="169" t="n"/>
      <c r="G40" s="170" t="n"/>
      <c r="H40" s="168" t="n"/>
      <c r="I40" s="171" t="n"/>
    </row>
    <row r="41" ht="18" customHeight="1" thickTop="1">
      <c r="A41" s="172" t="n">
        <v>0</v>
      </c>
      <c r="B41" s="294" t="inlineStr">
        <is>
          <t xml:space="preserve">Repairs Required </t>
        </is>
      </c>
      <c r="C41" s="360" t="n"/>
      <c r="D41" s="323" t="inlineStr">
        <is>
          <t>NA</t>
        </is>
      </c>
      <c r="E41" s="361" t="n"/>
      <c r="F41" s="361" t="n"/>
      <c r="G41" s="361" t="n"/>
      <c r="H41" s="361" t="n"/>
      <c r="I41" s="362" t="n"/>
    </row>
    <row r="42" ht="18" customHeight="1">
      <c r="A42" s="173" t="n">
        <v>0</v>
      </c>
      <c r="B42" s="299" t="inlineStr">
        <is>
          <t>Scheduled Service</t>
        </is>
      </c>
      <c r="C42" s="219" t="n"/>
      <c r="D42" s="326" t="inlineStr">
        <is>
          <t>NA</t>
        </is>
      </c>
      <c r="E42" s="218" t="n"/>
      <c r="F42" s="218" t="n"/>
      <c r="G42" s="218" t="n"/>
      <c r="H42" s="218" t="n"/>
      <c r="I42" s="222" t="n"/>
    </row>
    <row r="43" ht="18" customHeight="1" thickBot="1">
      <c r="A43" s="174" t="n">
        <v>0</v>
      </c>
      <c r="B43" s="302" t="inlineStr">
        <is>
          <t>Repairs Required but Operable</t>
        </is>
      </c>
      <c r="C43" s="363" t="n"/>
      <c r="D43" s="329" t="inlineStr">
        <is>
          <t>NA</t>
        </is>
      </c>
      <c r="E43" s="364" t="n"/>
      <c r="F43" s="364" t="n"/>
      <c r="G43" s="364" t="n"/>
      <c r="H43" s="364" t="n"/>
      <c r="I43" s="365" t="n"/>
    </row>
    <row r="44" ht="23.25" customHeight="1" thickTop="1">
      <c r="A44" s="273" t="inlineStr">
        <is>
          <t xml:space="preserve">Total Plant and Equipment Hours: </t>
        </is>
      </c>
      <c r="B44" s="366" t="n"/>
      <c r="C44" s="175">
        <f>SUM(C30:C40)</f>
        <v/>
      </c>
      <c r="D44" s="275" t="n"/>
      <c r="E44" s="208" t="n"/>
      <c r="F44" s="208" t="n"/>
      <c r="G44" s="208" t="n"/>
      <c r="H44" s="208" t="n"/>
      <c r="I44" s="216" t="n"/>
    </row>
    <row r="45" ht="25" customHeight="1">
      <c r="A45" s="251" t="inlineStr">
        <is>
          <t>DELAYS-OPPORTUNITY</t>
        </is>
      </c>
      <c r="B45" s="218" t="n"/>
      <c r="C45" s="218" t="n"/>
      <c r="D45" s="218" t="n"/>
      <c r="E45" s="218" t="n"/>
      <c r="F45" s="218" t="n"/>
      <c r="G45" s="218" t="n"/>
      <c r="H45" s="218" t="n"/>
      <c r="I45" s="222" t="n"/>
    </row>
    <row r="46" ht="69" customHeight="1" thickBot="1">
      <c r="A46" s="278"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Rain Delay fapprox 2 hours- 8:30 onwards
</t>
        </is>
      </c>
      <c r="B46" s="225" t="n"/>
      <c r="C46" s="225" t="n"/>
      <c r="D46" s="225" t="n"/>
      <c r="E46" s="225" t="n"/>
      <c r="F46" s="225" t="n"/>
      <c r="G46" s="225" t="n"/>
      <c r="H46" s="225" t="n"/>
      <c r="I46" s="226" t="n"/>
    </row>
    <row r="47" ht="36" customHeight="1">
      <c r="A47" s="212" t="n"/>
      <c r="I47" s="214" t="n"/>
    </row>
    <row r="48" ht="90.75" customHeight="1">
      <c r="A48" s="212" t="n"/>
      <c r="I48" s="214" t="n"/>
    </row>
    <row r="49" ht="9.75" customHeight="1" thickBot="1">
      <c r="A49" s="235" t="n"/>
      <c r="B49" s="236" t="n"/>
      <c r="C49" s="236" t="n"/>
      <c r="D49" s="236" t="n"/>
      <c r="E49" s="236" t="n"/>
      <c r="F49" s="236" t="n"/>
      <c r="G49" s="236" t="n"/>
      <c r="H49" s="236" t="n"/>
      <c r="I49" s="237" t="n"/>
    </row>
    <row r="50" ht="25" customHeight="1">
      <c r="A50" s="260" t="inlineStr">
        <is>
          <t>HSEQ MESSAGES</t>
        </is>
      </c>
      <c r="B50" s="239" t="n"/>
      <c r="C50" s="239" t="n"/>
      <c r="D50" s="239" t="n"/>
      <c r="E50" s="239" t="n"/>
      <c r="F50" s="239" t="n"/>
      <c r="G50" s="239" t="n"/>
      <c r="H50" s="239" t="n"/>
      <c r="I50" s="240" t="n"/>
    </row>
    <row r="51" ht="20" customHeight="1">
      <c r="A51" s="176" t="inlineStr">
        <is>
          <t>TCD - Monthly Safety Focus:</t>
        </is>
      </c>
      <c r="B51" s="285" t="inlineStr">
        <is>
          <t>Prestart Checks</t>
        </is>
      </c>
      <c r="C51" s="218" t="n"/>
      <c r="D51" s="218" t="n"/>
      <c r="E51" s="218" t="n"/>
      <c r="F51" s="218" t="n"/>
      <c r="G51" s="218" t="n"/>
      <c r="H51" s="218" t="n"/>
      <c r="I51" s="219" t="n"/>
    </row>
    <row r="52" ht="20" customHeight="1">
      <c r="A52" s="176" t="inlineStr">
        <is>
          <t>TCD - Daily Safety Focus:</t>
        </is>
      </c>
      <c r="B52" s="270" t="inlineStr">
        <is>
          <t>PPE</t>
        </is>
      </c>
      <c r="C52" s="218" t="n"/>
      <c r="D52" s="218" t="n"/>
      <c r="E52" s="218" t="n"/>
      <c r="F52" s="218" t="n"/>
      <c r="G52" s="218" t="n"/>
      <c r="H52" s="218" t="n"/>
      <c r="I52" s="222" t="n"/>
    </row>
    <row r="53" ht="20" customHeight="1">
      <c r="A53" s="177" t="inlineStr">
        <is>
          <t xml:space="preserve">Hazards Reported: </t>
        </is>
      </c>
      <c r="B53" s="270" t="inlineStr">
        <is>
          <t>Nil</t>
        </is>
      </c>
      <c r="C53" s="218" t="n"/>
      <c r="D53" s="218" t="n"/>
      <c r="E53" s="218" t="n"/>
      <c r="F53" s="218" t="n"/>
      <c r="G53" s="218" t="n"/>
      <c r="H53" s="218" t="n"/>
      <c r="I53" s="222" t="n"/>
    </row>
    <row r="54" ht="20" customHeight="1">
      <c r="A54" s="177" t="inlineStr">
        <is>
          <t>Incident Free Days</t>
        </is>
      </c>
      <c r="B54" s="367" t="n">
        <v>0</v>
      </c>
      <c r="C54" s="218" t="n"/>
      <c r="D54" s="218" t="n"/>
      <c r="E54" s="218" t="n"/>
      <c r="F54" s="218" t="n"/>
      <c r="G54" s="218" t="n"/>
      <c r="H54" s="218" t="n"/>
      <c r="I54" s="222" t="n"/>
    </row>
    <row r="55" ht="20" customHeight="1">
      <c r="A55" s="178" t="inlineStr">
        <is>
          <t>Other Notes</t>
        </is>
      </c>
      <c r="B55" s="271" t="inlineStr">
        <is>
          <t>NA</t>
        </is>
      </c>
      <c r="C55" s="225" t="n"/>
      <c r="D55" s="225" t="n"/>
      <c r="E55" s="225" t="n"/>
      <c r="F55" s="225" t="n"/>
      <c r="G55" s="225" t="n"/>
      <c r="H55" s="225" t="n"/>
      <c r="I55" s="226" t="n"/>
    </row>
    <row r="56" ht="20.25" customHeight="1">
      <c r="A56" s="251" t="inlineStr">
        <is>
          <t xml:space="preserve">INCIDENTS &amp; REPORTS </t>
        </is>
      </c>
      <c r="B56" s="218" t="n"/>
      <c r="C56" s="218" t="n"/>
      <c r="D56" s="218" t="n"/>
      <c r="E56" s="218" t="n"/>
      <c r="F56" s="218" t="n"/>
      <c r="G56" s="218" t="n"/>
      <c r="H56" s="218" t="n"/>
      <c r="I56" s="222" t="n"/>
    </row>
    <row r="57" ht="20" customHeight="1">
      <c r="A57" s="179" t="n"/>
      <c r="B57" s="180" t="inlineStr">
        <is>
          <t>QTY</t>
        </is>
      </c>
      <c r="C57" s="272" t="inlineStr">
        <is>
          <t>Comments</t>
        </is>
      </c>
      <c r="D57" s="218" t="n"/>
      <c r="E57" s="218" t="n"/>
      <c r="F57" s="218" t="n"/>
      <c r="G57" s="218" t="n"/>
      <c r="H57" s="218" t="n"/>
      <c r="I57" s="222" t="n"/>
    </row>
    <row r="58" ht="20" customHeight="1">
      <c r="A58" s="130" t="inlineStr">
        <is>
          <t>INCIDENT</t>
        </is>
      </c>
      <c r="B58" s="105" t="n">
        <v>1</v>
      </c>
      <c r="C58" s="344" t="inlineStr">
        <is>
          <t>Property Damage to Watercart</t>
        </is>
      </c>
      <c r="D58" s="225" t="n"/>
      <c r="E58" s="225" t="n"/>
      <c r="F58" s="225" t="n"/>
      <c r="G58" s="225" t="n"/>
      <c r="H58" s="225" t="n"/>
      <c r="I58" s="226" t="n"/>
    </row>
    <row r="59" ht="20" customHeight="1">
      <c r="A59" s="196" t="inlineStr">
        <is>
          <t>IR</t>
        </is>
      </c>
      <c r="B59" s="114" t="n">
        <v>0</v>
      </c>
      <c r="C59" s="254" t="inlineStr">
        <is>
          <t>NA</t>
        </is>
      </c>
      <c r="D59" s="225" t="n"/>
      <c r="E59" s="225" t="n"/>
      <c r="F59" s="225" t="n"/>
      <c r="G59" s="225" t="n"/>
      <c r="H59" s="225" t="n"/>
      <c r="I59" s="226" t="n"/>
    </row>
    <row r="60" ht="20" customHeight="1" thickBot="1">
      <c r="A60" s="197" t="inlineStr">
        <is>
          <t>NCR</t>
        </is>
      </c>
      <c r="B60" s="198" t="n">
        <v>0</v>
      </c>
      <c r="C60" s="257" t="inlineStr">
        <is>
          <t>NA</t>
        </is>
      </c>
      <c r="D60" s="248" t="n"/>
      <c r="E60" s="248" t="n"/>
      <c r="F60" s="248" t="n"/>
      <c r="G60" s="248" t="n"/>
      <c r="H60" s="248" t="n"/>
      <c r="I60" s="249" t="n"/>
    </row>
    <row r="61" ht="20.25" customHeight="1">
      <c r="A61" s="260" t="inlineStr">
        <is>
          <t>COMMUNICATIONS</t>
        </is>
      </c>
      <c r="B61" s="239" t="n"/>
      <c r="C61" s="239" t="n"/>
      <c r="D61" s="239" t="n"/>
      <c r="E61" s="239" t="n"/>
      <c r="F61" s="239" t="n"/>
      <c r="G61" s="239" t="n"/>
      <c r="H61" s="239" t="n"/>
      <c r="I61" s="240" t="n"/>
    </row>
    <row r="62" ht="25" customHeight="1">
      <c r="A62" s="263" t="inlineStr">
        <is>
          <t>TGS MB1119-05 Scheme D implemented</t>
        </is>
      </c>
      <c r="B62" s="218" t="n"/>
      <c r="C62" s="218" t="n"/>
      <c r="D62" s="218" t="n"/>
      <c r="E62" s="218" t="n"/>
      <c r="F62" s="218" t="n"/>
      <c r="G62" s="218" t="n"/>
      <c r="H62" s="218" t="n"/>
      <c r="I62" s="222" t="n"/>
    </row>
    <row r="63" ht="25" customHeight="1">
      <c r="A63" s="251" t="inlineStr">
        <is>
          <t>PRODUCTION (CONSTRUCTION STATUS &amp; PROGRESS)</t>
        </is>
      </c>
      <c r="B63" s="218" t="n"/>
      <c r="C63" s="218" t="n"/>
      <c r="D63" s="218" t="n"/>
      <c r="E63" s="218" t="n"/>
      <c r="F63" s="218" t="n"/>
      <c r="G63" s="218" t="n"/>
      <c r="H63" s="218" t="n"/>
      <c r="I63" s="222" t="n"/>
    </row>
    <row r="64" ht="20" customHeight="1">
      <c r="A64" s="263" t="inlineStr">
        <is>
          <t>Ongoing kerbing works at Country builders,Centrelink car park/forest street,Planters at chambers intersection including re work of 4metres of curved and 2metres of angled kerbing SMK-FK</t>
        </is>
      </c>
      <c r="B64" s="218" t="n"/>
      <c r="C64" s="218" t="n"/>
      <c r="D64" s="218" t="n"/>
      <c r="E64" s="218" t="n"/>
      <c r="F64" s="218" t="n"/>
      <c r="G64" s="218" t="n"/>
      <c r="H64" s="218" t="n"/>
      <c r="I64" s="222" t="n"/>
    </row>
    <row r="65" ht="20" customHeight="1">
      <c r="A65" s="263" t="inlineStr">
        <is>
          <t>North east with paving install ongoing</t>
        </is>
      </c>
      <c r="B65" s="218" t="n"/>
      <c r="C65" s="218" t="n"/>
      <c r="D65" s="218" t="n"/>
      <c r="E65" s="218" t="n"/>
      <c r="F65" s="218" t="n"/>
      <c r="G65" s="218" t="n"/>
      <c r="H65" s="218" t="n"/>
      <c r="I65" s="222" t="n"/>
    </row>
    <row r="66" ht="20" customHeight="1">
      <c r="A66" s="263" t="inlineStr">
        <is>
          <t xml:space="preserve">Ground Prep works on forest street- leveling around pits </t>
        </is>
      </c>
      <c r="B66" s="218" t="n"/>
      <c r="C66" s="218" t="n"/>
      <c r="D66" s="218" t="n"/>
      <c r="E66" s="218" t="n"/>
      <c r="F66" s="218" t="n"/>
      <c r="G66" s="218" t="n"/>
      <c r="H66" s="218" t="n"/>
      <c r="I66" s="222" t="n"/>
    </row>
    <row r="67" ht="20" customHeight="1">
      <c r="A67" s="263" t="inlineStr">
        <is>
          <t>Gound Prep works for paving at chambers street is ongoing</t>
        </is>
      </c>
      <c r="B67" s="218" t="n"/>
      <c r="C67" s="218" t="n"/>
      <c r="D67" s="218" t="n"/>
      <c r="E67" s="218" t="n"/>
      <c r="F67" s="218" t="n"/>
      <c r="G67" s="218" t="n"/>
      <c r="H67" s="218" t="n"/>
      <c r="I67" s="222" t="n"/>
    </row>
    <row r="68" ht="20" customHeight="1">
      <c r="A68" s="263" t="inlineStr">
        <is>
          <t xml:space="preserve">AMG civil continue wall around electrical mini subs </t>
        </is>
      </c>
      <c r="B68" s="218" t="n"/>
      <c r="C68" s="218" t="n"/>
      <c r="D68" s="218" t="n"/>
      <c r="E68" s="218" t="n"/>
      <c r="F68" s="218" t="n"/>
      <c r="G68" s="218" t="n"/>
      <c r="H68" s="218" t="n"/>
      <c r="I68" s="222" t="n"/>
    </row>
    <row r="69" ht="20" customHeight="1">
      <c r="A69" s="263" t="inlineStr">
        <is>
          <t>Fill &amp; Level northern lots is ongoing</t>
        </is>
      </c>
      <c r="B69" s="218" t="n"/>
      <c r="C69" s="218" t="n"/>
      <c r="D69" s="218" t="n"/>
      <c r="E69" s="218" t="n"/>
      <c r="F69" s="218" t="n"/>
      <c r="G69" s="218" t="n"/>
      <c r="H69" s="218" t="n"/>
      <c r="I69" s="222" t="n"/>
    </row>
    <row r="70" ht="20" customHeight="1">
      <c r="A70" s="368" t="inlineStr">
        <is>
          <t>Minor Kerb Replacement to avoid trip Hazard at Chamber street ongoing</t>
        </is>
      </c>
      <c r="B70" s="218" t="n"/>
      <c r="C70" s="218" t="n"/>
      <c r="D70" s="218" t="n"/>
      <c r="E70" s="218" t="n"/>
      <c r="F70" s="218" t="n"/>
      <c r="G70" s="218" t="n"/>
      <c r="H70" s="218" t="n"/>
      <c r="I70" s="222" t="n"/>
    </row>
    <row r="71" ht="26.25" customHeight="1" thickBot="1">
      <c r="A71" s="264" t="inlineStr">
        <is>
          <t>Photos</t>
        </is>
      </c>
      <c r="B71" s="225" t="n"/>
      <c r="C71" s="225" t="n"/>
      <c r="D71" s="225" t="n"/>
      <c r="E71" s="225" t="n"/>
      <c r="F71" s="225" t="n"/>
      <c r="G71" s="225" t="n"/>
      <c r="H71" s="225" t="n"/>
      <c r="I71" s="226" t="n"/>
    </row>
    <row r="72" ht="23.25" customHeight="1">
      <c r="A72" s="181" t="n"/>
      <c r="B72" s="182" t="n"/>
      <c r="C72" s="182" t="n"/>
      <c r="D72" s="182" t="n"/>
      <c r="E72" s="182" t="n"/>
      <c r="F72" s="182" t="n"/>
      <c r="G72" s="182" t="n"/>
      <c r="H72" s="182" t="n"/>
      <c r="I72" s="183" t="n"/>
    </row>
    <row r="73" ht="23.25" customHeight="1">
      <c r="A73" s="184" t="n"/>
      <c r="B73" s="185" t="n"/>
      <c r="C73" s="185" t="n"/>
      <c r="D73" s="185" t="n"/>
      <c r="E73" s="185" t="n"/>
      <c r="F73" s="185" t="n"/>
      <c r="G73" s="185" t="n"/>
      <c r="H73" s="185" t="n"/>
      <c r="I73" s="186" t="n"/>
    </row>
    <row r="74" ht="1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15" customHeight="1">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25" customFormat="1" customHeight="1" s="187">
      <c r="A95" s="184" t="n"/>
      <c r="B95" s="185" t="n"/>
      <c r="C95" s="185" t="n"/>
      <c r="D95" s="185" t="n"/>
      <c r="E95" s="185" t="n"/>
      <c r="F95" s="185" t="n"/>
      <c r="G95" s="185" t="n"/>
      <c r="H95" s="185" t="n"/>
      <c r="I95" s="186" t="n"/>
    </row>
    <row r="96" ht="15" customHeight="1">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1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25" customHeight="1">
      <c r="A119" s="184" t="n"/>
      <c r="B119" s="185" t="n"/>
      <c r="C119" s="185" t="n"/>
      <c r="D119" s="185" t="n"/>
      <c r="E119" s="185" t="n"/>
      <c r="F119" s="185" t="n"/>
      <c r="G119" s="185" t="n"/>
      <c r="H119" s="185" t="n"/>
      <c r="I119" s="186" t="n"/>
    </row>
    <row r="120" ht="15"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28" customHeight="1">
      <c r="A122" s="184" t="n"/>
      <c r="B122" s="185" t="n"/>
      <c r="C122" s="185" t="n"/>
      <c r="D122" s="185" t="n"/>
      <c r="E122" s="185" t="n"/>
      <c r="F122" s="185" t="n"/>
      <c r="G122" s="185" t="n"/>
      <c r="H122" s="185" t="n"/>
      <c r="I122" s="186" t="n"/>
    </row>
    <row r="123" ht="15"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5" customHeight="1">
      <c r="A140" s="184" t="n"/>
      <c r="B140" s="185" t="n"/>
      <c r="C140" s="185" t="n"/>
      <c r="D140" s="185" t="n"/>
      <c r="E140" s="185" t="n"/>
      <c r="F140" s="185" t="n"/>
      <c r="G140" s="185" t="n"/>
      <c r="H140" s="185" t="n"/>
      <c r="I140" s="186" t="n"/>
    </row>
    <row r="141" ht="15" customHeight="1">
      <c r="A141" s="184" t="n"/>
      <c r="B141" s="185" t="n"/>
      <c r="C141" s="185" t="n"/>
      <c r="D141" s="185" t="n"/>
      <c r="E141" s="185" t="n"/>
      <c r="F141" s="185" t="n"/>
      <c r="G141" s="185" t="n"/>
      <c r="H141" s="185" t="n"/>
      <c r="I141" s="186" t="n"/>
    </row>
    <row r="142" ht="16" customHeight="1">
      <c r="A142" s="184" t="n"/>
      <c r="B142" s="185" t="n"/>
      <c r="C142" s="185" t="n"/>
      <c r="D142" s="185" t="n"/>
      <c r="E142" s="185" t="n"/>
      <c r="F142" s="185" t="n"/>
      <c r="G142" s="185" t="n"/>
      <c r="H142" s="185" t="n"/>
      <c r="I142" s="186" t="n"/>
    </row>
    <row r="143" ht="56.25" customHeight="1">
      <c r="A143" s="184" t="n"/>
      <c r="B143" s="185" t="n"/>
      <c r="C143" s="185" t="n"/>
      <c r="D143" s="185" t="n"/>
      <c r="E143" s="185" t="n"/>
      <c r="F143" s="185" t="n"/>
      <c r="G143" s="185" t="n"/>
      <c r="H143" s="185" t="n"/>
      <c r="I143" s="186" t="n"/>
    </row>
    <row r="144">
      <c r="A144" s="184" t="n"/>
      <c r="B144" s="185" t="n"/>
      <c r="C144" s="185" t="n"/>
      <c r="D144" s="185" t="n"/>
      <c r="E144" s="185" t="n"/>
      <c r="F144" s="185" t="n"/>
      <c r="G144" s="185" t="n"/>
      <c r="H144" s="185" t="n"/>
      <c r="I144" s="186" t="n"/>
    </row>
    <row r="145">
      <c r="A145" s="184" t="n"/>
      <c r="B145" s="185" t="n"/>
      <c r="C145" s="185" t="n"/>
      <c r="D145" s="185" t="n"/>
      <c r="E145" s="185" t="n"/>
      <c r="F145" s="185" t="n"/>
      <c r="G145" s="185" t="n"/>
      <c r="H145" s="185" t="n"/>
      <c r="I145" s="186" t="n"/>
    </row>
    <row r="146">
      <c r="A146" s="184" t="n"/>
      <c r="B146" s="185" t="n"/>
      <c r="C146" s="185" t="n"/>
      <c r="D146" s="185" t="n"/>
      <c r="E146" s="185" t="n"/>
      <c r="F146" s="185" t="n"/>
      <c r="G146" s="185" t="n"/>
      <c r="H146" s="185" t="n"/>
      <c r="I146" s="186" t="n"/>
    </row>
    <row r="147" ht="20" customHeight="1" thickBot="1">
      <c r="A147" s="188" t="n"/>
      <c r="B147" s="189" t="n"/>
      <c r="C147" s="189" t="n"/>
      <c r="D147" s="189" t="n"/>
      <c r="E147" s="189" t="n"/>
      <c r="F147" s="189" t="n"/>
      <c r="G147" s="189" t="n"/>
      <c r="H147" s="189" t="n"/>
      <c r="I147" s="190" t="n"/>
    </row>
    <row r="148">
      <c r="A148" s="184" t="n"/>
      <c r="B148" s="185" t="n"/>
      <c r="C148" s="185" t="n"/>
      <c r="D148" s="185" t="n"/>
      <c r="E148" s="185" t="n"/>
      <c r="F148" s="185" t="n"/>
      <c r="G148" s="185" t="n"/>
      <c r="H148" s="185" t="n"/>
      <c r="I148" s="185" t="n"/>
      <c r="J148" s="185" t="n"/>
      <c r="K148" s="185" t="n"/>
      <c r="L148" s="185" t="n"/>
    </row>
    <row r="149">
      <c r="A149" s="184" t="n"/>
      <c r="B149" s="185" t="n"/>
      <c r="C149" s="185" t="n"/>
      <c r="D149" s="185" t="n"/>
      <c r="E149" s="185" t="n"/>
      <c r="F149" s="185" t="n"/>
      <c r="G149" s="185" t="n"/>
      <c r="H149" s="185" t="n"/>
      <c r="I149" s="185" t="n"/>
    </row>
    <row r="150">
      <c r="A150" s="184" t="n"/>
      <c r="B150" s="185" t="n"/>
      <c r="C150" s="185" t="n"/>
      <c r="D150" s="185" t="n"/>
      <c r="E150" s="185" t="n"/>
      <c r="F150" s="185" t="n"/>
      <c r="G150" s="185" t="n"/>
      <c r="H150" s="185" t="n"/>
      <c r="I150" s="185" t="n"/>
    </row>
    <row r="151">
      <c r="A151" s="184" t="n"/>
      <c r="B151" s="185" t="n"/>
      <c r="C151" s="185" t="n"/>
      <c r="D151" s="185" t="n"/>
      <c r="E151" s="185" t="n"/>
      <c r="F151" s="185" t="n"/>
      <c r="G151" s="185" t="n"/>
      <c r="H151" s="185" t="n"/>
      <c r="I151" s="185" t="n"/>
    </row>
    <row r="152">
      <c r="A152" s="184" t="n"/>
      <c r="B152" s="185" t="n"/>
      <c r="C152" s="185" t="n"/>
      <c r="D152" s="185" t="n"/>
      <c r="E152" s="185" t="n"/>
      <c r="F152" s="185" t="n"/>
      <c r="G152" s="185" t="n"/>
      <c r="H152" s="185" t="n"/>
      <c r="I152" s="185" t="n"/>
    </row>
    <row r="153">
      <c r="A153" s="184" t="n"/>
      <c r="B153" s="185" t="n"/>
      <c r="C153" s="185" t="n"/>
      <c r="D153" s="185" t="n"/>
      <c r="E153" s="185" t="n"/>
      <c r="F153" s="185" t="n"/>
      <c r="G153" s="185" t="n"/>
      <c r="H153" s="185" t="n"/>
      <c r="I153" s="185" t="n"/>
    </row>
    <row r="154">
      <c r="A154" s="184" t="n"/>
      <c r="B154" s="185" t="n"/>
      <c r="C154" s="185" t="n"/>
      <c r="D154" s="185" t="n"/>
      <c r="E154" s="185" t="n"/>
      <c r="F154" s="185" t="n"/>
      <c r="G154" s="185" t="n"/>
      <c r="H154" s="185" t="n"/>
      <c r="I154" s="185" t="n"/>
    </row>
    <row r="155">
      <c r="A155" s="184" t="n"/>
      <c r="B155" s="185" t="n"/>
      <c r="C155" s="185" t="n"/>
      <c r="D155" s="185" t="n"/>
      <c r="E155" s="185" t="n"/>
      <c r="F155" s="185" t="n"/>
      <c r="G155" s="185" t="n"/>
      <c r="H155" s="185" t="n"/>
      <c r="I155" s="185" t="n"/>
    </row>
    <row r="156">
      <c r="A156" s="184" t="n"/>
      <c r="B156" s="185" t="n"/>
      <c r="C156" s="185" t="n"/>
      <c r="D156" s="185" t="n"/>
      <c r="E156" s="185" t="n"/>
      <c r="F156" s="185" t="n"/>
      <c r="G156" s="185" t="n"/>
      <c r="H156" s="185" t="n"/>
      <c r="I156" s="185" t="n"/>
    </row>
    <row r="157">
      <c r="A157" s="184" t="n"/>
      <c r="B157" s="185" t="n"/>
      <c r="C157" s="185" t="n"/>
      <c r="D157" s="185" t="n"/>
      <c r="E157" s="185" t="n"/>
      <c r="F157" s="185" t="n"/>
      <c r="G157" s="185" t="n"/>
      <c r="H157" s="185" t="n"/>
      <c r="I157" s="185" t="n"/>
    </row>
    <row r="158">
      <c r="A158" s="184" t="n"/>
      <c r="B158" s="185" t="n"/>
      <c r="C158" s="185" t="n"/>
      <c r="D158" s="185" t="n"/>
      <c r="E158" s="185" t="n"/>
      <c r="F158" s="185" t="n"/>
      <c r="G158" s="185" t="n"/>
      <c r="H158" s="185" t="n"/>
      <c r="I158" s="185" t="n"/>
    </row>
    <row r="159">
      <c r="A159" s="184" t="n"/>
      <c r="B159" s="185" t="n"/>
      <c r="C159" s="185" t="n"/>
      <c r="D159" s="185" t="n"/>
      <c r="E159" s="185" t="n"/>
      <c r="F159" s="185" t="n"/>
      <c r="G159" s="185" t="n"/>
      <c r="H159" s="185" t="n"/>
      <c r="I159" s="185" t="n"/>
    </row>
    <row r="160">
      <c r="A160" s="184" t="n"/>
      <c r="B160" s="185" t="n"/>
      <c r="C160" s="185" t="n"/>
      <c r="D160" s="185" t="n"/>
      <c r="E160" s="185" t="n"/>
      <c r="F160" s="185" t="n"/>
      <c r="G160" s="185" t="n"/>
      <c r="H160" s="185" t="n"/>
      <c r="I160" s="185" t="n"/>
    </row>
    <row r="161">
      <c r="A161" s="184" t="n"/>
      <c r="B161" s="185" t="n"/>
      <c r="C161" s="185" t="n"/>
      <c r="D161" s="185" t="n"/>
      <c r="E161" s="185" t="n"/>
      <c r="F161" s="185" t="n"/>
      <c r="G161" s="185" t="n"/>
      <c r="H161" s="185" t="n"/>
      <c r="I161" s="185" t="n"/>
    </row>
    <row r="162">
      <c r="A162" s="184" t="n"/>
      <c r="B162" s="185" t="n"/>
      <c r="C162" s="185" t="n"/>
      <c r="D162" s="185" t="n"/>
      <c r="E162" s="185" t="n"/>
      <c r="F162" s="185" t="n"/>
      <c r="G162" s="185" t="n"/>
      <c r="H162" s="185" t="n"/>
      <c r="I162" s="185" t="n"/>
    </row>
    <row r="163">
      <c r="A163" s="184" t="n"/>
      <c r="B163" s="185" t="n"/>
      <c r="C163" s="185" t="n"/>
      <c r="D163" s="185" t="n"/>
      <c r="E163" s="185" t="n"/>
      <c r="F163" s="185" t="n"/>
      <c r="G163" s="185" t="n"/>
      <c r="H163" s="185" t="n"/>
      <c r="I163" s="185" t="n"/>
    </row>
    <row r="164">
      <c r="A164" s="184" t="n"/>
      <c r="B164" s="185" t="n"/>
      <c r="C164" s="185" t="n"/>
      <c r="D164" s="185" t="n"/>
      <c r="E164" s="185" t="n"/>
      <c r="F164" s="185" t="n"/>
      <c r="G164" s="185" t="n"/>
      <c r="H164" s="185" t="n"/>
      <c r="I164" s="185" t="n"/>
    </row>
    <row r="165">
      <c r="A165" s="184" t="n"/>
      <c r="B165" s="185" t="n"/>
      <c r="C165" s="185" t="n"/>
      <c r="D165" s="185" t="n"/>
      <c r="E165" s="185" t="n"/>
      <c r="F165" s="185" t="n"/>
      <c r="G165" s="185" t="n"/>
      <c r="H165" s="185" t="n"/>
      <c r="I165" s="185" t="n"/>
    </row>
    <row r="166">
      <c r="A166" s="184" t="n"/>
      <c r="B166" s="185" t="n"/>
      <c r="C166" s="185" t="n"/>
      <c r="D166" s="185" t="n"/>
      <c r="E166" s="185" t="n"/>
      <c r="F166" s="185" t="n"/>
      <c r="G166" s="185" t="n"/>
      <c r="H166" s="185" t="n"/>
      <c r="I166" s="185" t="n"/>
    </row>
    <row r="167">
      <c r="A167" s="184" t="n"/>
      <c r="B167" s="185" t="n"/>
      <c r="C167" s="185" t="n"/>
      <c r="D167" s="185" t="n"/>
      <c r="E167" s="185" t="n"/>
      <c r="F167" s="185" t="n"/>
      <c r="G167" s="185" t="n"/>
      <c r="H167" s="185" t="n"/>
      <c r="I167" s="185" t="n"/>
    </row>
    <row r="168">
      <c r="A168" s="184" t="n"/>
      <c r="B168" s="185" t="n"/>
      <c r="C168" s="185" t="n"/>
      <c r="D168" s="185" t="n"/>
      <c r="E168" s="185" t="n"/>
      <c r="F168" s="185" t="n"/>
      <c r="G168" s="185" t="n"/>
      <c r="H168" s="185" t="n"/>
      <c r="I168" s="185" t="n"/>
    </row>
    <row r="169">
      <c r="A169" s="184" t="n"/>
      <c r="B169" s="185" t="n"/>
      <c r="C169" s="185" t="n"/>
      <c r="D169" s="185" t="n"/>
      <c r="E169" s="185" t="n"/>
      <c r="F169" s="185" t="n"/>
      <c r="G169" s="185" t="n"/>
      <c r="H169" s="185" t="n"/>
      <c r="I169" s="185" t="n"/>
    </row>
    <row r="170">
      <c r="A170" s="184" t="n"/>
      <c r="B170" s="185" t="n"/>
      <c r="C170" s="185" t="n"/>
      <c r="D170" s="185" t="n"/>
      <c r="E170" s="185" t="n"/>
      <c r="F170" s="185" t="n"/>
      <c r="G170" s="185" t="n"/>
      <c r="H170" s="185" t="n"/>
      <c r="I170" s="185" t="n"/>
    </row>
    <row r="171">
      <c r="A171" s="184" t="n"/>
      <c r="B171" s="185" t="n"/>
      <c r="C171" s="185" t="n"/>
      <c r="D171" s="185" t="n"/>
      <c r="E171" s="185" t="n"/>
      <c r="F171" s="185" t="n"/>
      <c r="G171" s="185" t="n"/>
      <c r="H171" s="185" t="n"/>
      <c r="I171" s="185" t="n"/>
    </row>
    <row r="172">
      <c r="A172" s="184" t="n"/>
      <c r="B172" s="185" t="n"/>
      <c r="C172" s="185" t="n"/>
      <c r="D172" s="185" t="n"/>
      <c r="E172" s="185" t="n"/>
      <c r="F172" s="185" t="n"/>
      <c r="G172" s="185" t="n"/>
      <c r="H172" s="185" t="n"/>
      <c r="I172" s="185" t="n"/>
    </row>
    <row r="173">
      <c r="A173" s="184" t="n"/>
      <c r="B173" s="185" t="n"/>
      <c r="C173" s="185" t="n"/>
      <c r="D173" s="185" t="n"/>
      <c r="E173" s="185" t="n"/>
      <c r="F173" s="185" t="n"/>
      <c r="G173" s="185" t="n"/>
      <c r="H173" s="185" t="n"/>
      <c r="I173" s="185" t="n"/>
    </row>
    <row r="174">
      <c r="A174" s="184" t="n"/>
      <c r="B174" s="185" t="n"/>
      <c r="C174" s="185" t="n"/>
      <c r="D174" s="185" t="n"/>
      <c r="E174" s="185" t="n"/>
      <c r="F174" s="185" t="n"/>
      <c r="G174" s="185" t="n"/>
      <c r="H174" s="185" t="n"/>
      <c r="I174" s="185" t="n"/>
    </row>
    <row r="175">
      <c r="A175" s="184" t="n"/>
      <c r="B175" s="185" t="n"/>
      <c r="C175" s="185" t="n"/>
      <c r="D175" s="185" t="n"/>
      <c r="E175" s="185" t="n"/>
      <c r="F175" s="185" t="n"/>
      <c r="G175" s="185" t="n"/>
      <c r="H175" s="185" t="n"/>
      <c r="I175" s="185" t="n"/>
    </row>
    <row r="176">
      <c r="A176" s="184" t="n"/>
      <c r="B176" s="185" t="n"/>
      <c r="C176" s="185" t="n"/>
      <c r="D176" s="185" t="n"/>
      <c r="E176" s="185" t="n"/>
      <c r="F176" s="185" t="n"/>
      <c r="G176" s="185" t="n"/>
      <c r="H176" s="185" t="n"/>
      <c r="I176" s="185" t="n"/>
      <c r="J176" s="185" t="n"/>
    </row>
    <row r="177">
      <c r="A177" s="184" t="n"/>
      <c r="B177" s="185" t="n"/>
      <c r="C177" s="185" t="n"/>
      <c r="D177" s="185" t="n"/>
      <c r="E177" s="185" t="n"/>
      <c r="F177" s="185" t="n"/>
      <c r="G177" s="185" t="n"/>
      <c r="H177" s="185" t="n"/>
      <c r="I177" s="185" t="n"/>
      <c r="J177" s="185" t="n"/>
      <c r="K177" s="185" t="n"/>
    </row>
    <row r="178">
      <c r="A178" s="184" t="n"/>
      <c r="B178" s="185" t="n"/>
      <c r="C178" s="185" t="n"/>
      <c r="D178" s="185" t="n"/>
      <c r="E178" s="185" t="n"/>
      <c r="F178" s="185" t="n"/>
      <c r="G178" s="185" t="n"/>
      <c r="H178" s="185" t="n"/>
      <c r="I178" s="185" t="n"/>
      <c r="J178" s="185" t="n"/>
    </row>
    <row r="179">
      <c r="A179" s="191" t="n"/>
    </row>
    <row r="180">
      <c r="A180" s="191" t="n"/>
    </row>
    <row r="181">
      <c r="A181" s="191" t="n"/>
    </row>
    <row r="182">
      <c r="A182" s="191" t="n"/>
    </row>
    <row r="183">
      <c r="A183" s="191" t="n"/>
    </row>
    <row r="184">
      <c r="A184" s="191" t="n"/>
    </row>
    <row r="185">
      <c r="A185" s="191" t="n"/>
    </row>
    <row r="186">
      <c r="A186" s="191" t="n"/>
    </row>
    <row r="187">
      <c r="A187" s="191" t="n"/>
    </row>
    <row r="188">
      <c r="A188" s="191" t="n"/>
    </row>
    <row r="189">
      <c r="A189" s="191" t="n"/>
    </row>
    <row r="190">
      <c r="A190" s="191" t="n"/>
    </row>
    <row r="191">
      <c r="A191" s="191" t="n"/>
    </row>
    <row r="192">
      <c r="A192" s="191" t="n"/>
    </row>
    <row r="197" ht="16" customHeight="1"/>
    <row r="204" ht="16" customHeight="1"/>
  </sheetData>
  <mergeCells count="44">
    <mergeCell ref="A65:I65"/>
    <mergeCell ref="D13:F13"/>
    <mergeCell ref="G13:I13"/>
    <mergeCell ref="B8:D8"/>
    <mergeCell ref="D41:I41"/>
    <mergeCell ref="B54:I54"/>
    <mergeCell ref="A66:I66"/>
    <mergeCell ref="A56:I56"/>
    <mergeCell ref="A50:I50"/>
    <mergeCell ref="A12:I12"/>
    <mergeCell ref="C57:I57"/>
    <mergeCell ref="B43:C43"/>
    <mergeCell ref="D43:I43"/>
    <mergeCell ref="B52:I52"/>
    <mergeCell ref="A71:I71"/>
    <mergeCell ref="A5:I5"/>
    <mergeCell ref="B42:C42"/>
    <mergeCell ref="B9:D9"/>
    <mergeCell ref="B6:D6"/>
    <mergeCell ref="A62:I62"/>
    <mergeCell ref="C58:I58"/>
    <mergeCell ref="A13:C13"/>
    <mergeCell ref="D42:I42"/>
    <mergeCell ref="A63:I63"/>
    <mergeCell ref="B53:I53"/>
    <mergeCell ref="A10:I10"/>
    <mergeCell ref="A1:I4"/>
    <mergeCell ref="A68:I68"/>
    <mergeCell ref="B41:C41"/>
    <mergeCell ref="A67:I67"/>
    <mergeCell ref="D44:I44"/>
    <mergeCell ref="B7:D7"/>
    <mergeCell ref="A64:I64"/>
    <mergeCell ref="A11:I11"/>
    <mergeCell ref="B55:I55"/>
    <mergeCell ref="B51:I51"/>
    <mergeCell ref="C59:I59"/>
    <mergeCell ref="A45:I45"/>
    <mergeCell ref="A70:I70"/>
    <mergeCell ref="A44:B44"/>
    <mergeCell ref="A46:I49"/>
    <mergeCell ref="A61:I61"/>
    <mergeCell ref="C60:I60"/>
    <mergeCell ref="A69:I69"/>
  </mergeCells>
  <printOptions horizontalCentered="1"/>
  <pageMargins left="0.2362204724409449" right="0.2362204724409449" top="0.7480314960629921" bottom="0.7480314960629921" header="0.3149606299212598" footer="0.3149606299212598"/>
  <pageSetup orientation="portrait" paperSize="8" scale="40"/>
  <rowBreaks count="1" manualBreakCount="1">
    <brk id="70" min="0" max="8" man="1"/>
  </rowBreaks>
</worksheet>
</file>

<file path=xl/worksheets/sheet26.xml><?xml version="1.0" encoding="utf-8"?>
<worksheet xmlns="http://schemas.openxmlformats.org/spreadsheetml/2006/main">
  <sheetPr>
    <outlinePr summaryBelow="1" summaryRight="1"/>
    <pageSetUpPr fitToPage="1"/>
  </sheetPr>
  <dimension ref="A1:L228"/>
  <sheetViews>
    <sheetView view="pageBreakPreview" topLeftCell="A18" zoomScale="55" zoomScaleNormal="55" zoomScaleSheetLayoutView="55" workbookViewId="0">
      <selection activeCell="O110" sqref="O110"/>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45960</v>
      </c>
    </row>
    <row r="7" ht="23.25" customHeight="1">
      <c r="A7" s="80" t="inlineStr">
        <is>
          <t>Project Location:</t>
        </is>
      </c>
      <c r="B7" s="318" t="inlineStr">
        <is>
          <t>Geraldton</t>
        </is>
      </c>
      <c r="E7" s="318" t="n"/>
      <c r="F7" s="82" t="n"/>
      <c r="G7" s="82" t="n"/>
      <c r="H7" s="200" t="inlineStr">
        <is>
          <t>Day:</t>
        </is>
      </c>
      <c r="I7" s="84">
        <f>WEEKDAY(I6)</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f t="array" ref="B9">RIGHT(CELL("filename",A1),LEN(CELL("filename",A1))-FIND("]",CELL("filename",A1)))</f>
        <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10-220C,  Wind:  36 km/h SSE, Precip: 0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c r="G15" s="102" t="inlineStr">
        <is>
          <t>McAuliffe, Daniel</t>
        </is>
      </c>
      <c r="H15" s="98" t="inlineStr">
        <is>
          <t>Operator</t>
        </is>
      </c>
      <c r="I15" s="103" t="n">
        <v>10</v>
      </c>
    </row>
    <row r="16" ht="23.25" customHeight="1">
      <c r="A16" s="104" t="inlineStr">
        <is>
          <t>GRIFFITHS, Daniel</t>
        </is>
      </c>
      <c r="B16" s="105" t="inlineStr">
        <is>
          <t>Project Manager</t>
        </is>
      </c>
      <c r="C16" s="106" t="n">
        <v>12</v>
      </c>
      <c r="D16" s="107" t="inlineStr">
        <is>
          <t>McGahon,Aideen</t>
        </is>
      </c>
      <c r="E16" s="105" t="inlineStr">
        <is>
          <t>Operator</t>
        </is>
      </c>
      <c r="F16" s="108" t="n">
        <v>12</v>
      </c>
      <c r="G16" s="109" t="inlineStr">
        <is>
          <t>Mosley,Joshua</t>
        </is>
      </c>
      <c r="H16" s="105" t="inlineStr">
        <is>
          <t>Surveyor</t>
        </is>
      </c>
      <c r="I16" s="110" t="n">
        <v>6</v>
      </c>
    </row>
    <row r="17" ht="23.25" customHeight="1">
      <c r="A17" s="104" t="inlineStr">
        <is>
          <t>O"SHEA, John</t>
        </is>
      </c>
      <c r="B17" s="105" t="inlineStr">
        <is>
          <t>Senior Project Engineer</t>
        </is>
      </c>
      <c r="C17" s="106" t="n"/>
      <c r="D17" s="107" t="n"/>
      <c r="E17" s="105" t="n"/>
      <c r="F17" s="108" t="n"/>
      <c r="G17" s="109" t="inlineStr">
        <is>
          <t>Keady, Brendan</t>
        </is>
      </c>
      <c r="H17" s="105" t="inlineStr">
        <is>
          <t>Operator</t>
        </is>
      </c>
      <c r="I17" s="110" t="n">
        <v>12</v>
      </c>
    </row>
    <row r="18" ht="23.25" customHeight="1">
      <c r="A18" s="104" t="inlineStr">
        <is>
          <t>GRIFFITHS, Ashley</t>
        </is>
      </c>
      <c r="B18" s="105" t="inlineStr">
        <is>
          <t>Supervisor</t>
        </is>
      </c>
      <c r="C18" s="106" t="n">
        <v>10</v>
      </c>
      <c r="D18" s="111" t="n"/>
      <c r="E18" s="112" t="n"/>
      <c r="F18" s="108" t="n"/>
      <c r="G18" s="109" t="inlineStr">
        <is>
          <t>Griffiths, Jaquai</t>
        </is>
      </c>
      <c r="H18" s="105" t="inlineStr">
        <is>
          <t>Operator</t>
        </is>
      </c>
      <c r="I18" s="110" t="n">
        <v>10</v>
      </c>
    </row>
    <row r="19" ht="23.25" customHeight="1">
      <c r="A19" s="104" t="inlineStr">
        <is>
          <t>THOMPSON,Cheryl</t>
        </is>
      </c>
      <c r="B19" s="105" t="inlineStr">
        <is>
          <t>HSET</t>
        </is>
      </c>
      <c r="C19" s="106" t="n"/>
      <c r="D19" s="111" t="n"/>
      <c r="E19" s="112" t="n"/>
      <c r="F19" s="108" t="n"/>
      <c r="G19" s="109" t="inlineStr">
        <is>
          <t>McConnell, Adam</t>
        </is>
      </c>
      <c r="H19" s="105" t="inlineStr">
        <is>
          <t>Labourer</t>
        </is>
      </c>
      <c r="I19" s="110" t="n">
        <v>12</v>
      </c>
    </row>
    <row r="20" ht="23.25" customHeight="1">
      <c r="A20" s="104" t="inlineStr">
        <is>
          <t>SKINNER,Jamie</t>
        </is>
      </c>
      <c r="B20" s="105" t="inlineStr">
        <is>
          <t>Supervisor</t>
        </is>
      </c>
      <c r="C20" s="106" t="n">
        <v>12</v>
      </c>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v>12</v>
      </c>
      <c r="D21" s="111" t="n"/>
      <c r="E21" s="112" t="n"/>
      <c r="F21" s="108" t="n"/>
      <c r="G21" s="109" t="inlineStr">
        <is>
          <t>Kerbers</t>
        </is>
      </c>
      <c r="H21" s="105" t="inlineStr">
        <is>
          <t>Kerbers</t>
        </is>
      </c>
      <c r="I21" s="110" t="n">
        <v>12</v>
      </c>
    </row>
    <row r="22" ht="23.25" customHeight="1">
      <c r="A22" s="104" t="inlineStr">
        <is>
          <t>JOGI, Amit</t>
        </is>
      </c>
      <c r="B22" s="105" t="inlineStr">
        <is>
          <t>Project Engineer</t>
        </is>
      </c>
      <c r="C22" s="106" t="n">
        <v>12</v>
      </c>
      <c r="D22" s="111" t="n"/>
      <c r="E22" s="112" t="n"/>
      <c r="F22" s="108" t="n"/>
      <c r="G22" s="109" t="inlineStr">
        <is>
          <t>Superstruct</t>
        </is>
      </c>
      <c r="H22" s="105" t="inlineStr">
        <is>
          <t>Concereters</t>
        </is>
      </c>
      <c r="I22" s="110" t="n"/>
    </row>
    <row r="23" ht="23.25" customHeight="1" thickBot="1">
      <c r="A23" s="113" t="n"/>
      <c r="B23" s="114" t="n"/>
      <c r="C23" s="115" t="n"/>
      <c r="D23" s="116" t="n"/>
      <c r="E23" s="117" t="n"/>
      <c r="F23" s="118" t="n"/>
      <c r="G23" s="119" t="inlineStr">
        <is>
          <t>Pavers</t>
        </is>
      </c>
      <c r="H23" s="114" t="inlineStr">
        <is>
          <t>Pavers</t>
        </is>
      </c>
      <c r="I23" s="120" t="n">
        <v>40</v>
      </c>
    </row>
    <row r="24" ht="23.25" customHeight="1" thickTop="1">
      <c r="A24" s="121" t="n"/>
      <c r="B24" s="122" t="n"/>
      <c r="C24" s="123" t="n"/>
      <c r="D24" s="124" t="n"/>
      <c r="E24" s="125" t="n"/>
      <c r="F24" s="126" t="n"/>
      <c r="G24" s="127" t="n"/>
      <c r="H24" s="128" t="n"/>
      <c r="I24" s="129" t="n"/>
    </row>
    <row r="25" ht="23.25" customHeight="1">
      <c r="A25" s="130" t="inlineStr">
        <is>
          <t xml:space="preserve">Total Indirect Personnel onsite: </t>
        </is>
      </c>
      <c r="B25" s="180">
        <f>COUNT(C15:C23)</f>
        <v/>
      </c>
      <c r="C25" s="106" t="n"/>
      <c r="D25" s="132" t="inlineStr">
        <is>
          <t xml:space="preserve">Total Direct Personnel onsite:  </t>
        </is>
      </c>
      <c r="E25" s="180">
        <f>COUNT(F15:F23)</f>
        <v/>
      </c>
      <c r="F25" s="108" t="n"/>
      <c r="G25" s="133" t="inlineStr">
        <is>
          <t>Total Subcontractor on-site:</t>
        </is>
      </c>
      <c r="H25" s="180">
        <f>COUNT(I15:I23)</f>
        <v/>
      </c>
      <c r="I25" s="110" t="n"/>
    </row>
    <row r="26" ht="23.25" customHeight="1">
      <c r="A26" s="130" t="inlineStr">
        <is>
          <t xml:space="preserve">Total Indirect Personnel hours: </t>
        </is>
      </c>
      <c r="B26" s="180">
        <f>SUM(C15:C22)</f>
        <v/>
      </c>
      <c r="C26" s="134" t="n"/>
      <c r="D26" s="132" t="inlineStr">
        <is>
          <t xml:space="preserve">Total Direct Personnel hours: </t>
        </is>
      </c>
      <c r="E26" s="180">
        <f>SUM(F15:F16)</f>
        <v/>
      </c>
      <c r="F26" s="135" t="n"/>
      <c r="G26" s="133" t="inlineStr">
        <is>
          <t>Total Subcontractor hours:</t>
        </is>
      </c>
      <c r="H26" s="180">
        <f>SUM(I11:I23)</f>
        <v/>
      </c>
      <c r="I26" s="272" t="n"/>
    </row>
    <row r="27" ht="23.25" customHeight="1">
      <c r="A27" s="130" t="n"/>
      <c r="B27" s="131" t="n"/>
      <c r="C27" s="134" t="n"/>
      <c r="D27" s="132" t="n"/>
      <c r="E27" s="131" t="n"/>
      <c r="F27" s="137" t="n"/>
      <c r="G27" s="133" t="n"/>
      <c r="H27" s="131" t="n"/>
      <c r="I27" s="272" t="n"/>
    </row>
    <row r="28" ht="25" customHeight="1">
      <c r="A28" s="138" t="inlineStr">
        <is>
          <t>PLANT &amp; EQUIPMENT</t>
        </is>
      </c>
      <c r="B28" s="139" t="n"/>
      <c r="C28" s="139" t="n"/>
      <c r="D28" s="139" t="n"/>
      <c r="E28" s="139" t="n"/>
      <c r="F28" s="139" t="n"/>
      <c r="G28" s="139" t="n"/>
      <c r="H28" s="139" t="n"/>
      <c r="I28" s="140" t="n"/>
    </row>
    <row r="29" ht="24" customHeight="1" thickBot="1">
      <c r="A29" s="141" t="inlineStr">
        <is>
          <t>Plant</t>
        </is>
      </c>
      <c r="B29" s="142" t="inlineStr">
        <is>
          <t>ID</t>
        </is>
      </c>
      <c r="C29" s="143" t="inlineStr">
        <is>
          <t>Hrs</t>
        </is>
      </c>
      <c r="D29" s="144" t="inlineStr">
        <is>
          <t xml:space="preserve"> Vehicles</t>
        </is>
      </c>
      <c r="E29" s="142" t="inlineStr">
        <is>
          <t>ID</t>
        </is>
      </c>
      <c r="F29" s="145" t="inlineStr">
        <is>
          <t>QTY</t>
        </is>
      </c>
      <c r="G29" s="146" t="inlineStr">
        <is>
          <t>Site Facilities</t>
        </is>
      </c>
      <c r="H29" s="147" t="inlineStr">
        <is>
          <t>ID</t>
        </is>
      </c>
      <c r="I29" s="148" t="inlineStr">
        <is>
          <t>Qty</t>
        </is>
      </c>
    </row>
    <row r="30" ht="23.25" customHeight="1" thickTop="1">
      <c r="A30" s="97" t="inlineStr">
        <is>
          <t>Komatsu WA320</t>
        </is>
      </c>
      <c r="B30" s="98" t="inlineStr">
        <is>
          <t>FWL18</t>
        </is>
      </c>
      <c r="C30" s="149" t="n"/>
      <c r="D30" s="150" t="inlineStr">
        <is>
          <t>Hilux</t>
        </is>
      </c>
      <c r="E30" s="151" t="inlineStr">
        <is>
          <t>DLV90</t>
        </is>
      </c>
      <c r="F30" s="152" t="n">
        <v>1</v>
      </c>
      <c r="G30" s="153" t="inlineStr">
        <is>
          <t>Office 40ft</t>
        </is>
      </c>
      <c r="H30" s="151" t="n">
        <v>9255540</v>
      </c>
      <c r="I30" s="103" t="n">
        <v>1</v>
      </c>
    </row>
    <row r="31" ht="23.25" customHeight="1">
      <c r="A31" s="104" t="inlineStr">
        <is>
          <t>Wacker Neuson DPU</t>
        </is>
      </c>
      <c r="B31" s="105" t="inlineStr">
        <is>
          <t>DPC15</t>
        </is>
      </c>
      <c r="C31" s="154" t="n"/>
      <c r="D31" s="155" t="inlineStr">
        <is>
          <t>Hilux</t>
        </is>
      </c>
      <c r="E31" s="156" t="inlineStr">
        <is>
          <t>1DLV04</t>
        </is>
      </c>
      <c r="F31" s="157" t="n">
        <v>1</v>
      </c>
      <c r="G31" s="158" t="inlineStr">
        <is>
          <t>Sea Container 20ft</t>
        </is>
      </c>
      <c r="H31" s="105" t="n">
        <v>951200</v>
      </c>
      <c r="I31" s="110" t="n">
        <v>1</v>
      </c>
    </row>
    <row r="32" ht="23.25" customHeight="1">
      <c r="A32" s="159" t="inlineStr">
        <is>
          <t>Watercart</t>
        </is>
      </c>
      <c r="B32" s="156" t="inlineStr">
        <is>
          <t>A119</t>
        </is>
      </c>
      <c r="C32" s="154" t="n">
        <v>8</v>
      </c>
      <c r="D32" s="155" t="n"/>
      <c r="E32" s="105" t="n"/>
      <c r="F32" s="157" t="n"/>
      <c r="G32" s="158" t="inlineStr">
        <is>
          <t>Site Sentry Tower</t>
        </is>
      </c>
      <c r="H32" s="156" t="inlineStr">
        <is>
          <t>NA</t>
        </is>
      </c>
      <c r="I32" s="110" t="n">
        <v>2</v>
      </c>
    </row>
    <row r="33" ht="23.25" customHeight="1">
      <c r="A33" s="159" t="inlineStr">
        <is>
          <t>8T Excavator</t>
        </is>
      </c>
      <c r="B33" s="160" t="inlineStr">
        <is>
          <t>AMG 014</t>
        </is>
      </c>
      <c r="C33" s="154" t="n"/>
      <c r="D33" s="155" t="n"/>
      <c r="E33" s="156" t="n"/>
      <c r="F33" s="157" t="n"/>
      <c r="G33" s="158" t="inlineStr">
        <is>
          <t>Skip Bin</t>
        </is>
      </c>
      <c r="H33" s="156" t="inlineStr">
        <is>
          <t>NA</t>
        </is>
      </c>
      <c r="I33" s="110" t="n">
        <v>1</v>
      </c>
    </row>
    <row r="34" ht="23.25" customHeight="1">
      <c r="A34" s="159" t="inlineStr">
        <is>
          <t>Mini Tipper</t>
        </is>
      </c>
      <c r="B34" s="156" t="inlineStr">
        <is>
          <t>SLS04</t>
        </is>
      </c>
      <c r="C34" s="106" t="n">
        <v>9</v>
      </c>
      <c r="D34" s="155" t="n"/>
      <c r="E34" s="156" t="n"/>
      <c r="F34" s="157" t="n"/>
      <c r="G34" s="158" t="inlineStr">
        <is>
          <t>Hydrocarbon Bund</t>
        </is>
      </c>
      <c r="H34" s="156" t="inlineStr">
        <is>
          <t>NA</t>
        </is>
      </c>
      <c r="I34" s="110" t="n">
        <v>1</v>
      </c>
    </row>
    <row r="35" ht="23.25" customHeight="1">
      <c r="A35" s="159" t="inlineStr">
        <is>
          <t>Skid Steer</t>
        </is>
      </c>
      <c r="B35" s="156" t="inlineStr">
        <is>
          <t>SLS03</t>
        </is>
      </c>
      <c r="C35" s="106" t="n"/>
      <c r="D35" s="155" t="n"/>
      <c r="E35" s="156" t="n"/>
      <c r="F35" s="157" t="n"/>
      <c r="G35" s="158" t="inlineStr">
        <is>
          <t>Temp Fence</t>
        </is>
      </c>
      <c r="H35" s="105" t="inlineStr">
        <is>
          <t>NA</t>
        </is>
      </c>
      <c r="I35" s="110" t="n">
        <v>1</v>
      </c>
    </row>
    <row r="36" ht="23.25" customHeight="1">
      <c r="A36" s="159" t="inlineStr">
        <is>
          <t>1t Excavator</t>
        </is>
      </c>
      <c r="B36" s="156" t="inlineStr">
        <is>
          <t>SLS02</t>
        </is>
      </c>
      <c r="C36" s="106" t="n">
        <v>7</v>
      </c>
      <c r="D36" s="155" t="n"/>
      <c r="E36" s="156" t="n"/>
      <c r="F36" s="157" t="n"/>
      <c r="G36" s="158" t="n"/>
      <c r="H36" s="105" t="n"/>
      <c r="I36" s="110" t="n"/>
    </row>
    <row r="37" ht="24" customHeight="1">
      <c r="A37" s="159" t="inlineStr">
        <is>
          <t>8T Excavator (Wheeled)</t>
        </is>
      </c>
      <c r="B37" s="156" t="inlineStr">
        <is>
          <t>BCC12</t>
        </is>
      </c>
      <c r="C37" s="106" t="n"/>
      <c r="D37" s="155" t="n"/>
      <c r="E37" s="156" t="n"/>
      <c r="F37" s="157" t="n"/>
      <c r="G37" s="161" t="n"/>
      <c r="H37" s="162" t="n"/>
      <c r="I37" s="163" t="n"/>
    </row>
    <row r="38" ht="24" customHeight="1">
      <c r="A38" s="159" t="inlineStr">
        <is>
          <t>14t Excavator with GPS</t>
        </is>
      </c>
      <c r="B38" s="156" t="inlineStr">
        <is>
          <t>EX197</t>
        </is>
      </c>
      <c r="C38" s="106" t="n"/>
      <c r="D38" s="155" t="n"/>
      <c r="E38" s="156" t="n"/>
      <c r="F38" s="157" t="n"/>
      <c r="G38" s="161" t="n"/>
      <c r="H38" s="162" t="n"/>
      <c r="I38" s="163" t="n"/>
    </row>
    <row r="39" ht="24" customHeight="1">
      <c r="A39" s="159" t="inlineStr">
        <is>
          <t>Positrak SSL</t>
        </is>
      </c>
      <c r="B39" s="156" t="inlineStr">
        <is>
          <t>SSL08</t>
        </is>
      </c>
      <c r="C39" s="154" t="n"/>
      <c r="D39" s="155" t="n"/>
      <c r="E39" s="156" t="n"/>
      <c r="F39" s="157" t="n"/>
      <c r="G39" s="161" t="n"/>
      <c r="H39" s="162" t="n"/>
      <c r="I39" s="163" t="n"/>
    </row>
    <row r="40" ht="24" customHeight="1" thickBot="1">
      <c r="A40" s="159" t="inlineStr">
        <is>
          <t>IT Loader</t>
        </is>
      </c>
      <c r="B40" s="156" t="inlineStr">
        <is>
          <t>LD011</t>
        </is>
      </c>
      <c r="C40" s="106" t="n">
        <v>6</v>
      </c>
      <c r="D40" s="167" t="n"/>
      <c r="E40" s="168" t="n"/>
      <c r="F40" s="169" t="n"/>
      <c r="G40" s="170" t="n"/>
      <c r="H40" s="168" t="n"/>
      <c r="I40" s="171" t="n"/>
    </row>
    <row r="41" ht="18" customHeight="1" thickTop="1">
      <c r="A41" s="172" t="n">
        <v>0</v>
      </c>
      <c r="B41" s="294" t="inlineStr">
        <is>
          <t xml:space="preserve">Repairs Required </t>
        </is>
      </c>
      <c r="C41" s="360" t="n"/>
      <c r="D41" s="323" t="inlineStr">
        <is>
          <t>NA</t>
        </is>
      </c>
      <c r="E41" s="361" t="n"/>
      <c r="F41" s="361" t="n"/>
      <c r="G41" s="361" t="n"/>
      <c r="H41" s="361" t="n"/>
      <c r="I41" s="362" t="n"/>
    </row>
    <row r="42" ht="18" customHeight="1">
      <c r="A42" s="173" t="n">
        <v>0</v>
      </c>
      <c r="B42" s="299" t="inlineStr">
        <is>
          <t>Scheduled Service</t>
        </is>
      </c>
      <c r="C42" s="219" t="n"/>
      <c r="D42" s="326" t="inlineStr">
        <is>
          <t>NA</t>
        </is>
      </c>
      <c r="E42" s="218" t="n"/>
      <c r="F42" s="218" t="n"/>
      <c r="G42" s="218" t="n"/>
      <c r="H42" s="218" t="n"/>
      <c r="I42" s="222" t="n"/>
    </row>
    <row r="43" ht="18" customHeight="1" thickBot="1">
      <c r="A43" s="174" t="n">
        <v>0</v>
      </c>
      <c r="B43" s="302" t="inlineStr">
        <is>
          <t>Repairs Required but Operable</t>
        </is>
      </c>
      <c r="C43" s="363" t="n"/>
      <c r="D43" s="329" t="inlineStr">
        <is>
          <t>NA</t>
        </is>
      </c>
      <c r="E43" s="364" t="n"/>
      <c r="F43" s="364" t="n"/>
      <c r="G43" s="364" t="n"/>
      <c r="H43" s="364" t="n"/>
      <c r="I43" s="365" t="n"/>
    </row>
    <row r="44" ht="23.25" customHeight="1" thickTop="1">
      <c r="A44" s="273" t="inlineStr">
        <is>
          <t xml:space="preserve">Total Plant and Equipment Hours: </t>
        </is>
      </c>
      <c r="B44" s="366" t="n"/>
      <c r="C44" s="175">
        <f>SUM(C30:C40)</f>
        <v/>
      </c>
      <c r="D44" s="275" t="n"/>
      <c r="E44" s="208" t="n"/>
      <c r="F44" s="208" t="n"/>
      <c r="G44" s="208" t="n"/>
      <c r="H44" s="208" t="n"/>
      <c r="I44" s="216" t="n"/>
    </row>
    <row r="45" ht="25" customHeight="1">
      <c r="A45" s="251" t="inlineStr">
        <is>
          <t>DELAYS-OPPORTUNITY</t>
        </is>
      </c>
      <c r="B45" s="218" t="n"/>
      <c r="C45" s="218" t="n"/>
      <c r="D45" s="218" t="n"/>
      <c r="E45" s="218" t="n"/>
      <c r="F45" s="218" t="n"/>
      <c r="G45" s="218" t="n"/>
      <c r="H45" s="218" t="n"/>
      <c r="I45" s="222" t="n"/>
    </row>
    <row r="46" ht="69" customHeight="1" thickBot="1">
      <c r="A46" s="278"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6" s="225" t="n"/>
      <c r="C46" s="225" t="n"/>
      <c r="D46" s="225" t="n"/>
      <c r="E46" s="225" t="n"/>
      <c r="F46" s="225" t="n"/>
      <c r="G46" s="225" t="n"/>
      <c r="H46" s="225" t="n"/>
      <c r="I46" s="226" t="n"/>
    </row>
    <row r="47" ht="36" customHeight="1">
      <c r="A47" s="212" t="n"/>
      <c r="I47" s="214" t="n"/>
    </row>
    <row r="48" ht="90.75" customHeight="1">
      <c r="A48" s="212" t="n"/>
      <c r="I48" s="214" t="n"/>
    </row>
    <row r="49" ht="9.75" customHeight="1" thickBot="1">
      <c r="A49" s="235" t="n"/>
      <c r="B49" s="236" t="n"/>
      <c r="C49" s="236" t="n"/>
      <c r="D49" s="236" t="n"/>
      <c r="E49" s="236" t="n"/>
      <c r="F49" s="236" t="n"/>
      <c r="G49" s="236" t="n"/>
      <c r="H49" s="236" t="n"/>
      <c r="I49" s="237" t="n"/>
    </row>
    <row r="50" ht="25" customHeight="1">
      <c r="A50" s="260" t="inlineStr">
        <is>
          <t>HSEQ MESSAGES</t>
        </is>
      </c>
      <c r="B50" s="239" t="n"/>
      <c r="C50" s="239" t="n"/>
      <c r="D50" s="239" t="n"/>
      <c r="E50" s="239" t="n"/>
      <c r="F50" s="239" t="n"/>
      <c r="G50" s="239" t="n"/>
      <c r="H50" s="239" t="n"/>
      <c r="I50" s="240" t="n"/>
    </row>
    <row r="51" ht="20" customHeight="1">
      <c r="A51" s="176" t="inlineStr">
        <is>
          <t>TCD - Monthly Safety Focus:</t>
        </is>
      </c>
      <c r="B51" s="285" t="inlineStr">
        <is>
          <t>Prestart Checks</t>
        </is>
      </c>
      <c r="C51" s="218" t="n"/>
      <c r="D51" s="218" t="n"/>
      <c r="E51" s="218" t="n"/>
      <c r="F51" s="218" t="n"/>
      <c r="G51" s="218" t="n"/>
      <c r="H51" s="218" t="n"/>
      <c r="I51" s="219" t="n"/>
    </row>
    <row r="52" ht="20" customHeight="1">
      <c r="A52" s="176" t="inlineStr">
        <is>
          <t>TCD - Daily Safety Focus:</t>
        </is>
      </c>
      <c r="B52" s="270" t="inlineStr">
        <is>
          <t>Push to get things done</t>
        </is>
      </c>
      <c r="C52" s="218" t="n"/>
      <c r="D52" s="218" t="n"/>
      <c r="E52" s="218" t="n"/>
      <c r="F52" s="218" t="n"/>
      <c r="G52" s="218" t="n"/>
      <c r="H52" s="218" t="n"/>
      <c r="I52" s="222" t="n"/>
    </row>
    <row r="53" ht="20" customHeight="1">
      <c r="A53" s="177" t="inlineStr">
        <is>
          <t xml:space="preserve">Hazards Reported: </t>
        </is>
      </c>
      <c r="B53" s="270" t="inlineStr">
        <is>
          <t>Nil</t>
        </is>
      </c>
      <c r="C53" s="218" t="n"/>
      <c r="D53" s="218" t="n"/>
      <c r="E53" s="218" t="n"/>
      <c r="F53" s="218" t="n"/>
      <c r="G53" s="218" t="n"/>
      <c r="H53" s="218" t="n"/>
      <c r="I53" s="222" t="n"/>
    </row>
    <row r="54" ht="20" customHeight="1">
      <c r="A54" s="177" t="inlineStr">
        <is>
          <t>Incident Free Days</t>
        </is>
      </c>
      <c r="B54" s="367" t="n">
        <v>1</v>
      </c>
      <c r="C54" s="218" t="n"/>
      <c r="D54" s="218" t="n"/>
      <c r="E54" s="218" t="n"/>
      <c r="F54" s="218" t="n"/>
      <c r="G54" s="218" t="n"/>
      <c r="H54" s="218" t="n"/>
      <c r="I54" s="222" t="n"/>
    </row>
    <row r="55" ht="20" customHeight="1">
      <c r="A55" s="178" t="inlineStr">
        <is>
          <t>Other Notes</t>
        </is>
      </c>
      <c r="B55" s="271" t="inlineStr">
        <is>
          <t>NA</t>
        </is>
      </c>
      <c r="C55" s="225" t="n"/>
      <c r="D55" s="225" t="n"/>
      <c r="E55" s="225" t="n"/>
      <c r="F55" s="225" t="n"/>
      <c r="G55" s="225" t="n"/>
      <c r="H55" s="225" t="n"/>
      <c r="I55" s="226" t="n"/>
    </row>
    <row r="56" ht="20.25" customHeight="1">
      <c r="A56" s="251" t="inlineStr">
        <is>
          <t xml:space="preserve">INCIDENTS &amp; REPORTS </t>
        </is>
      </c>
      <c r="B56" s="218" t="n"/>
      <c r="C56" s="218" t="n"/>
      <c r="D56" s="218" t="n"/>
      <c r="E56" s="218" t="n"/>
      <c r="F56" s="218" t="n"/>
      <c r="G56" s="218" t="n"/>
      <c r="H56" s="218" t="n"/>
      <c r="I56" s="222" t="n"/>
    </row>
    <row r="57" ht="20" customHeight="1">
      <c r="A57" s="179" t="n"/>
      <c r="B57" s="180" t="inlineStr">
        <is>
          <t>QTY</t>
        </is>
      </c>
      <c r="C57" s="272" t="inlineStr">
        <is>
          <t>Comments</t>
        </is>
      </c>
      <c r="D57" s="218" t="n"/>
      <c r="E57" s="218" t="n"/>
      <c r="F57" s="218" t="n"/>
      <c r="G57" s="218" t="n"/>
      <c r="H57" s="218" t="n"/>
      <c r="I57" s="222" t="n"/>
    </row>
    <row r="58" ht="20" customHeight="1">
      <c r="A58" s="130" t="inlineStr">
        <is>
          <t>INCIDENT</t>
        </is>
      </c>
      <c r="B58" s="105" t="n">
        <v>0</v>
      </c>
      <c r="C58" s="254" t="inlineStr">
        <is>
          <t>NA</t>
        </is>
      </c>
      <c r="D58" s="225" t="n"/>
      <c r="E58" s="225" t="n"/>
      <c r="F58" s="225" t="n"/>
      <c r="G58" s="225" t="n"/>
      <c r="H58" s="225" t="n"/>
      <c r="I58" s="226" t="n"/>
    </row>
    <row r="59" ht="20" customHeight="1">
      <c r="A59" s="196" t="inlineStr">
        <is>
          <t>IR</t>
        </is>
      </c>
      <c r="B59" s="114" t="n">
        <v>0</v>
      </c>
      <c r="C59" s="254" t="inlineStr">
        <is>
          <t>NA</t>
        </is>
      </c>
      <c r="D59" s="225" t="n"/>
      <c r="E59" s="225" t="n"/>
      <c r="F59" s="225" t="n"/>
      <c r="G59" s="225" t="n"/>
      <c r="H59" s="225" t="n"/>
      <c r="I59" s="226" t="n"/>
    </row>
    <row r="60" ht="20" customHeight="1" thickBot="1">
      <c r="A60" s="197" t="inlineStr">
        <is>
          <t>NCR</t>
        </is>
      </c>
      <c r="B60" s="198" t="n">
        <v>0</v>
      </c>
      <c r="C60" s="257" t="inlineStr">
        <is>
          <t>NA</t>
        </is>
      </c>
      <c r="D60" s="248" t="n"/>
      <c r="E60" s="248" t="n"/>
      <c r="F60" s="248" t="n"/>
      <c r="G60" s="248" t="n"/>
      <c r="H60" s="248" t="n"/>
      <c r="I60" s="249" t="n"/>
    </row>
    <row r="61" ht="20.25" customHeight="1">
      <c r="A61" s="260" t="inlineStr">
        <is>
          <t>COMMUNICATIONS</t>
        </is>
      </c>
      <c r="B61" s="239" t="n"/>
      <c r="C61" s="239" t="n"/>
      <c r="D61" s="239" t="n"/>
      <c r="E61" s="239" t="n"/>
      <c r="F61" s="239" t="n"/>
      <c r="G61" s="239" t="n"/>
      <c r="H61" s="239" t="n"/>
      <c r="I61" s="240" t="n"/>
    </row>
    <row r="62" ht="25" customHeight="1">
      <c r="A62" s="263" t="inlineStr">
        <is>
          <t>TGS MB1119-05 Scheme D implemented</t>
        </is>
      </c>
      <c r="B62" s="218" t="n"/>
      <c r="C62" s="218" t="n"/>
      <c r="D62" s="218" t="n"/>
      <c r="E62" s="218" t="n"/>
      <c r="F62" s="218" t="n"/>
      <c r="G62" s="218" t="n"/>
      <c r="H62" s="218" t="n"/>
      <c r="I62" s="222" t="n"/>
    </row>
    <row r="63" ht="25" customHeight="1">
      <c r="A63" s="251" t="inlineStr">
        <is>
          <t>PRODUCTION (CONSTRUCTION STATUS &amp; PROGRESS)</t>
        </is>
      </c>
      <c r="B63" s="218" t="n"/>
      <c r="C63" s="218" t="n"/>
      <c r="D63" s="218" t="n"/>
      <c r="E63" s="218" t="n"/>
      <c r="F63" s="218" t="n"/>
      <c r="G63" s="218" t="n"/>
      <c r="H63" s="218" t="n"/>
      <c r="I63" s="222" t="n"/>
    </row>
    <row r="64" ht="20" customHeight="1">
      <c r="A64" s="263" t="inlineStr">
        <is>
          <t>Asphalt Core testing Samples collected</t>
        </is>
      </c>
      <c r="B64" s="218" t="n"/>
      <c r="C64" s="218" t="n"/>
      <c r="D64" s="218" t="n"/>
      <c r="E64" s="218" t="n"/>
      <c r="F64" s="218" t="n"/>
      <c r="G64" s="218" t="n"/>
      <c r="H64" s="218" t="n"/>
      <c r="I64" s="222" t="n"/>
    </row>
    <row r="65" ht="20" customHeight="1">
      <c r="A65" s="263" t="inlineStr">
        <is>
          <t>Ground Prep Works for Paving is ongoing</t>
        </is>
      </c>
      <c r="B65" s="218" t="n"/>
      <c r="C65" s="218" t="n"/>
      <c r="D65" s="218" t="n"/>
      <c r="E65" s="218" t="n"/>
      <c r="F65" s="218" t="n"/>
      <c r="G65" s="218" t="n"/>
      <c r="H65" s="218" t="n"/>
      <c r="I65" s="222" t="n"/>
    </row>
    <row r="66" ht="20" customHeight="1">
      <c r="A66" s="263" t="inlineStr">
        <is>
          <t>Paver placement at north-east is ongoing</t>
        </is>
      </c>
      <c r="B66" s="218" t="n"/>
      <c r="C66" s="218" t="n"/>
      <c r="D66" s="218" t="n"/>
      <c r="E66" s="218" t="n"/>
      <c r="F66" s="218" t="n"/>
      <c r="G66" s="218" t="n"/>
      <c r="H66" s="218" t="n"/>
      <c r="I66" s="222" t="n"/>
    </row>
    <row r="67" ht="20" customHeight="1">
      <c r="A67" s="263" t="inlineStr">
        <is>
          <t>Capping the northern lots and tidy up</t>
        </is>
      </c>
      <c r="B67" s="218" t="n"/>
      <c r="C67" s="218" t="n"/>
      <c r="D67" s="218" t="n"/>
      <c r="E67" s="218" t="n"/>
      <c r="F67" s="218" t="n"/>
      <c r="G67" s="218" t="n"/>
      <c r="H67" s="218" t="n"/>
      <c r="I67" s="222" t="n"/>
    </row>
    <row r="68" ht="20" customHeight="1">
      <c r="A68" s="263" t="inlineStr">
        <is>
          <t>Levelled 2 pits at Forrest Street</t>
        </is>
      </c>
      <c r="B68" s="218" t="n"/>
      <c r="C68" s="218" t="n"/>
      <c r="D68" s="218" t="n"/>
      <c r="E68" s="218" t="n"/>
      <c r="F68" s="218" t="n"/>
      <c r="G68" s="218" t="n"/>
      <c r="H68" s="218" t="n"/>
      <c r="I68" s="222" t="n"/>
    </row>
    <row r="69" ht="20" customHeight="1">
      <c r="A69" s="263" t="inlineStr">
        <is>
          <t>Steve Barac Onsite from WC to discuss Water Connection</t>
        </is>
      </c>
      <c r="B69" s="218" t="n"/>
      <c r="C69" s="218" t="n"/>
      <c r="D69" s="218" t="n"/>
      <c r="E69" s="218" t="n"/>
      <c r="F69" s="218" t="n"/>
      <c r="G69" s="218" t="n"/>
      <c r="H69" s="218" t="n"/>
      <c r="I69" s="222" t="n"/>
    </row>
    <row r="70" ht="20" customHeight="1">
      <c r="A70" s="368" t="n"/>
      <c r="B70" s="218" t="n"/>
      <c r="C70" s="218" t="n"/>
      <c r="D70" s="218" t="n"/>
      <c r="E70" s="218" t="n"/>
      <c r="F70" s="218" t="n"/>
      <c r="G70" s="218" t="n"/>
      <c r="H70" s="218" t="n"/>
      <c r="I70" s="222" t="n"/>
    </row>
    <row r="71" ht="26.25" customHeight="1" thickBot="1">
      <c r="A71" s="264" t="inlineStr">
        <is>
          <t>Photos</t>
        </is>
      </c>
      <c r="B71" s="225" t="n"/>
      <c r="C71" s="225" t="n"/>
      <c r="D71" s="225" t="n"/>
      <c r="E71" s="225" t="n"/>
      <c r="F71" s="225" t="n"/>
      <c r="G71" s="225" t="n"/>
      <c r="H71" s="225" t="n"/>
      <c r="I71" s="226" t="n"/>
    </row>
    <row r="72" ht="23.25" customHeight="1">
      <c r="A72" s="181" t="n"/>
      <c r="B72" s="182" t="n"/>
      <c r="C72" s="182" t="n"/>
      <c r="D72" s="182" t="n"/>
      <c r="E72" s="182" t="n"/>
      <c r="F72" s="182" t="n"/>
      <c r="G72" s="182" t="n"/>
      <c r="H72" s="182" t="n"/>
      <c r="I72" s="183" t="n"/>
    </row>
    <row r="73" ht="23.25" customHeight="1">
      <c r="A73" s="203" t="n"/>
      <c r="B73" s="185" t="n"/>
      <c r="C73" s="185" t="n"/>
      <c r="D73" s="185" t="n"/>
      <c r="E73" s="185" t="n"/>
      <c r="F73" s="185" t="n"/>
      <c r="G73" s="185" t="n"/>
      <c r="H73" s="185" t="n"/>
      <c r="I73" s="186" t="n"/>
    </row>
    <row r="74" ht="1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15" customHeight="1">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25" customFormat="1" customHeight="1" s="187">
      <c r="A95" s="184" t="n"/>
      <c r="B95" s="185" t="n"/>
      <c r="C95" s="185" t="n"/>
      <c r="D95" s="185" t="n"/>
      <c r="E95" s="185" t="n"/>
      <c r="F95" s="185" t="n"/>
      <c r="G95" s="185" t="n"/>
      <c r="H95" s="185" t="n"/>
      <c r="I95" s="186" t="n"/>
    </row>
    <row r="96" ht="15" customHeight="1">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1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25" customHeight="1">
      <c r="A119" s="184" t="n"/>
      <c r="B119" s="185" t="n"/>
      <c r="C119" s="185" t="n"/>
      <c r="D119" s="185" t="n"/>
      <c r="E119" s="185" t="n"/>
      <c r="F119" s="185" t="n"/>
      <c r="G119" s="185" t="n"/>
      <c r="H119" s="185" t="n"/>
      <c r="I119" s="186" t="n"/>
    </row>
    <row r="120" ht="15"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28" customHeight="1">
      <c r="A122" s="184" t="n"/>
      <c r="B122" s="185" t="n"/>
      <c r="C122" s="185" t="n"/>
      <c r="D122" s="185" t="n"/>
      <c r="E122" s="185" t="n"/>
      <c r="F122" s="185" t="n"/>
      <c r="G122" s="185" t="n"/>
      <c r="H122" s="185" t="n"/>
      <c r="I122" s="186" t="n"/>
    </row>
    <row r="123" ht="15"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5" customHeight="1">
      <c r="A140" s="184" t="n"/>
      <c r="B140" s="185" t="n"/>
      <c r="C140" s="185" t="n"/>
      <c r="D140" s="185" t="n"/>
      <c r="E140" s="185" t="n"/>
      <c r="F140" s="185" t="n"/>
      <c r="G140" s="185" t="n"/>
      <c r="H140" s="185" t="n"/>
      <c r="I140" s="186" t="n"/>
    </row>
    <row r="141" ht="15" customHeight="1">
      <c r="A141" s="184" t="n"/>
      <c r="B141" s="185" t="n"/>
      <c r="C141" s="185" t="n"/>
      <c r="D141" s="185" t="n"/>
      <c r="E141" s="185" t="n"/>
      <c r="F141" s="185" t="n"/>
      <c r="G141" s="185" t="n"/>
      <c r="H141" s="185" t="n"/>
      <c r="I141" s="186" t="n"/>
    </row>
    <row r="142" ht="16" customHeight="1">
      <c r="A142" s="184" t="n"/>
      <c r="B142" s="185" t="n"/>
      <c r="C142" s="185" t="n"/>
      <c r="D142" s="185" t="n"/>
      <c r="E142" s="185" t="n"/>
      <c r="F142" s="185" t="n"/>
      <c r="G142" s="185" t="n"/>
      <c r="H142" s="185" t="n"/>
      <c r="I142" s="186" t="n"/>
    </row>
    <row r="143" ht="56.25" customHeight="1">
      <c r="A143" s="184" t="n"/>
      <c r="B143" s="185" t="n"/>
      <c r="C143" s="185" t="n"/>
      <c r="D143" s="185" t="n"/>
      <c r="E143" s="185" t="n"/>
      <c r="F143" s="185" t="n"/>
      <c r="G143" s="185" t="n"/>
      <c r="H143" s="185" t="n"/>
      <c r="I143" s="186" t="n"/>
    </row>
    <row r="144">
      <c r="A144" s="184" t="n"/>
      <c r="B144" s="185" t="n"/>
      <c r="C144" s="185" t="n"/>
      <c r="D144" s="185" t="n"/>
      <c r="E144" s="185" t="n"/>
      <c r="F144" s="185" t="n"/>
      <c r="G144" s="185" t="n"/>
      <c r="H144" s="185" t="n"/>
      <c r="I144" s="186" t="n"/>
    </row>
    <row r="145">
      <c r="A145" s="184" t="n"/>
      <c r="B145" s="185" t="n"/>
      <c r="C145" s="185" t="n"/>
      <c r="D145" s="185" t="n"/>
      <c r="E145" s="185" t="n"/>
      <c r="F145" s="185" t="n"/>
      <c r="G145" s="185" t="n"/>
      <c r="H145" s="185" t="n"/>
      <c r="I145" s="186" t="n"/>
    </row>
    <row r="146">
      <c r="A146" s="184" t="n"/>
      <c r="B146" s="185" t="n"/>
      <c r="C146" s="185" t="n"/>
      <c r="D146" s="185" t="n"/>
      <c r="E146" s="185" t="n"/>
      <c r="F146" s="185" t="n"/>
      <c r="G146" s="185" t="n"/>
      <c r="H146" s="185" t="n"/>
      <c r="I146" s="186" t="n"/>
    </row>
    <row r="147">
      <c r="A147" s="184" t="n"/>
      <c r="B147" s="185" t="n"/>
      <c r="C147" s="185" t="n"/>
      <c r="D147" s="185" t="n"/>
      <c r="E147" s="185" t="n"/>
      <c r="F147" s="185" t="n"/>
      <c r="G147" s="185" t="n"/>
      <c r="H147" s="185" t="n"/>
      <c r="I147" s="186" t="n"/>
    </row>
    <row r="148">
      <c r="A148" s="184" t="n"/>
      <c r="B148" s="185" t="n"/>
      <c r="C148" s="185" t="n"/>
      <c r="D148" s="185" t="n"/>
      <c r="E148" s="185" t="n"/>
      <c r="F148" s="185" t="n"/>
      <c r="G148" s="185" t="n"/>
      <c r="H148" s="185" t="n"/>
      <c r="I148" s="186" t="n"/>
      <c r="J148" s="185" t="n"/>
      <c r="K148" s="185" t="n"/>
      <c r="L148" s="185" t="n"/>
    </row>
    <row r="149">
      <c r="A149" s="184" t="n"/>
      <c r="B149" s="185" t="n"/>
      <c r="C149" s="185" t="n"/>
      <c r="D149" s="185" t="n"/>
      <c r="E149" s="185" t="n"/>
      <c r="F149" s="185" t="n"/>
      <c r="G149" s="185" t="n"/>
      <c r="H149" s="185" t="n"/>
      <c r="I149" s="186" t="n"/>
    </row>
    <row r="150">
      <c r="A150" s="184" t="n"/>
      <c r="B150" s="185" t="n"/>
      <c r="C150" s="185" t="n"/>
      <c r="D150" s="185" t="n"/>
      <c r="E150" s="185" t="n"/>
      <c r="F150" s="185" t="n"/>
      <c r="G150" s="185" t="n"/>
      <c r="H150" s="185" t="n"/>
      <c r="I150" s="186" t="n"/>
    </row>
    <row r="151">
      <c r="A151" s="184" t="n"/>
      <c r="B151" s="185" t="n"/>
      <c r="C151" s="185" t="n"/>
      <c r="D151" s="185" t="n"/>
      <c r="E151" s="185" t="n"/>
      <c r="F151" s="185" t="n"/>
      <c r="G151" s="185" t="n"/>
      <c r="H151" s="185" t="n"/>
      <c r="I151" s="186" t="n"/>
    </row>
    <row r="152">
      <c r="A152" s="184" t="n"/>
      <c r="B152" s="185" t="n"/>
      <c r="C152" s="185" t="n"/>
      <c r="D152" s="185" t="n"/>
      <c r="E152" s="185" t="n"/>
      <c r="F152" s="185" t="n"/>
      <c r="G152" s="185" t="n"/>
      <c r="H152" s="185" t="n"/>
      <c r="I152" s="186" t="n"/>
    </row>
    <row r="153">
      <c r="A153" s="184" t="n"/>
      <c r="B153" s="185" t="n"/>
      <c r="C153" s="185" t="n"/>
      <c r="D153" s="185" t="n"/>
      <c r="E153" s="185" t="n"/>
      <c r="F153" s="185" t="n"/>
      <c r="G153" s="185" t="n"/>
      <c r="H153" s="185" t="n"/>
      <c r="I153" s="186" t="n"/>
    </row>
    <row r="154">
      <c r="A154" s="184" t="n"/>
      <c r="B154" s="185" t="n"/>
      <c r="C154" s="185" t="n"/>
      <c r="D154" s="185" t="n"/>
      <c r="E154" s="185" t="n"/>
      <c r="F154" s="185" t="n"/>
      <c r="G154" s="185" t="n"/>
      <c r="H154" s="185" t="n"/>
      <c r="I154" s="186" t="n"/>
    </row>
    <row r="155">
      <c r="A155" s="184" t="n"/>
      <c r="B155" s="185" t="n"/>
      <c r="C155" s="185" t="n"/>
      <c r="D155" s="185" t="n"/>
      <c r="E155" s="185" t="n"/>
      <c r="F155" s="185" t="n"/>
      <c r="G155" s="185" t="n"/>
      <c r="H155" s="185" t="n"/>
      <c r="I155" s="186" t="n"/>
    </row>
    <row r="156">
      <c r="A156" s="184" t="n"/>
      <c r="B156" s="185" t="n"/>
      <c r="C156" s="185" t="n"/>
      <c r="D156" s="185" t="n"/>
      <c r="E156" s="185" t="n"/>
      <c r="F156" s="185" t="n"/>
      <c r="G156" s="185" t="n"/>
      <c r="H156" s="185" t="n"/>
      <c r="I156" s="186" t="n"/>
    </row>
    <row r="157">
      <c r="A157" s="184" t="n"/>
      <c r="B157" s="185" t="n"/>
      <c r="C157" s="185" t="n"/>
      <c r="D157" s="185" t="n"/>
      <c r="E157" s="185" t="n"/>
      <c r="F157" s="185" t="n"/>
      <c r="G157" s="185" t="n"/>
      <c r="H157" s="185" t="n"/>
      <c r="I157" s="186" t="n"/>
    </row>
    <row r="158">
      <c r="A158" s="184" t="n"/>
      <c r="B158" s="185" t="n"/>
      <c r="C158" s="185" t="n"/>
      <c r="D158" s="185" t="n"/>
      <c r="E158" s="185" t="n"/>
      <c r="F158" s="185" t="n"/>
      <c r="G158" s="185" t="n"/>
      <c r="H158" s="185" t="n"/>
      <c r="I158" s="186" t="n"/>
    </row>
    <row r="159">
      <c r="A159" s="184" t="n"/>
      <c r="B159" s="185" t="n"/>
      <c r="C159" s="185" t="n"/>
      <c r="D159" s="185" t="n"/>
      <c r="E159" s="185" t="n"/>
      <c r="F159" s="185" t="n"/>
      <c r="G159" s="185" t="n"/>
      <c r="H159" s="185" t="n"/>
      <c r="I159" s="186" t="n"/>
    </row>
    <row r="160">
      <c r="A160" s="184" t="n"/>
      <c r="B160" s="185" t="n"/>
      <c r="C160" s="185" t="n"/>
      <c r="D160" s="185" t="n"/>
      <c r="E160" s="185" t="n"/>
      <c r="F160" s="185" t="n"/>
      <c r="G160" s="185" t="n"/>
      <c r="H160" s="185" t="n"/>
      <c r="I160" s="186" t="n"/>
    </row>
    <row r="161">
      <c r="A161" s="184" t="n"/>
      <c r="B161" s="185" t="n"/>
      <c r="C161" s="185" t="n"/>
      <c r="D161" s="185" t="n"/>
      <c r="E161" s="185" t="n"/>
      <c r="F161" s="185" t="n"/>
      <c r="G161" s="185" t="n"/>
      <c r="H161" s="185" t="n"/>
      <c r="I161" s="186" t="n"/>
    </row>
    <row r="162">
      <c r="A162" s="184" t="n"/>
      <c r="B162" s="185" t="n"/>
      <c r="C162" s="185" t="n"/>
      <c r="D162" s="185" t="n"/>
      <c r="E162" s="185" t="n"/>
      <c r="F162" s="185" t="n"/>
      <c r="G162" s="185" t="n"/>
      <c r="H162" s="185" t="n"/>
      <c r="I162" s="186" t="n"/>
    </row>
    <row r="163">
      <c r="A163" s="184" t="n"/>
      <c r="B163" s="185" t="n"/>
      <c r="C163" s="185" t="n"/>
      <c r="D163" s="185" t="n"/>
      <c r="E163" s="185" t="n"/>
      <c r="F163" s="185" t="n"/>
      <c r="G163" s="185" t="n"/>
      <c r="H163" s="185" t="n"/>
      <c r="I163" s="186" t="n"/>
    </row>
    <row r="164">
      <c r="A164" s="184" t="n"/>
      <c r="B164" s="185" t="n"/>
      <c r="C164" s="185" t="n"/>
      <c r="D164" s="185" t="n"/>
      <c r="E164" s="185" t="n"/>
      <c r="F164" s="185" t="n"/>
      <c r="G164" s="185" t="n"/>
      <c r="H164" s="185" t="n"/>
      <c r="I164" s="186" t="n"/>
    </row>
    <row r="165">
      <c r="A165" s="184" t="n"/>
      <c r="B165" s="185" t="n"/>
      <c r="C165" s="185" t="n"/>
      <c r="D165" s="185" t="n"/>
      <c r="E165" s="185" t="n"/>
      <c r="F165" s="185" t="n"/>
      <c r="G165" s="185" t="n"/>
      <c r="H165" s="185" t="n"/>
      <c r="I165" s="186" t="n"/>
    </row>
    <row r="166">
      <c r="A166" s="184" t="n"/>
      <c r="B166" s="185" t="n"/>
      <c r="C166" s="185" t="n"/>
      <c r="D166" s="185" t="n"/>
      <c r="E166" s="185" t="n"/>
      <c r="F166" s="185" t="n"/>
      <c r="G166" s="185" t="n"/>
      <c r="H166" s="185" t="n"/>
      <c r="I166" s="186" t="n"/>
    </row>
    <row r="167">
      <c r="A167" s="184" t="n"/>
      <c r="B167" s="185" t="n"/>
      <c r="C167" s="185" t="n"/>
      <c r="D167" s="185" t="n"/>
      <c r="E167" s="185" t="n"/>
      <c r="F167" s="185" t="n"/>
      <c r="G167" s="185" t="n"/>
      <c r="H167" s="185" t="n"/>
      <c r="I167" s="186" t="n"/>
    </row>
    <row r="168">
      <c r="A168" s="184" t="n"/>
      <c r="B168" s="185" t="n"/>
      <c r="C168" s="185" t="n"/>
      <c r="D168" s="185" t="n"/>
      <c r="E168" s="185" t="n"/>
      <c r="F168" s="185" t="n"/>
      <c r="G168" s="185" t="n"/>
      <c r="H168" s="185" t="n"/>
      <c r="I168" s="186" t="n"/>
    </row>
    <row r="169">
      <c r="A169" s="184" t="n"/>
      <c r="B169" s="185" t="n"/>
      <c r="C169" s="185" t="n"/>
      <c r="D169" s="185" t="n"/>
      <c r="E169" s="185" t="n"/>
      <c r="F169" s="185" t="n"/>
      <c r="G169" s="185" t="n"/>
      <c r="H169" s="185" t="n"/>
      <c r="I169" s="186" t="n"/>
    </row>
    <row r="170">
      <c r="A170" s="184" t="n"/>
      <c r="B170" s="185" t="n"/>
      <c r="C170" s="185" t="n"/>
      <c r="D170" s="185" t="n"/>
      <c r="E170" s="185" t="n"/>
      <c r="F170" s="185" t="n"/>
      <c r="G170" s="185" t="n"/>
      <c r="H170" s="185" t="n"/>
      <c r="I170" s="186" t="n"/>
    </row>
    <row r="171">
      <c r="A171" s="184" t="n"/>
      <c r="B171" s="185" t="n"/>
      <c r="C171" s="185" t="n"/>
      <c r="D171" s="185" t="n"/>
      <c r="E171" s="185" t="n"/>
      <c r="F171" s="185" t="n"/>
      <c r="G171" s="185" t="n"/>
      <c r="H171" s="185" t="n"/>
      <c r="I171" s="186" t="n"/>
    </row>
    <row r="172">
      <c r="A172" s="184" t="n"/>
      <c r="B172" s="185" t="n"/>
      <c r="C172" s="185" t="n"/>
      <c r="D172" s="185" t="n"/>
      <c r="E172" s="185" t="n"/>
      <c r="F172" s="185" t="n"/>
      <c r="G172" s="185" t="n"/>
      <c r="H172" s="185" t="n"/>
      <c r="I172" s="186" t="n"/>
    </row>
    <row r="173">
      <c r="A173" s="184" t="n"/>
      <c r="B173" s="185" t="n"/>
      <c r="C173" s="185" t="n"/>
      <c r="D173" s="185" t="n"/>
      <c r="E173" s="185" t="n"/>
      <c r="F173" s="185" t="n"/>
      <c r="G173" s="185" t="n"/>
      <c r="H173" s="185" t="n"/>
      <c r="I173" s="186" t="n"/>
    </row>
    <row r="174">
      <c r="A174" s="184" t="n"/>
      <c r="B174" s="185" t="n"/>
      <c r="C174" s="185" t="n"/>
      <c r="D174" s="185" t="n"/>
      <c r="E174" s="185" t="n"/>
      <c r="F174" s="185" t="n"/>
      <c r="G174" s="185" t="n"/>
      <c r="H174" s="185" t="n"/>
      <c r="I174" s="186" t="n"/>
    </row>
    <row r="175">
      <c r="A175" s="184" t="n"/>
      <c r="B175" s="185" t="n"/>
      <c r="C175" s="185" t="n"/>
      <c r="D175" s="185" t="n"/>
      <c r="E175" s="185" t="n"/>
      <c r="F175" s="185" t="n"/>
      <c r="G175" s="185" t="n"/>
      <c r="H175" s="185" t="n"/>
      <c r="I175" s="186" t="n"/>
    </row>
    <row r="176">
      <c r="A176" s="184" t="n"/>
      <c r="B176" s="185" t="n"/>
      <c r="C176" s="185" t="n"/>
      <c r="D176" s="185" t="n"/>
      <c r="E176" s="185" t="n"/>
      <c r="F176" s="185" t="n"/>
      <c r="G176" s="185" t="n"/>
      <c r="H176" s="185" t="n"/>
      <c r="I176" s="186" t="n"/>
      <c r="J176" s="185" t="n"/>
    </row>
    <row r="177">
      <c r="A177" s="184" t="n"/>
      <c r="B177" s="185" t="n"/>
      <c r="C177" s="185" t="n"/>
      <c r="D177" s="185" t="n"/>
      <c r="E177" s="185" t="n"/>
      <c r="F177" s="185" t="n"/>
      <c r="G177" s="185" t="n"/>
      <c r="H177" s="185" t="n"/>
      <c r="I177" s="186" t="n"/>
      <c r="J177" s="185" t="n"/>
      <c r="K177" s="185" t="n"/>
    </row>
    <row r="178">
      <c r="A178" s="184" t="n"/>
      <c r="B178" s="185" t="n"/>
      <c r="C178" s="185" t="n"/>
      <c r="D178" s="185" t="n"/>
      <c r="E178" s="185" t="n"/>
      <c r="F178" s="185" t="n"/>
      <c r="G178" s="185" t="n"/>
      <c r="H178" s="185" t="n"/>
      <c r="I178" s="186" t="n"/>
      <c r="J178" s="185" t="n"/>
    </row>
    <row r="179">
      <c r="A179" s="184" t="n"/>
      <c r="B179" s="185" t="n"/>
      <c r="C179" s="185" t="n"/>
      <c r="D179" s="185" t="n"/>
      <c r="E179" s="185" t="n"/>
      <c r="F179" s="185" t="n"/>
      <c r="G179" s="185" t="n"/>
      <c r="H179" s="185" t="n"/>
      <c r="I179" s="186" t="n"/>
    </row>
    <row r="180">
      <c r="A180" s="184" t="n"/>
      <c r="B180" s="185" t="n"/>
      <c r="C180" s="185" t="n"/>
      <c r="D180" s="185" t="n"/>
      <c r="E180" s="185" t="n"/>
      <c r="F180" s="185" t="n"/>
      <c r="G180" s="185" t="n"/>
      <c r="H180" s="185" t="n"/>
      <c r="I180" s="186" t="n"/>
    </row>
    <row r="181">
      <c r="A181" s="184" t="n"/>
      <c r="B181" s="185" t="n"/>
      <c r="C181" s="185" t="n"/>
      <c r="D181" s="185" t="n"/>
      <c r="E181" s="185" t="n"/>
      <c r="F181" s="185" t="n"/>
      <c r="G181" s="185" t="n"/>
      <c r="H181" s="185" t="n"/>
      <c r="I181" s="186" t="n"/>
    </row>
    <row r="182">
      <c r="A182" s="184" t="n"/>
      <c r="B182" s="185" t="n"/>
      <c r="C182" s="185" t="n"/>
      <c r="D182" s="185" t="n"/>
      <c r="E182" s="185" t="n"/>
      <c r="F182" s="185" t="n"/>
      <c r="G182" s="185" t="n"/>
      <c r="H182" s="185" t="n"/>
      <c r="I182" s="186" t="n"/>
    </row>
    <row r="183">
      <c r="A183" s="184" t="n"/>
      <c r="B183" s="185" t="n"/>
      <c r="C183" s="185" t="n"/>
      <c r="D183" s="185" t="n"/>
      <c r="E183" s="185" t="n"/>
      <c r="F183" s="185" t="n"/>
      <c r="G183" s="185" t="n"/>
      <c r="H183" s="185" t="n"/>
      <c r="I183" s="186" t="n"/>
    </row>
    <row r="184">
      <c r="A184" s="184" t="n"/>
      <c r="B184" s="185" t="n"/>
      <c r="C184" s="185" t="n"/>
      <c r="D184" s="185" t="n"/>
      <c r="E184" s="185" t="n"/>
      <c r="F184" s="185" t="n"/>
      <c r="G184" s="185" t="n"/>
      <c r="H184" s="185" t="n"/>
      <c r="I184" s="186" t="n"/>
    </row>
    <row r="185">
      <c r="A185" s="184" t="n"/>
      <c r="B185" s="185" t="n"/>
      <c r="C185" s="185" t="n"/>
      <c r="D185" s="185" t="n"/>
      <c r="E185" s="185" t="n"/>
      <c r="F185" s="185" t="n"/>
      <c r="G185" s="185" t="n"/>
      <c r="H185" s="185" t="n"/>
      <c r="I185" s="186" t="n"/>
    </row>
    <row r="186">
      <c r="A186" s="184" t="n"/>
      <c r="B186" s="185" t="n"/>
      <c r="C186" s="185" t="n"/>
      <c r="D186" s="185" t="n"/>
      <c r="E186" s="185" t="n"/>
      <c r="F186" s="185" t="n"/>
      <c r="G186" s="185" t="n"/>
      <c r="H186" s="185" t="n"/>
      <c r="I186" s="186" t="n"/>
    </row>
    <row r="187">
      <c r="A187" s="184" t="n"/>
      <c r="B187" s="185" t="n"/>
      <c r="C187" s="185" t="n"/>
      <c r="D187" s="185" t="n"/>
      <c r="E187" s="185" t="n"/>
      <c r="F187" s="185" t="n"/>
      <c r="G187" s="185" t="n"/>
      <c r="H187" s="185" t="n"/>
      <c r="I187" s="186" t="n"/>
    </row>
    <row r="188">
      <c r="A188" s="184" t="n"/>
      <c r="B188" s="185" t="n"/>
      <c r="C188" s="185" t="n"/>
      <c r="D188" s="185" t="n"/>
      <c r="E188" s="185" t="n"/>
      <c r="F188" s="185" t="n"/>
      <c r="G188" s="185" t="n"/>
      <c r="H188" s="185" t="n"/>
      <c r="I188" s="186" t="n"/>
    </row>
    <row r="189">
      <c r="A189" s="184" t="n"/>
      <c r="B189" s="185" t="n"/>
      <c r="C189" s="185" t="n"/>
      <c r="D189" s="185" t="n"/>
      <c r="E189" s="185" t="n"/>
      <c r="F189" s="185" t="n"/>
      <c r="G189" s="185" t="n"/>
      <c r="H189" s="185" t="n"/>
      <c r="I189" s="186" t="n"/>
    </row>
    <row r="190">
      <c r="A190" s="184" t="n"/>
      <c r="B190" s="185" t="n"/>
      <c r="C190" s="185" t="n"/>
      <c r="D190" s="185" t="n"/>
      <c r="E190" s="185" t="n"/>
      <c r="F190" s="185" t="n"/>
      <c r="G190" s="185" t="n"/>
      <c r="H190" s="185" t="n"/>
      <c r="I190" s="186" t="n"/>
    </row>
    <row r="191">
      <c r="A191" s="184" t="n"/>
      <c r="B191" s="185" t="n"/>
      <c r="C191" s="185" t="n"/>
      <c r="D191" s="185" t="n"/>
      <c r="E191" s="185" t="n"/>
      <c r="F191" s="185" t="n"/>
      <c r="G191" s="185" t="n"/>
      <c r="H191" s="185" t="n"/>
      <c r="I191" s="186" t="n"/>
    </row>
    <row r="192">
      <c r="A192" s="184" t="n"/>
      <c r="B192" s="185" t="n"/>
      <c r="C192" s="185" t="n"/>
      <c r="D192" s="185" t="n"/>
      <c r="E192" s="185" t="n"/>
      <c r="F192" s="185" t="n"/>
      <c r="G192" s="185" t="n"/>
      <c r="H192" s="185" t="n"/>
      <c r="I192" s="186" t="n"/>
    </row>
    <row r="193">
      <c r="A193" s="184" t="n"/>
      <c r="B193" s="185" t="n"/>
      <c r="C193" s="185" t="n"/>
      <c r="D193" s="185" t="n"/>
      <c r="E193" s="185" t="n"/>
      <c r="F193" s="185" t="n"/>
      <c r="G193" s="185" t="n"/>
      <c r="H193" s="185" t="n"/>
      <c r="I193" s="186" t="n"/>
    </row>
    <row r="194">
      <c r="A194" s="184" t="n"/>
      <c r="B194" s="185" t="n"/>
      <c r="C194" s="185" t="n"/>
      <c r="D194" s="185" t="n"/>
      <c r="E194" s="185" t="n"/>
      <c r="F194" s="185" t="n"/>
      <c r="G194" s="185" t="n"/>
      <c r="H194" s="185" t="n"/>
      <c r="I194" s="186" t="n"/>
    </row>
    <row r="195">
      <c r="A195" s="184" t="n"/>
      <c r="B195" s="185" t="n"/>
      <c r="C195" s="185" t="n"/>
      <c r="D195" s="185" t="n"/>
      <c r="E195" s="185" t="n"/>
      <c r="F195" s="185" t="n"/>
      <c r="G195" s="185" t="n"/>
      <c r="H195" s="185" t="n"/>
      <c r="I195" s="186" t="n"/>
    </row>
    <row r="196">
      <c r="A196" s="184" t="n"/>
      <c r="B196" s="185" t="n"/>
      <c r="C196" s="185" t="n"/>
      <c r="D196" s="185" t="n"/>
      <c r="E196" s="185" t="n"/>
      <c r="F196" s="185" t="n"/>
      <c r="G196" s="185" t="n"/>
      <c r="H196" s="185" t="n"/>
      <c r="I196" s="186" t="n"/>
    </row>
    <row r="197" ht="16" customHeight="1">
      <c r="A197" s="184" t="n"/>
      <c r="B197" s="185" t="n"/>
      <c r="C197" s="185" t="n"/>
      <c r="D197" s="185" t="n"/>
      <c r="E197" s="185" t="n"/>
      <c r="F197" s="185" t="n"/>
      <c r="G197" s="185" t="n"/>
      <c r="H197" s="185" t="n"/>
      <c r="I197" s="186" t="n"/>
    </row>
    <row r="198">
      <c r="A198" s="184" t="n"/>
      <c r="B198" s="185" t="n"/>
      <c r="C198" s="185" t="n"/>
      <c r="D198" s="185" t="n"/>
      <c r="E198" s="185" t="n"/>
      <c r="F198" s="185" t="n"/>
      <c r="G198" s="185" t="n"/>
      <c r="H198" s="185" t="n"/>
      <c r="I198" s="186" t="n"/>
    </row>
    <row r="199">
      <c r="A199" s="184" t="n"/>
      <c r="B199" s="185" t="n"/>
      <c r="C199" s="185" t="n"/>
      <c r="D199" s="185" t="n"/>
      <c r="E199" s="185" t="n"/>
      <c r="F199" s="185" t="n"/>
      <c r="G199" s="185" t="n"/>
      <c r="H199" s="185" t="n"/>
      <c r="I199" s="186" t="n"/>
    </row>
    <row r="200">
      <c r="A200" s="184" t="n"/>
      <c r="B200" s="185" t="n"/>
      <c r="C200" s="185" t="n"/>
      <c r="D200" s="185" t="n"/>
      <c r="E200" s="185" t="n"/>
      <c r="F200" s="185" t="n"/>
      <c r="G200" s="185" t="n"/>
      <c r="H200" s="185" t="n"/>
      <c r="I200" s="186" t="n"/>
    </row>
    <row r="201">
      <c r="A201" s="184" t="n"/>
      <c r="B201" s="185" t="n"/>
      <c r="C201" s="185" t="n"/>
      <c r="D201" s="185" t="n"/>
      <c r="E201" s="185" t="n"/>
      <c r="F201" s="185" t="n"/>
      <c r="G201" s="185" t="n"/>
      <c r="H201" s="185" t="n"/>
      <c r="I201" s="186" t="n"/>
    </row>
    <row r="202">
      <c r="A202" s="184" t="n"/>
      <c r="B202" s="185" t="n"/>
      <c r="C202" s="185" t="n"/>
      <c r="D202" s="185" t="n"/>
      <c r="E202" s="185" t="n"/>
      <c r="F202" s="185" t="n"/>
      <c r="G202" s="185" t="n"/>
      <c r="H202" s="185" t="n"/>
      <c r="I202" s="186" t="n"/>
    </row>
    <row r="203">
      <c r="A203" s="184" t="n"/>
      <c r="B203" s="185" t="n"/>
      <c r="C203" s="185" t="n"/>
      <c r="D203" s="185" t="n"/>
      <c r="E203" s="185" t="n"/>
      <c r="F203" s="185" t="n"/>
      <c r="G203" s="185" t="n"/>
      <c r="H203" s="185" t="n"/>
      <c r="I203" s="186" t="n"/>
    </row>
    <row r="204" ht="16" customHeight="1">
      <c r="A204" s="184" t="n"/>
      <c r="B204" s="185" t="n"/>
      <c r="C204" s="185" t="n"/>
      <c r="D204" s="185" t="n"/>
      <c r="E204" s="185" t="n"/>
      <c r="F204" s="185" t="n"/>
      <c r="G204" s="185" t="n"/>
      <c r="H204" s="185" t="n"/>
      <c r="I204" s="186" t="n"/>
    </row>
    <row r="205">
      <c r="A205" s="184" t="n"/>
      <c r="B205" s="185" t="n"/>
      <c r="C205" s="185" t="n"/>
      <c r="D205" s="185" t="n"/>
      <c r="E205" s="185" t="n"/>
      <c r="F205" s="185" t="n"/>
      <c r="G205" s="185" t="n"/>
      <c r="H205" s="185" t="n"/>
      <c r="I205" s="186" t="n"/>
    </row>
    <row r="206">
      <c r="A206" s="184" t="n"/>
      <c r="B206" s="185" t="n"/>
      <c r="C206" s="185" t="n"/>
      <c r="D206" s="185" t="n"/>
      <c r="E206" s="185" t="n"/>
      <c r="F206" s="185" t="n"/>
      <c r="G206" s="185" t="n"/>
      <c r="H206" s="185" t="n"/>
      <c r="I206" s="186" t="n"/>
    </row>
    <row r="207" ht="20" customHeight="1" thickBot="1">
      <c r="A207" s="188" t="n"/>
      <c r="B207" s="189" t="n"/>
      <c r="C207" s="189" t="n"/>
      <c r="D207" s="189" t="n"/>
      <c r="E207" s="189" t="n"/>
      <c r="F207" s="189" t="n"/>
      <c r="G207" s="189" t="n"/>
      <c r="H207" s="189" t="n"/>
      <c r="I207" s="190" t="n"/>
    </row>
    <row r="208">
      <c r="A208" s="184" t="n"/>
      <c r="B208" s="185" t="n"/>
      <c r="C208" s="185" t="n"/>
      <c r="D208" s="185" t="n"/>
      <c r="E208" s="185" t="n"/>
      <c r="F208" s="185" t="n"/>
      <c r="G208" s="185" t="n"/>
      <c r="H208" s="185" t="n"/>
      <c r="I208" s="185" t="n"/>
      <c r="J208" s="185" t="n"/>
      <c r="K208" s="185" t="n"/>
      <c r="L208" s="185" t="n"/>
    </row>
    <row r="209">
      <c r="A209" s="184" t="n"/>
      <c r="B209" s="185" t="n"/>
      <c r="C209" s="185" t="n"/>
      <c r="D209" s="185" t="n"/>
      <c r="E209" s="185" t="n"/>
      <c r="F209" s="185" t="n"/>
      <c r="G209" s="185" t="n"/>
      <c r="H209" s="185" t="n"/>
      <c r="I209" s="185" t="n"/>
      <c r="J209" s="185" t="n"/>
      <c r="K209" s="185" t="n"/>
      <c r="L209" s="185" t="n"/>
    </row>
    <row r="210">
      <c r="A210" s="184" t="n"/>
      <c r="B210" s="185" t="n"/>
      <c r="C210" s="185" t="n"/>
      <c r="D210" s="185" t="n"/>
      <c r="E210" s="185" t="n"/>
      <c r="F210" s="185" t="n"/>
      <c r="G210" s="185" t="n"/>
      <c r="H210" s="185" t="n"/>
      <c r="I210" s="185" t="n"/>
      <c r="J210" s="185" t="n"/>
      <c r="K210" s="185" t="n"/>
      <c r="L210" s="185" t="n"/>
    </row>
    <row r="211">
      <c r="A211" s="184" t="n"/>
      <c r="B211" s="185" t="n"/>
      <c r="C211" s="185" t="n"/>
      <c r="D211" s="185" t="n"/>
      <c r="E211" s="185" t="n"/>
      <c r="F211" s="185" t="n"/>
      <c r="G211" s="185" t="n"/>
      <c r="H211" s="185" t="n"/>
      <c r="I211" s="185" t="n"/>
      <c r="J211" s="185" t="n"/>
      <c r="K211" s="185" t="n"/>
      <c r="L211" s="185" t="n"/>
    </row>
    <row r="212">
      <c r="A212" s="184" t="n"/>
      <c r="B212" s="185" t="n"/>
      <c r="C212" s="185" t="n"/>
      <c r="D212" s="185" t="n"/>
      <c r="E212" s="185" t="n"/>
      <c r="F212" s="185" t="n"/>
      <c r="G212" s="185" t="n"/>
      <c r="H212" s="185" t="n"/>
      <c r="I212" s="185" t="n"/>
      <c r="J212" s="185" t="n"/>
      <c r="K212" s="185" t="n"/>
      <c r="L212" s="185" t="n"/>
    </row>
    <row r="213">
      <c r="A213" s="184" t="n"/>
      <c r="B213" s="185" t="n"/>
      <c r="C213" s="185" t="n"/>
      <c r="D213" s="185" t="n"/>
      <c r="E213" s="185" t="n"/>
      <c r="F213" s="185" t="n"/>
      <c r="G213" s="185" t="n"/>
      <c r="H213" s="185" t="n"/>
      <c r="I213" s="185" t="n"/>
      <c r="J213" s="185" t="n"/>
      <c r="K213" s="185" t="n"/>
      <c r="L213" s="185" t="n"/>
    </row>
    <row r="214">
      <c r="A214" s="184" t="n"/>
      <c r="B214" s="185" t="n"/>
      <c r="C214" s="185" t="n"/>
      <c r="D214" s="185" t="n"/>
      <c r="E214" s="185" t="n"/>
      <c r="F214" s="185" t="n"/>
      <c r="G214" s="185" t="n"/>
      <c r="H214" s="185" t="n"/>
      <c r="I214" s="185" t="n"/>
      <c r="J214" s="185" t="n"/>
      <c r="K214" s="185" t="n"/>
      <c r="L214" s="185" t="n"/>
    </row>
    <row r="215">
      <c r="A215" s="184" t="n"/>
      <c r="B215" s="185" t="n"/>
      <c r="C215" s="185" t="n"/>
      <c r="D215" s="185" t="n"/>
      <c r="E215" s="185" t="n"/>
      <c r="F215" s="185" t="n"/>
      <c r="G215" s="185" t="n"/>
      <c r="H215" s="185" t="n"/>
      <c r="I215" s="185" t="n"/>
      <c r="J215" s="185" t="n"/>
      <c r="K215" s="185" t="n"/>
      <c r="L215" s="185" t="n"/>
    </row>
    <row r="216">
      <c r="A216" s="184" t="n"/>
      <c r="B216" s="185" t="n"/>
      <c r="C216" s="185" t="n"/>
      <c r="D216" s="185" t="n"/>
      <c r="E216" s="185" t="n"/>
      <c r="F216" s="185" t="n"/>
      <c r="G216" s="185" t="n"/>
      <c r="H216" s="185" t="n"/>
      <c r="I216" s="185" t="n"/>
      <c r="J216" s="185" t="n"/>
      <c r="K216" s="185" t="n"/>
      <c r="L216" s="185" t="n"/>
    </row>
    <row r="217">
      <c r="A217" s="184" t="n"/>
      <c r="B217" s="185" t="n"/>
      <c r="C217" s="185" t="n"/>
      <c r="D217" s="185" t="n"/>
      <c r="E217" s="185" t="n"/>
      <c r="F217" s="185" t="n"/>
      <c r="G217" s="185" t="n"/>
      <c r="H217" s="185" t="n"/>
      <c r="I217" s="185" t="n"/>
      <c r="J217" s="185" t="n"/>
      <c r="K217" s="185" t="n"/>
      <c r="L217" s="185" t="n"/>
    </row>
    <row r="218">
      <c r="A218" s="184" t="n"/>
      <c r="B218" s="185" t="n"/>
      <c r="C218" s="185" t="n"/>
      <c r="D218" s="185" t="n"/>
      <c r="E218" s="185" t="n"/>
      <c r="F218" s="185" t="n"/>
      <c r="G218" s="185" t="n"/>
      <c r="H218" s="185" t="n"/>
      <c r="I218" s="185" t="n"/>
      <c r="J218" s="185" t="n"/>
      <c r="K218" s="185" t="n"/>
      <c r="L218" s="185" t="n"/>
    </row>
    <row r="219">
      <c r="A219" s="184" t="n"/>
      <c r="B219" s="185" t="n"/>
      <c r="C219" s="185" t="n"/>
      <c r="D219" s="185" t="n"/>
      <c r="E219" s="185" t="n"/>
      <c r="F219" s="185" t="n"/>
      <c r="G219" s="185" t="n"/>
      <c r="H219" s="185" t="n"/>
      <c r="I219" s="185" t="n"/>
      <c r="J219" s="185" t="n"/>
      <c r="K219" s="185" t="n"/>
      <c r="L219" s="185" t="n"/>
    </row>
    <row r="220">
      <c r="A220" s="184" t="n"/>
      <c r="B220" s="185" t="n"/>
      <c r="C220" s="185" t="n"/>
      <c r="D220" s="185" t="n"/>
      <c r="E220" s="185" t="n"/>
      <c r="F220" s="185" t="n"/>
      <c r="G220" s="185" t="n"/>
      <c r="H220" s="185" t="n"/>
      <c r="I220" s="185" t="n"/>
      <c r="J220" s="185" t="n"/>
      <c r="K220" s="185" t="n"/>
      <c r="L220" s="185" t="n"/>
    </row>
    <row r="221">
      <c r="A221" s="184" t="n"/>
      <c r="B221" s="185" t="n"/>
      <c r="C221" s="185" t="n"/>
      <c r="D221" s="185" t="n"/>
      <c r="E221" s="185" t="n"/>
      <c r="F221" s="185" t="n"/>
      <c r="G221" s="185" t="n"/>
      <c r="H221" s="185" t="n"/>
      <c r="I221" s="185" t="n"/>
      <c r="J221" s="185" t="n"/>
      <c r="K221" s="185" t="n"/>
      <c r="L221" s="185" t="n"/>
    </row>
    <row r="222">
      <c r="A222" s="184" t="n"/>
      <c r="B222" s="185" t="n"/>
      <c r="C222" s="185" t="n"/>
      <c r="D222" s="185" t="n"/>
      <c r="E222" s="185" t="n"/>
      <c r="F222" s="185" t="n"/>
      <c r="G222" s="185" t="n"/>
      <c r="H222" s="185" t="n"/>
      <c r="I222" s="185" t="n"/>
      <c r="J222" s="185" t="n"/>
      <c r="K222" s="185" t="n"/>
      <c r="L222" s="185" t="n"/>
    </row>
    <row r="223">
      <c r="A223" s="184" t="n"/>
      <c r="B223" s="185" t="n"/>
      <c r="C223" s="185" t="n"/>
      <c r="D223" s="185" t="n"/>
      <c r="E223" s="185" t="n"/>
      <c r="F223" s="185" t="n"/>
      <c r="G223" s="185" t="n"/>
      <c r="H223" s="185" t="n"/>
      <c r="I223" s="185" t="n"/>
      <c r="J223" s="185" t="n"/>
      <c r="K223" s="185" t="n"/>
      <c r="L223" s="185" t="n"/>
    </row>
    <row r="224">
      <c r="A224" s="184" t="n"/>
      <c r="B224" s="185" t="n"/>
      <c r="C224" s="185" t="n"/>
      <c r="D224" s="185" t="n"/>
      <c r="E224" s="185" t="n"/>
      <c r="F224" s="185" t="n"/>
      <c r="G224" s="185" t="n"/>
      <c r="H224" s="185" t="n"/>
      <c r="I224" s="185" t="n"/>
      <c r="J224" s="185" t="n"/>
      <c r="K224" s="185" t="n"/>
      <c r="L224" s="185" t="n"/>
    </row>
    <row r="225">
      <c r="A225" s="184" t="n"/>
      <c r="B225" s="185" t="n"/>
      <c r="C225" s="185" t="n"/>
      <c r="D225" s="185" t="n"/>
      <c r="E225" s="185" t="n"/>
      <c r="F225" s="185" t="n"/>
      <c r="G225" s="185" t="n"/>
      <c r="H225" s="185" t="n"/>
      <c r="I225" s="185" t="n"/>
      <c r="J225" s="185" t="n"/>
      <c r="K225" s="185" t="n"/>
      <c r="L225" s="185" t="n"/>
    </row>
    <row r="226">
      <c r="G226" s="185" t="n"/>
      <c r="H226" s="185" t="n"/>
      <c r="I226" s="185" t="n"/>
      <c r="J226" s="185" t="n"/>
      <c r="K226" s="185" t="n"/>
      <c r="L226" s="185" t="n"/>
    </row>
    <row r="227">
      <c r="G227" s="185" t="n"/>
      <c r="H227" s="185" t="n"/>
      <c r="I227" s="185" t="n"/>
      <c r="J227" s="185" t="n"/>
      <c r="K227" s="185" t="n"/>
      <c r="L227" s="185" t="n"/>
    </row>
    <row r="228">
      <c r="G228" s="185" t="n"/>
      <c r="H228" s="185" t="n"/>
      <c r="I228" s="185" t="n"/>
      <c r="J228" s="185" t="n"/>
      <c r="K228" s="185" t="n"/>
      <c r="L228" s="185" t="n"/>
    </row>
  </sheetData>
  <mergeCells count="44">
    <mergeCell ref="A65:I65"/>
    <mergeCell ref="D13:F13"/>
    <mergeCell ref="G13:I13"/>
    <mergeCell ref="B54:I54"/>
    <mergeCell ref="A66:I66"/>
    <mergeCell ref="D41:I41"/>
    <mergeCell ref="B8:D8"/>
    <mergeCell ref="A56:I56"/>
    <mergeCell ref="A12:I12"/>
    <mergeCell ref="A50:I50"/>
    <mergeCell ref="C57:I57"/>
    <mergeCell ref="B43:C43"/>
    <mergeCell ref="A69:I69"/>
    <mergeCell ref="D43:I43"/>
    <mergeCell ref="B52:I52"/>
    <mergeCell ref="A71:I71"/>
    <mergeCell ref="A5:I5"/>
    <mergeCell ref="B42:C42"/>
    <mergeCell ref="B9:D9"/>
    <mergeCell ref="A62:I62"/>
    <mergeCell ref="B6:D6"/>
    <mergeCell ref="C58:I58"/>
    <mergeCell ref="B53:I53"/>
    <mergeCell ref="A68:I68"/>
    <mergeCell ref="A63:I63"/>
    <mergeCell ref="D42:I42"/>
    <mergeCell ref="A10:I10"/>
    <mergeCell ref="A13:C13"/>
    <mergeCell ref="A1:I4"/>
    <mergeCell ref="A67:I67"/>
    <mergeCell ref="D44:I44"/>
    <mergeCell ref="B7:D7"/>
    <mergeCell ref="A64:I64"/>
    <mergeCell ref="A11:I11"/>
    <mergeCell ref="B55:I55"/>
    <mergeCell ref="B51:I51"/>
    <mergeCell ref="C59:I59"/>
    <mergeCell ref="A45:I45"/>
    <mergeCell ref="A70:I70"/>
    <mergeCell ref="A44:B44"/>
    <mergeCell ref="A61:I61"/>
    <mergeCell ref="A46:I49"/>
    <mergeCell ref="C60:I60"/>
    <mergeCell ref="B41:C41"/>
  </mergeCells>
  <printOptions horizontalCentered="1"/>
  <pageMargins left="0.2362204724409449" right="0.2362204724409449" top="0.7480314960629921" bottom="0.7480314960629921" header="0.3149606299212598" footer="0.3149606299212598"/>
  <pageSetup orientation="portrait" paperSize="8" scale="44" fitToHeight="0"/>
  <rowBreaks count="1" manualBreakCount="1">
    <brk id="70" min="0" max="8" man="1"/>
  </rowBreaks>
</worksheet>
</file>

<file path=xl/worksheets/sheet27.xml><?xml version="1.0" encoding="utf-8"?>
<worksheet xmlns="http://schemas.openxmlformats.org/spreadsheetml/2006/main">
  <sheetPr>
    <outlinePr summaryBelow="1" summaryRight="1"/>
    <pageSetUpPr fitToPage="1"/>
  </sheetPr>
  <dimension ref="A1:L226"/>
  <sheetViews>
    <sheetView view="pageBreakPreview" topLeftCell="A46" zoomScale="85" zoomScaleNormal="55" zoomScaleSheetLayoutView="85" workbookViewId="0">
      <selection activeCell="A61" sqref="A61:I61"/>
    </sheetView>
  </sheetViews>
  <sheetFormatPr baseColWidth="10" defaultColWidth="9.1640625" defaultRowHeight="19"/>
  <cols>
    <col width="50.6640625" customWidth="1" style="280" min="1" max="1"/>
    <col width="30.6640625" customWidth="1" style="280" min="2" max="2"/>
    <col width="18.6640625" customWidth="1" style="280" min="3" max="3"/>
    <col width="50.6640625" customWidth="1" style="280" min="4" max="4"/>
    <col width="30.6640625" customWidth="1" style="280" min="5" max="5"/>
    <col width="18.6640625" customWidth="1" style="280" min="6" max="6"/>
    <col width="50.6640625" customWidth="1" style="280" min="7" max="7"/>
    <col width="30.6640625" customWidth="1" style="280" min="8" max="8"/>
    <col width="18.6640625" customWidth="1" style="280" min="9" max="9"/>
    <col width="9.1640625" customWidth="1" style="280" min="10" max="10"/>
    <col width="9.1640625" customWidth="1" style="280" min="11" max="16384"/>
  </cols>
  <sheetData>
    <row r="1">
      <c r="A1" s="313" t="n"/>
      <c r="B1" s="210" t="n"/>
      <c r="C1" s="210" t="n"/>
      <c r="D1" s="210" t="n"/>
      <c r="E1" s="210" t="n"/>
      <c r="F1" s="210" t="n"/>
      <c r="G1" s="210" t="n"/>
      <c r="H1" s="210" t="n"/>
      <c r="I1" s="211" t="n"/>
    </row>
    <row r="2">
      <c r="A2" s="212" t="n"/>
      <c r="I2" s="214" t="n"/>
    </row>
    <row r="3">
      <c r="A3" s="212" t="n"/>
      <c r="I3" s="214" t="n"/>
    </row>
    <row r="4">
      <c r="A4" s="215" t="n"/>
      <c r="B4" s="208" t="n"/>
      <c r="C4" s="208" t="n"/>
      <c r="D4" s="208" t="n"/>
      <c r="E4" s="208" t="n"/>
      <c r="F4" s="208" t="n"/>
      <c r="G4" s="208" t="n"/>
      <c r="H4" s="208" t="n"/>
      <c r="I4" s="216" t="n"/>
    </row>
    <row r="5" ht="25" customHeight="1">
      <c r="A5" s="317" t="inlineStr">
        <is>
          <t>TCD DAILY FIELD REPORT</t>
        </is>
      </c>
      <c r="B5" s="218" t="n"/>
      <c r="C5" s="218" t="n"/>
      <c r="D5" s="218" t="n"/>
      <c r="E5" s="218" t="n"/>
      <c r="F5" s="218" t="n"/>
      <c r="G5" s="218" t="n"/>
      <c r="H5" s="218" t="n"/>
      <c r="I5" s="219" t="n"/>
    </row>
    <row r="6" ht="23.25" customHeight="1">
      <c r="A6" s="80" t="inlineStr">
        <is>
          <t>Project Name:</t>
        </is>
      </c>
      <c r="B6" s="318" t="inlineStr">
        <is>
          <t>Batavia Station Square</t>
        </is>
      </c>
      <c r="E6" s="318" t="n"/>
      <c r="F6" s="82" t="n"/>
      <c r="G6" s="82" t="n"/>
      <c r="H6" s="199" t="inlineStr">
        <is>
          <t>Date:</t>
        </is>
      </c>
      <c r="I6" s="83" t="n">
        <v>45961</v>
      </c>
    </row>
    <row r="7" ht="23.25" customHeight="1">
      <c r="A7" s="80" t="inlineStr">
        <is>
          <t>Project Location:</t>
        </is>
      </c>
      <c r="B7" s="318" t="inlineStr">
        <is>
          <t>Geraldton</t>
        </is>
      </c>
      <c r="E7" s="318" t="n"/>
      <c r="F7" s="82" t="n"/>
      <c r="G7" s="82" t="n"/>
      <c r="H7" s="200" t="inlineStr">
        <is>
          <t>Day:</t>
        </is>
      </c>
      <c r="I7" s="84">
        <f>WEEKDAY(I6)</f>
        <v/>
      </c>
    </row>
    <row r="8" ht="23.25" customHeight="1">
      <c r="A8" s="80" t="inlineStr">
        <is>
          <t>Project Number:</t>
        </is>
      </c>
      <c r="B8" s="318" t="inlineStr">
        <is>
          <t>TCD-1816</t>
        </is>
      </c>
      <c r="E8" s="318" t="n"/>
      <c r="F8" s="82" t="n"/>
      <c r="G8" s="82" t="n"/>
      <c r="H8" s="200" t="inlineStr">
        <is>
          <t>Start:</t>
        </is>
      </c>
      <c r="I8" s="85" t="inlineStr">
        <is>
          <t xml:space="preserve">  6:00</t>
        </is>
      </c>
    </row>
    <row r="9" ht="23.25" customHeight="1">
      <c r="A9" s="80" t="inlineStr">
        <is>
          <t>Report Number:</t>
        </is>
      </c>
      <c r="B9" s="312">
        <f t="array" ref="B9">RIGHT(CELL("filename",A1),LEN(CELL("filename",A1))-FIND("]",CELL("filename",A1)))</f>
        <v/>
      </c>
      <c r="C9" s="208" t="n"/>
      <c r="D9" s="208" t="n"/>
      <c r="E9" s="312" t="n"/>
      <c r="F9" s="87" t="n"/>
      <c r="G9" s="87" t="n"/>
      <c r="H9" s="200" t="inlineStr">
        <is>
          <t>Finish:</t>
        </is>
      </c>
      <c r="I9" s="88" t="n">
        <v>0.7708333333333334</v>
      </c>
    </row>
    <row r="10" ht="25" customHeight="1">
      <c r="A10" s="251" t="inlineStr">
        <is>
          <t>WEATHER &amp; GROUND CONDITIONS</t>
        </is>
      </c>
      <c r="B10" s="218" t="n"/>
      <c r="C10" s="218" t="n"/>
      <c r="D10" s="218" t="n"/>
      <c r="E10" s="218" t="n"/>
      <c r="F10" s="218" t="n"/>
      <c r="G10" s="218" t="n"/>
      <c r="H10" s="218" t="n"/>
      <c r="I10" s="222" t="n"/>
    </row>
    <row r="11" ht="23.25" customHeight="1">
      <c r="A11" s="307" t="inlineStr">
        <is>
          <t>Temperature: 15-220C,  Wind:  20 km/h WNW, Precip: 0 mm</t>
        </is>
      </c>
      <c r="B11" s="218" t="n"/>
      <c r="C11" s="218" t="n"/>
      <c r="D11" s="218" t="n"/>
      <c r="E11" s="218" t="n"/>
      <c r="F11" s="218" t="n"/>
      <c r="G11" s="218" t="n"/>
      <c r="H11" s="218" t="n"/>
      <c r="I11" s="222" t="n"/>
      <c r="J11" s="89" t="n"/>
    </row>
    <row r="12" ht="25" customHeight="1">
      <c r="A12" s="264" t="inlineStr">
        <is>
          <t>PERSONNEL</t>
        </is>
      </c>
      <c r="B12" s="225" t="n"/>
      <c r="C12" s="225" t="n"/>
      <c r="D12" s="225" t="n"/>
      <c r="E12" s="225" t="n"/>
      <c r="F12" s="225" t="n"/>
      <c r="G12" s="225" t="n"/>
      <c r="H12" s="225" t="n"/>
      <c r="I12" s="226" t="n"/>
    </row>
    <row r="13" ht="23.25" customHeight="1" thickBot="1">
      <c r="A13" s="308" t="inlineStr">
        <is>
          <t>TCD Indirects</t>
        </is>
      </c>
      <c r="B13" s="225" t="n"/>
      <c r="C13" s="359" t="n"/>
      <c r="D13" s="309" t="inlineStr">
        <is>
          <t>TCD Directs</t>
        </is>
      </c>
      <c r="E13" s="225" t="n"/>
      <c r="F13" s="359" t="n"/>
      <c r="G13" s="311" t="inlineStr">
        <is>
          <t>Subcontractors</t>
        </is>
      </c>
      <c r="H13" s="225" t="n"/>
      <c r="I13" s="359" t="n"/>
    </row>
    <row r="14" ht="24" customHeight="1" thickBot="1" thickTop="1">
      <c r="A14" s="90" t="inlineStr">
        <is>
          <t xml:space="preserve"> Name</t>
        </is>
      </c>
      <c r="B14" s="91" t="inlineStr">
        <is>
          <t>Position</t>
        </is>
      </c>
      <c r="C14" s="92" t="inlineStr">
        <is>
          <t>Hours</t>
        </is>
      </c>
      <c r="D14" s="93" t="inlineStr">
        <is>
          <t xml:space="preserve"> Name</t>
        </is>
      </c>
      <c r="E14" s="91" t="inlineStr">
        <is>
          <t>Position</t>
        </is>
      </c>
      <c r="F14" s="94" t="inlineStr">
        <is>
          <t>Hours</t>
        </is>
      </c>
      <c r="G14" s="95" t="inlineStr">
        <is>
          <t xml:space="preserve"> Name</t>
        </is>
      </c>
      <c r="H14" s="91" t="inlineStr">
        <is>
          <t>Position</t>
        </is>
      </c>
      <c r="I14" s="96" t="inlineStr">
        <is>
          <t>Hours</t>
        </is>
      </c>
    </row>
    <row r="15" ht="23.25" customHeight="1" thickTop="1">
      <c r="A15" s="97" t="inlineStr">
        <is>
          <t>WATKINS, Steve</t>
        </is>
      </c>
      <c r="B15" s="98" t="inlineStr">
        <is>
          <t>Civil Manager</t>
        </is>
      </c>
      <c r="C15" s="99" t="n"/>
      <c r="D15" s="100" t="inlineStr">
        <is>
          <t>Asmatullayev, Ikhtiyar</t>
        </is>
      </c>
      <c r="E15" s="98" t="inlineStr">
        <is>
          <t>Labourer</t>
        </is>
      </c>
      <c r="F15" s="101" t="n">
        <v>12</v>
      </c>
      <c r="G15" s="102" t="inlineStr">
        <is>
          <t>McAuliffe, Daniel</t>
        </is>
      </c>
      <c r="H15" s="98" t="inlineStr">
        <is>
          <t>Operator</t>
        </is>
      </c>
      <c r="I15" s="103" t="n"/>
    </row>
    <row r="16" ht="23.25" customHeight="1">
      <c r="A16" s="104" t="inlineStr">
        <is>
          <t>GRIFFITHS, Daniel</t>
        </is>
      </c>
      <c r="B16" s="105" t="inlineStr">
        <is>
          <t>Project Manager</t>
        </is>
      </c>
      <c r="C16" s="106" t="n">
        <v>12</v>
      </c>
      <c r="D16" s="107" t="inlineStr">
        <is>
          <t>McGahon,Aideen</t>
        </is>
      </c>
      <c r="E16" s="105" t="inlineStr">
        <is>
          <t>Operator</t>
        </is>
      </c>
      <c r="F16" s="108" t="n">
        <v>12</v>
      </c>
      <c r="G16" s="109" t="inlineStr">
        <is>
          <t>Mosley,Joshua</t>
        </is>
      </c>
      <c r="H16" s="105" t="inlineStr">
        <is>
          <t>Surveyor</t>
        </is>
      </c>
      <c r="I16" s="110" t="n"/>
    </row>
    <row r="17" ht="23.25" customHeight="1">
      <c r="A17" s="104" t="inlineStr">
        <is>
          <t>O"SHEA, John</t>
        </is>
      </c>
      <c r="B17" s="105" t="inlineStr">
        <is>
          <t>Senior Project Engineer</t>
        </is>
      </c>
      <c r="C17" s="106" t="n"/>
      <c r="D17" s="107" t="n"/>
      <c r="E17" s="105" t="n"/>
      <c r="F17" s="108" t="n"/>
      <c r="G17" s="109" t="inlineStr">
        <is>
          <t>Keady, Brendan</t>
        </is>
      </c>
      <c r="H17" s="105" t="inlineStr">
        <is>
          <t>Operator</t>
        </is>
      </c>
      <c r="I17" s="110" t="n"/>
    </row>
    <row r="18" ht="23.25" customHeight="1">
      <c r="A18" s="104" t="inlineStr">
        <is>
          <t>GRIFFITHS, Ashley</t>
        </is>
      </c>
      <c r="B18" s="105" t="inlineStr">
        <is>
          <t>Supervisor</t>
        </is>
      </c>
      <c r="C18" s="106" t="n">
        <v>10</v>
      </c>
      <c r="D18" s="111" t="n"/>
      <c r="E18" s="112" t="n"/>
      <c r="F18" s="108" t="n"/>
      <c r="G18" s="109" t="inlineStr">
        <is>
          <t>Griffiths, Jaquai</t>
        </is>
      </c>
      <c r="H18" s="105" t="inlineStr">
        <is>
          <t>Operator</t>
        </is>
      </c>
      <c r="I18" s="110" t="n">
        <v>10</v>
      </c>
    </row>
    <row r="19" ht="23.25" customHeight="1">
      <c r="A19" s="104" t="inlineStr">
        <is>
          <t>THOMPSON,Cheryl</t>
        </is>
      </c>
      <c r="B19" s="105" t="inlineStr">
        <is>
          <t>HSET</t>
        </is>
      </c>
      <c r="C19" s="106" t="n"/>
      <c r="D19" s="111" t="n"/>
      <c r="E19" s="112" t="n"/>
      <c r="F19" s="108" t="n"/>
      <c r="G19" s="109" t="inlineStr">
        <is>
          <t>McConnell, Adam</t>
        </is>
      </c>
      <c r="H19" s="105" t="inlineStr">
        <is>
          <t>Labourer</t>
        </is>
      </c>
      <c r="I19" s="110" t="n">
        <v>12</v>
      </c>
    </row>
    <row r="20" ht="23.25" customHeight="1">
      <c r="A20" s="104" t="inlineStr">
        <is>
          <t>SKINNER,Jamie</t>
        </is>
      </c>
      <c r="B20" s="105" t="inlineStr">
        <is>
          <t>Supervisor</t>
        </is>
      </c>
      <c r="C20" s="106" t="n">
        <v>12</v>
      </c>
      <c r="D20" s="111" t="n"/>
      <c r="E20" s="112" t="n"/>
      <c r="F20" s="108" t="n"/>
      <c r="G20" s="109" t="inlineStr">
        <is>
          <t>Vac Truck</t>
        </is>
      </c>
      <c r="H20" s="105" t="inlineStr">
        <is>
          <t>Labourers</t>
        </is>
      </c>
      <c r="I20" s="110" t="n"/>
    </row>
    <row r="21" ht="23.25" customHeight="1">
      <c r="A21" s="104" t="inlineStr">
        <is>
          <t>TONER, Ultan</t>
        </is>
      </c>
      <c r="B21" s="105" t="inlineStr">
        <is>
          <t>Supervisor</t>
        </is>
      </c>
      <c r="C21" s="106" t="n">
        <v>12</v>
      </c>
      <c r="D21" s="111" t="n"/>
      <c r="E21" s="112" t="n"/>
      <c r="F21" s="108" t="n"/>
      <c r="G21" s="109" t="inlineStr">
        <is>
          <t>Kerbers</t>
        </is>
      </c>
      <c r="H21" s="105" t="inlineStr">
        <is>
          <t>Kerbers</t>
        </is>
      </c>
      <c r="I21" s="110" t="n"/>
    </row>
    <row r="22" ht="23.25" customHeight="1">
      <c r="A22" s="104" t="inlineStr">
        <is>
          <t>JOGI, Amit</t>
        </is>
      </c>
      <c r="B22" s="105" t="inlineStr">
        <is>
          <t>Project Engineer</t>
        </is>
      </c>
      <c r="C22" s="106" t="n">
        <v>12</v>
      </c>
      <c r="D22" s="111" t="n"/>
      <c r="E22" s="112" t="n"/>
      <c r="F22" s="108" t="n"/>
      <c r="G22" s="109" t="inlineStr">
        <is>
          <t>Superstruct</t>
        </is>
      </c>
      <c r="H22" s="105" t="inlineStr">
        <is>
          <t>Concereters</t>
        </is>
      </c>
      <c r="I22" s="110" t="n"/>
    </row>
    <row r="23" ht="23.25" customHeight="1" thickBot="1">
      <c r="A23" s="113" t="n"/>
      <c r="B23" s="114" t="n"/>
      <c r="C23" s="115" t="n"/>
      <c r="D23" s="116" t="n"/>
      <c r="E23" s="117" t="n"/>
      <c r="F23" s="118" t="n"/>
      <c r="G23" s="119" t="inlineStr">
        <is>
          <t>Pavers</t>
        </is>
      </c>
      <c r="H23" s="114" t="inlineStr">
        <is>
          <t>Pavers</t>
        </is>
      </c>
      <c r="I23" s="120" t="n">
        <v>40</v>
      </c>
    </row>
    <row r="24" ht="23.25" customHeight="1" thickTop="1">
      <c r="A24" s="204" t="inlineStr">
        <is>
          <t xml:space="preserve">Total Indirect Personnel onsite: </t>
        </is>
      </c>
      <c r="B24" s="369">
        <f>COUNT(C15:C23)</f>
        <v/>
      </c>
      <c r="C24" s="370" t="n"/>
      <c r="D24" s="205" t="inlineStr">
        <is>
          <t xml:space="preserve">Total Direct Personnel onsite:  </t>
        </is>
      </c>
      <c r="E24" s="369">
        <f>COUNT(F15:F23)</f>
        <v/>
      </c>
      <c r="F24" s="370" t="n"/>
      <c r="G24" s="206" t="inlineStr">
        <is>
          <t>Total Subcontractor on-site:</t>
        </is>
      </c>
      <c r="H24" s="371">
        <f>COUNT(I15:I23)</f>
        <v/>
      </c>
      <c r="I24" s="362" t="n"/>
    </row>
    <row r="25" ht="23.25" customHeight="1">
      <c r="A25" s="130" t="inlineStr">
        <is>
          <t xml:space="preserve">Total Indirect Personnel hours: </t>
        </is>
      </c>
      <c r="B25" s="372">
        <f>SUM(C15:C22)</f>
        <v/>
      </c>
      <c r="C25" s="373" t="n"/>
      <c r="D25" s="132" t="inlineStr">
        <is>
          <t xml:space="preserve">Total Direct Personnel hours: </t>
        </is>
      </c>
      <c r="E25" s="372">
        <f>SUM(F15:F16)</f>
        <v/>
      </c>
      <c r="F25" s="373" t="n"/>
      <c r="G25" s="133" t="inlineStr">
        <is>
          <t>Total Subcontractor hours:</t>
        </is>
      </c>
      <c r="H25" s="374">
        <f>SUM(I11:I23)</f>
        <v/>
      </c>
      <c r="I25" s="222" t="n"/>
    </row>
    <row r="26" ht="25" customHeight="1">
      <c r="A26" s="138" t="inlineStr">
        <is>
          <t>PLANT &amp; EQUIPMENT</t>
        </is>
      </c>
      <c r="B26" s="139" t="n"/>
      <c r="C26" s="139" t="n"/>
      <c r="D26" s="139" t="n"/>
      <c r="E26" s="139" t="n"/>
      <c r="F26" s="139" t="n"/>
      <c r="G26" s="139" t="n"/>
      <c r="H26" s="139" t="n"/>
      <c r="I26" s="140" t="n"/>
    </row>
    <row r="27" ht="24" customHeight="1" thickBot="1">
      <c r="A27" s="141" t="inlineStr">
        <is>
          <t>Plant</t>
        </is>
      </c>
      <c r="B27" s="142" t="inlineStr">
        <is>
          <t>ID</t>
        </is>
      </c>
      <c r="C27" s="143" t="inlineStr">
        <is>
          <t>Hrs</t>
        </is>
      </c>
      <c r="D27" s="144" t="inlineStr">
        <is>
          <t xml:space="preserve"> Vehicles</t>
        </is>
      </c>
      <c r="E27" s="142" t="inlineStr">
        <is>
          <t>ID</t>
        </is>
      </c>
      <c r="F27" s="145" t="inlineStr">
        <is>
          <t>QTY</t>
        </is>
      </c>
      <c r="G27" s="146" t="inlineStr">
        <is>
          <t>Site Facilities</t>
        </is>
      </c>
      <c r="H27" s="147" t="inlineStr">
        <is>
          <t>ID</t>
        </is>
      </c>
      <c r="I27" s="148" t="inlineStr">
        <is>
          <t>Qty</t>
        </is>
      </c>
    </row>
    <row r="28" ht="23.25" customHeight="1" thickTop="1">
      <c r="A28" s="97" t="inlineStr">
        <is>
          <t>Komatsu WA320</t>
        </is>
      </c>
      <c r="B28" s="98" t="inlineStr">
        <is>
          <t>FWL18</t>
        </is>
      </c>
      <c r="C28" s="149" t="n"/>
      <c r="D28" s="150" t="inlineStr">
        <is>
          <t>Hilux</t>
        </is>
      </c>
      <c r="E28" s="151" t="inlineStr">
        <is>
          <t>DLV90</t>
        </is>
      </c>
      <c r="F28" s="152" t="n">
        <v>1</v>
      </c>
      <c r="G28" s="153" t="inlineStr">
        <is>
          <t>Office 40ft</t>
        </is>
      </c>
      <c r="H28" s="151" t="n">
        <v>9255540</v>
      </c>
      <c r="I28" s="103" t="n">
        <v>1</v>
      </c>
    </row>
    <row r="29" ht="23.25" customHeight="1">
      <c r="A29" s="104" t="inlineStr">
        <is>
          <t>Wacker Neuson DPU</t>
        </is>
      </c>
      <c r="B29" s="105" t="inlineStr">
        <is>
          <t>DPC15</t>
        </is>
      </c>
      <c r="C29" s="154" t="n"/>
      <c r="D29" s="155" t="inlineStr">
        <is>
          <t>Hilux</t>
        </is>
      </c>
      <c r="E29" s="156" t="inlineStr">
        <is>
          <t>1DLV04</t>
        </is>
      </c>
      <c r="F29" s="157" t="n">
        <v>1</v>
      </c>
      <c r="G29" s="158" t="inlineStr">
        <is>
          <t>Sea Container 20ft</t>
        </is>
      </c>
      <c r="H29" s="105" t="n">
        <v>951200</v>
      </c>
      <c r="I29" s="110" t="n">
        <v>1</v>
      </c>
    </row>
    <row r="30" ht="23.25" customHeight="1">
      <c r="A30" s="159" t="inlineStr">
        <is>
          <t>Watercart</t>
        </is>
      </c>
      <c r="B30" s="156" t="inlineStr">
        <is>
          <t>A119</t>
        </is>
      </c>
      <c r="C30" s="154" t="n">
        <v>3</v>
      </c>
      <c r="D30" s="155" t="n"/>
      <c r="E30" s="105" t="n"/>
      <c r="F30" s="157" t="n"/>
      <c r="G30" s="158" t="inlineStr">
        <is>
          <t>Site Sentry Tower</t>
        </is>
      </c>
      <c r="H30" s="156" t="inlineStr">
        <is>
          <t>NA</t>
        </is>
      </c>
      <c r="I30" s="110" t="n">
        <v>2</v>
      </c>
    </row>
    <row r="31" ht="23.25" customHeight="1">
      <c r="A31" s="159" t="inlineStr">
        <is>
          <t>8T Excavator</t>
        </is>
      </c>
      <c r="B31" s="160" t="inlineStr">
        <is>
          <t>AMG 014</t>
        </is>
      </c>
      <c r="C31" s="154" t="n"/>
      <c r="D31" s="155" t="n"/>
      <c r="E31" s="156" t="n"/>
      <c r="F31" s="157" t="n"/>
      <c r="G31" s="158" t="inlineStr">
        <is>
          <t>Skip Bin</t>
        </is>
      </c>
      <c r="H31" s="156" t="inlineStr">
        <is>
          <t>NA</t>
        </is>
      </c>
      <c r="I31" s="110" t="n">
        <v>1</v>
      </c>
    </row>
    <row r="32" ht="23.25" customHeight="1">
      <c r="A32" s="159" t="inlineStr">
        <is>
          <t>Mini Tipper</t>
        </is>
      </c>
      <c r="B32" s="156" t="inlineStr">
        <is>
          <t>SLS04</t>
        </is>
      </c>
      <c r="C32" s="106" t="n">
        <v>9</v>
      </c>
      <c r="D32" s="155" t="n"/>
      <c r="E32" s="156" t="n"/>
      <c r="F32" s="157" t="n"/>
      <c r="G32" s="158" t="inlineStr">
        <is>
          <t>Hydrocarbon Bund</t>
        </is>
      </c>
      <c r="H32" s="156" t="inlineStr">
        <is>
          <t>NA</t>
        </is>
      </c>
      <c r="I32" s="110" t="n">
        <v>1</v>
      </c>
    </row>
    <row r="33" ht="23.25" customHeight="1">
      <c r="A33" s="159" t="inlineStr">
        <is>
          <t>Skid Steer</t>
        </is>
      </c>
      <c r="B33" s="156" t="inlineStr">
        <is>
          <t>SLS03</t>
        </is>
      </c>
      <c r="C33" s="106" t="n">
        <v>6</v>
      </c>
      <c r="D33" s="155" t="n"/>
      <c r="E33" s="156" t="n"/>
      <c r="F33" s="157" t="n"/>
      <c r="G33" s="158" t="inlineStr">
        <is>
          <t>Temp Fence</t>
        </is>
      </c>
      <c r="H33" s="105" t="inlineStr">
        <is>
          <t>NA</t>
        </is>
      </c>
      <c r="I33" s="110" t="n">
        <v>1</v>
      </c>
    </row>
    <row r="34" ht="23.25" customHeight="1">
      <c r="A34" s="159" t="inlineStr">
        <is>
          <t>1t Excavator</t>
        </is>
      </c>
      <c r="B34" s="156" t="inlineStr">
        <is>
          <t>SLS02</t>
        </is>
      </c>
      <c r="C34" s="106" t="n">
        <v>8</v>
      </c>
      <c r="D34" s="155" t="n"/>
      <c r="E34" s="156" t="n"/>
      <c r="F34" s="157" t="n"/>
      <c r="G34" s="158" t="n"/>
      <c r="H34" s="105" t="n"/>
      <c r="I34" s="110" t="n"/>
    </row>
    <row r="35" ht="24" customHeight="1">
      <c r="A35" s="159" t="inlineStr">
        <is>
          <t>8T Excavator (Wheeled)</t>
        </is>
      </c>
      <c r="B35" s="156" t="inlineStr">
        <is>
          <t>BCC12</t>
        </is>
      </c>
      <c r="C35" s="106" t="n"/>
      <c r="D35" s="155" t="n"/>
      <c r="E35" s="156" t="n"/>
      <c r="F35" s="157" t="n"/>
      <c r="G35" s="161" t="n"/>
      <c r="H35" s="162" t="n"/>
      <c r="I35" s="163" t="n"/>
    </row>
    <row r="36" ht="24" customHeight="1">
      <c r="A36" s="159" t="inlineStr">
        <is>
          <t>14t Excavator with GPS</t>
        </is>
      </c>
      <c r="B36" s="156" t="inlineStr">
        <is>
          <t>EX197</t>
        </is>
      </c>
      <c r="C36" s="106" t="n"/>
      <c r="D36" s="155" t="n"/>
      <c r="E36" s="156" t="n"/>
      <c r="F36" s="157" t="n"/>
      <c r="G36" s="161" t="n"/>
      <c r="H36" s="162" t="n"/>
      <c r="I36" s="163" t="n"/>
    </row>
    <row r="37" ht="24" customHeight="1">
      <c r="A37" s="159" t="inlineStr">
        <is>
          <t>Positrak SSL</t>
        </is>
      </c>
      <c r="B37" s="156" t="inlineStr">
        <is>
          <t>SSL08</t>
        </is>
      </c>
      <c r="C37" s="154" t="n"/>
      <c r="D37" s="155" t="n"/>
      <c r="E37" s="156" t="n"/>
      <c r="F37" s="157" t="n"/>
      <c r="G37" s="161" t="n"/>
      <c r="H37" s="162" t="n"/>
      <c r="I37" s="163" t="n"/>
    </row>
    <row r="38" ht="24" customHeight="1" thickBot="1">
      <c r="A38" s="159" t="inlineStr">
        <is>
          <t>IT Loader</t>
        </is>
      </c>
      <c r="B38" s="156" t="inlineStr">
        <is>
          <t>LD011</t>
        </is>
      </c>
      <c r="C38" s="106" t="n">
        <v>5</v>
      </c>
      <c r="D38" s="167" t="n"/>
      <c r="E38" s="168" t="n"/>
      <c r="F38" s="169" t="n"/>
      <c r="G38" s="170" t="n"/>
      <c r="H38" s="168" t="n"/>
      <c r="I38" s="171" t="n"/>
    </row>
    <row r="39" ht="24" customHeight="1" thickTop="1">
      <c r="A39" s="172" t="n">
        <v>0</v>
      </c>
      <c r="B39" s="294" t="inlineStr">
        <is>
          <t xml:space="preserve">Repairs Required </t>
        </is>
      </c>
      <c r="C39" s="360" t="n"/>
      <c r="D39" s="323" t="inlineStr">
        <is>
          <t>NA</t>
        </is>
      </c>
      <c r="E39" s="361" t="n"/>
      <c r="F39" s="361" t="n"/>
      <c r="G39" s="361" t="n"/>
      <c r="H39" s="361" t="n"/>
      <c r="I39" s="362" t="n"/>
    </row>
    <row r="40" ht="24" customHeight="1">
      <c r="A40" s="173" t="n">
        <v>0</v>
      </c>
      <c r="B40" s="299" t="inlineStr">
        <is>
          <t>Scheduled Service</t>
        </is>
      </c>
      <c r="C40" s="219" t="n"/>
      <c r="D40" s="326" t="inlineStr">
        <is>
          <t>NA</t>
        </is>
      </c>
      <c r="E40" s="218" t="n"/>
      <c r="F40" s="218" t="n"/>
      <c r="G40" s="218" t="n"/>
      <c r="H40" s="218" t="n"/>
      <c r="I40" s="222" t="n"/>
    </row>
    <row r="41" ht="24" customHeight="1" thickBot="1">
      <c r="A41" s="174" t="n">
        <v>0</v>
      </c>
      <c r="B41" s="302" t="inlineStr">
        <is>
          <t>Repairs Required but Operable</t>
        </is>
      </c>
      <c r="C41" s="363" t="n"/>
      <c r="D41" s="329" t="inlineStr">
        <is>
          <t>NA</t>
        </is>
      </c>
      <c r="E41" s="364" t="n"/>
      <c r="F41" s="364" t="n"/>
      <c r="G41" s="364" t="n"/>
      <c r="H41" s="364" t="n"/>
      <c r="I41" s="365" t="n"/>
    </row>
    <row r="42" ht="23.25" customHeight="1" thickTop="1">
      <c r="A42" s="273" t="inlineStr">
        <is>
          <t xml:space="preserve">Total Plant and Equipment Hours: </t>
        </is>
      </c>
      <c r="B42" s="366" t="n"/>
      <c r="C42" s="175">
        <f>SUM(C28:C38)</f>
        <v/>
      </c>
      <c r="D42" s="275" t="n"/>
      <c r="E42" s="208" t="n"/>
      <c r="F42" s="208" t="n"/>
      <c r="G42" s="208" t="n"/>
      <c r="H42" s="208" t="n"/>
      <c r="I42" s="216" t="n"/>
    </row>
    <row r="43" ht="25" customHeight="1">
      <c r="A43" s="251" t="inlineStr">
        <is>
          <t>DELAYS-OPPORTUNITY</t>
        </is>
      </c>
      <c r="B43" s="218" t="n"/>
      <c r="C43" s="218" t="n"/>
      <c r="D43" s="218" t="n"/>
      <c r="E43" s="218" t="n"/>
      <c r="F43" s="218" t="n"/>
      <c r="G43" s="218" t="n"/>
      <c r="H43" s="218" t="n"/>
      <c r="I43" s="222" t="n"/>
    </row>
    <row r="44" ht="69" customHeight="1" thickBot="1">
      <c r="A44" s="278"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Chambers monument lightpole impacted by relocated services
Lightpole adjoining southern wombat interfacing with relocated electrical needed to be relocated closer to road. Lightpole inside garden bed relocated outside garden bed at client direction
Changes occured after light poles were vacuum excavated. 
Final Level of Northern Lots Determined 
Issues around Traffic Control have been identified
</t>
        </is>
      </c>
      <c r="B44" s="225" t="n"/>
      <c r="C44" s="225" t="n"/>
      <c r="D44" s="225" t="n"/>
      <c r="E44" s="225" t="n"/>
      <c r="F44" s="225" t="n"/>
      <c r="G44" s="225" t="n"/>
      <c r="H44" s="225" t="n"/>
      <c r="I44" s="226" t="n"/>
    </row>
    <row r="45" ht="36" customHeight="1">
      <c r="A45" s="212" t="n"/>
      <c r="I45" s="214" t="n"/>
    </row>
    <row r="46" ht="72" customHeight="1">
      <c r="A46" s="212" t="n"/>
      <c r="I46" s="214" t="n"/>
    </row>
    <row r="47" ht="9.75" customHeight="1" thickBot="1">
      <c r="A47" s="235" t="n"/>
      <c r="B47" s="236" t="n"/>
      <c r="C47" s="236" t="n"/>
      <c r="D47" s="236" t="n"/>
      <c r="E47" s="236" t="n"/>
      <c r="F47" s="236" t="n"/>
      <c r="G47" s="236" t="n"/>
      <c r="H47" s="236" t="n"/>
      <c r="I47" s="237" t="n"/>
    </row>
    <row r="48" ht="25" customHeight="1">
      <c r="A48" s="260" t="inlineStr">
        <is>
          <t>HSEQ MESSAGES</t>
        </is>
      </c>
      <c r="B48" s="239" t="n"/>
      <c r="C48" s="239" t="n"/>
      <c r="D48" s="239" t="n"/>
      <c r="E48" s="239" t="n"/>
      <c r="F48" s="239" t="n"/>
      <c r="G48" s="239" t="n"/>
      <c r="H48" s="239" t="n"/>
      <c r="I48" s="240" t="n"/>
    </row>
    <row r="49" ht="20" customHeight="1">
      <c r="A49" s="176" t="inlineStr">
        <is>
          <t>TCD - Monthly Safety Focus:</t>
        </is>
      </c>
      <c r="B49" s="285" t="inlineStr">
        <is>
          <t>Prestart Checks</t>
        </is>
      </c>
      <c r="C49" s="218" t="n"/>
      <c r="D49" s="218" t="n"/>
      <c r="E49" s="218" t="n"/>
      <c r="F49" s="218" t="n"/>
      <c r="G49" s="218" t="n"/>
      <c r="H49" s="218" t="n"/>
      <c r="I49" s="219" t="n"/>
    </row>
    <row r="50" ht="20" customHeight="1">
      <c r="A50" s="176" t="inlineStr">
        <is>
          <t>TCD - Daily Safety Focus:</t>
        </is>
      </c>
      <c r="B50" s="270" t="inlineStr">
        <is>
          <t>Hydration</t>
        </is>
      </c>
      <c r="C50" s="218" t="n"/>
      <c r="D50" s="218" t="n"/>
      <c r="E50" s="218" t="n"/>
      <c r="F50" s="218" t="n"/>
      <c r="G50" s="218" t="n"/>
      <c r="H50" s="218" t="n"/>
      <c r="I50" s="222" t="n"/>
    </row>
    <row r="51" ht="20" customHeight="1">
      <c r="A51" s="177" t="inlineStr">
        <is>
          <t xml:space="preserve">Hazards Reported: </t>
        </is>
      </c>
      <c r="B51" s="270" t="inlineStr">
        <is>
          <t>Nil</t>
        </is>
      </c>
      <c r="C51" s="218" t="n"/>
      <c r="D51" s="218" t="n"/>
      <c r="E51" s="218" t="n"/>
      <c r="F51" s="218" t="n"/>
      <c r="G51" s="218" t="n"/>
      <c r="H51" s="218" t="n"/>
      <c r="I51" s="222" t="n"/>
    </row>
    <row r="52" ht="20" customHeight="1">
      <c r="A52" s="177" t="inlineStr">
        <is>
          <t>Incident Free Days</t>
        </is>
      </c>
      <c r="B52" s="367" t="n">
        <v>2</v>
      </c>
      <c r="C52" s="218" t="n"/>
      <c r="D52" s="218" t="n"/>
      <c r="E52" s="218" t="n"/>
      <c r="F52" s="218" t="n"/>
      <c r="G52" s="218" t="n"/>
      <c r="H52" s="218" t="n"/>
      <c r="I52" s="222" t="n"/>
    </row>
    <row r="53" ht="20" customHeight="1">
      <c r="A53" s="178" t="inlineStr">
        <is>
          <t>Other Notes</t>
        </is>
      </c>
      <c r="B53" s="271" t="inlineStr">
        <is>
          <t>NA</t>
        </is>
      </c>
      <c r="C53" s="225" t="n"/>
      <c r="D53" s="225" t="n"/>
      <c r="E53" s="225" t="n"/>
      <c r="F53" s="225" t="n"/>
      <c r="G53" s="225" t="n"/>
      <c r="H53" s="225" t="n"/>
      <c r="I53" s="226" t="n"/>
    </row>
    <row r="54" ht="20.25" customHeight="1">
      <c r="A54" s="251" t="inlineStr">
        <is>
          <t xml:space="preserve">INCIDENTS &amp; REPORTS </t>
        </is>
      </c>
      <c r="B54" s="218" t="n"/>
      <c r="C54" s="218" t="n"/>
      <c r="D54" s="218" t="n"/>
      <c r="E54" s="218" t="n"/>
      <c r="F54" s="218" t="n"/>
      <c r="G54" s="218" t="n"/>
      <c r="H54" s="218" t="n"/>
      <c r="I54" s="222" t="n"/>
    </row>
    <row r="55" ht="20" customHeight="1">
      <c r="A55" s="179" t="n"/>
      <c r="B55" s="180" t="inlineStr">
        <is>
          <t>QTY</t>
        </is>
      </c>
      <c r="C55" s="272" t="inlineStr">
        <is>
          <t>Comments</t>
        </is>
      </c>
      <c r="D55" s="218" t="n"/>
      <c r="E55" s="218" t="n"/>
      <c r="F55" s="218" t="n"/>
      <c r="G55" s="218" t="n"/>
      <c r="H55" s="218" t="n"/>
      <c r="I55" s="222" t="n"/>
    </row>
    <row r="56" ht="20" customHeight="1">
      <c r="A56" s="130" t="inlineStr">
        <is>
          <t>INCIDENT</t>
        </is>
      </c>
      <c r="B56" s="105" t="n">
        <v>0</v>
      </c>
      <c r="C56" s="254" t="inlineStr">
        <is>
          <t>NA</t>
        </is>
      </c>
      <c r="D56" s="225" t="n"/>
      <c r="E56" s="225" t="n"/>
      <c r="F56" s="225" t="n"/>
      <c r="G56" s="225" t="n"/>
      <c r="H56" s="225" t="n"/>
      <c r="I56" s="226" t="n"/>
    </row>
    <row r="57" ht="20" customHeight="1">
      <c r="A57" s="196" t="inlineStr">
        <is>
          <t>IR</t>
        </is>
      </c>
      <c r="B57" s="114" t="n">
        <v>0</v>
      </c>
      <c r="C57" s="254" t="inlineStr">
        <is>
          <t>NA</t>
        </is>
      </c>
      <c r="D57" s="225" t="n"/>
      <c r="E57" s="225" t="n"/>
      <c r="F57" s="225" t="n"/>
      <c r="G57" s="225" t="n"/>
      <c r="H57" s="225" t="n"/>
      <c r="I57" s="226" t="n"/>
    </row>
    <row r="58" ht="20" customHeight="1" thickBot="1">
      <c r="A58" s="197" t="inlineStr">
        <is>
          <t>NCR</t>
        </is>
      </c>
      <c r="B58" s="198" t="n">
        <v>0</v>
      </c>
      <c r="C58" s="257" t="inlineStr">
        <is>
          <t>NA</t>
        </is>
      </c>
      <c r="D58" s="248" t="n"/>
      <c r="E58" s="248" t="n"/>
      <c r="F58" s="248" t="n"/>
      <c r="G58" s="248" t="n"/>
      <c r="H58" s="248" t="n"/>
      <c r="I58" s="249" t="n"/>
    </row>
    <row r="59" ht="20.25" customHeight="1">
      <c r="A59" s="260" t="inlineStr">
        <is>
          <t>COMMUNICATIONS</t>
        </is>
      </c>
      <c r="B59" s="239" t="n"/>
      <c r="C59" s="239" t="n"/>
      <c r="D59" s="239" t="n"/>
      <c r="E59" s="239" t="n"/>
      <c r="F59" s="239" t="n"/>
      <c r="G59" s="239" t="n"/>
      <c r="H59" s="239" t="n"/>
      <c r="I59" s="240" t="n"/>
    </row>
    <row r="60" ht="25" customHeight="1">
      <c r="A60" s="263" t="inlineStr">
        <is>
          <t>TGS MB1119-05 Scheme D implemented</t>
        </is>
      </c>
      <c r="B60" s="218" t="n"/>
      <c r="C60" s="218" t="n"/>
      <c r="D60" s="218" t="n"/>
      <c r="E60" s="218" t="n"/>
      <c r="F60" s="218" t="n"/>
      <c r="G60" s="218" t="n"/>
      <c r="H60" s="218" t="n"/>
      <c r="I60" s="222" t="n"/>
    </row>
    <row r="61" ht="25" customHeight="1">
      <c r="A61" s="251" t="inlineStr">
        <is>
          <t>PRODUCTION (CONSTRUCTION STATUS &amp; PROGRESS)</t>
        </is>
      </c>
      <c r="B61" s="218" t="n"/>
      <c r="C61" s="218" t="n"/>
      <c r="D61" s="218" t="n"/>
      <c r="E61" s="218" t="n"/>
      <c r="F61" s="218" t="n"/>
      <c r="G61" s="218" t="n"/>
      <c r="H61" s="218" t="n"/>
      <c r="I61" s="222" t="n"/>
    </row>
    <row r="62" ht="20" customHeight="1">
      <c r="A62" s="263" t="inlineStr">
        <is>
          <t>Installation of Signages on Monument Promenade is ongoing</t>
        </is>
      </c>
      <c r="B62" s="218" t="n"/>
      <c r="C62" s="218" t="n"/>
      <c r="D62" s="218" t="n"/>
      <c r="E62" s="218" t="n"/>
      <c r="F62" s="218" t="n"/>
      <c r="G62" s="218" t="n"/>
      <c r="H62" s="218" t="n"/>
      <c r="I62" s="222" t="n"/>
    </row>
    <row r="63" ht="20" customHeight="1">
      <c r="A63" s="263" t="inlineStr">
        <is>
          <t>Flushing of irrigation lines is ongoing. Remaining to be completed on Monday.</t>
        </is>
      </c>
      <c r="B63" s="218" t="n"/>
      <c r="C63" s="218" t="n"/>
      <c r="D63" s="218" t="n"/>
      <c r="E63" s="218" t="n"/>
      <c r="F63" s="218" t="n"/>
      <c r="G63" s="218" t="n"/>
      <c r="H63" s="218" t="n"/>
      <c r="I63" s="222" t="n"/>
    </row>
    <row r="64" ht="20" customHeight="1">
      <c r="A64" s="263" t="inlineStr">
        <is>
          <t>Installation of Paver along NE completed and section tidy up is ongoing</t>
        </is>
      </c>
      <c r="B64" s="218" t="n"/>
      <c r="C64" s="218" t="n"/>
      <c r="D64" s="218" t="n"/>
      <c r="E64" s="218" t="n"/>
      <c r="F64" s="218" t="n"/>
      <c r="G64" s="218" t="n"/>
      <c r="H64" s="218" t="n"/>
      <c r="I64" s="222" t="n"/>
    </row>
    <row r="65" ht="20" customHeight="1">
      <c r="A65" s="263" t="inlineStr">
        <is>
          <t>Electrical pits raised to correct levels</t>
        </is>
      </c>
      <c r="B65" s="218" t="n"/>
      <c r="C65" s="218" t="n"/>
      <c r="D65" s="218" t="n"/>
      <c r="E65" s="218" t="n"/>
      <c r="F65" s="218" t="n"/>
      <c r="G65" s="218" t="n"/>
      <c r="H65" s="218" t="n"/>
      <c r="I65" s="222" t="n"/>
    </row>
    <row r="66" ht="20" customHeight="1">
      <c r="A66" s="263" t="inlineStr">
        <is>
          <t>Placement of root deflector in tree pits is ongoing</t>
        </is>
      </c>
      <c r="B66" s="218" t="n"/>
      <c r="C66" s="218" t="n"/>
      <c r="D66" s="218" t="n"/>
      <c r="E66" s="218" t="n"/>
      <c r="F66" s="218" t="n"/>
      <c r="G66" s="218" t="n"/>
      <c r="H66" s="218" t="n"/>
      <c r="I66" s="222" t="n"/>
    </row>
    <row r="67" ht="20" customHeight="1">
      <c r="A67" s="263" t="inlineStr">
        <is>
          <t>Ground Prep for paving is ongoing</t>
        </is>
      </c>
      <c r="B67" s="218" t="n"/>
      <c r="C67" s="218" t="n"/>
      <c r="D67" s="218" t="n"/>
      <c r="E67" s="218" t="n"/>
      <c r="F67" s="218" t="n"/>
      <c r="G67" s="218" t="n"/>
      <c r="H67" s="218" t="n"/>
      <c r="I67" s="222" t="n"/>
    </row>
    <row r="68" ht="20" customHeight="1">
      <c r="A68" s="368" t="n"/>
      <c r="B68" s="218" t="n"/>
      <c r="C68" s="218" t="n"/>
      <c r="D68" s="218" t="n"/>
      <c r="E68" s="218" t="n"/>
      <c r="F68" s="218" t="n"/>
      <c r="G68" s="218" t="n"/>
      <c r="H68" s="218" t="n"/>
      <c r="I68" s="222" t="n"/>
    </row>
    <row r="69" ht="26.25" customHeight="1" thickBot="1">
      <c r="A69" s="264" t="inlineStr">
        <is>
          <t>Photos</t>
        </is>
      </c>
      <c r="B69" s="225" t="n"/>
      <c r="C69" s="225" t="n"/>
      <c r="D69" s="225" t="n"/>
      <c r="E69" s="225" t="n"/>
      <c r="F69" s="225" t="n"/>
      <c r="G69" s="225" t="n"/>
      <c r="H69" s="225" t="n"/>
      <c r="I69" s="226" t="n"/>
    </row>
    <row r="70" ht="23.25" customHeight="1">
      <c r="A70" s="181" t="n"/>
      <c r="B70" s="182" t="n"/>
      <c r="C70" s="182" t="n"/>
      <c r="D70" s="182" t="n"/>
      <c r="E70" s="182" t="n"/>
      <c r="F70" s="182" t="n"/>
      <c r="G70" s="182" t="n"/>
      <c r="H70" s="182" t="n"/>
      <c r="I70" s="183" t="n"/>
    </row>
    <row r="71" ht="23.25" customHeight="1">
      <c r="A71" s="203" t="n"/>
      <c r="B71" s="185" t="n"/>
      <c r="C71" s="185" t="n"/>
      <c r="D71" s="185" t="n"/>
      <c r="E71" s="185" t="n"/>
      <c r="F71" s="185" t="n"/>
      <c r="G71" s="185" t="n"/>
      <c r="H71" s="185" t="n"/>
      <c r="I71" s="186" t="n"/>
    </row>
    <row r="72" ht="15" customHeight="1">
      <c r="A72" s="184" t="n"/>
      <c r="B72" s="185" t="n"/>
      <c r="C72" s="185" t="n"/>
      <c r="D72" s="185" t="n"/>
      <c r="E72" s="185" t="n"/>
      <c r="F72" s="185" t="n"/>
      <c r="G72" s="185" t="n"/>
      <c r="H72" s="185" t="n"/>
      <c r="I72" s="186" t="n"/>
    </row>
    <row r="73" ht="15" customHeight="1">
      <c r="A73" s="184" t="n"/>
      <c r="B73" s="185" t="n"/>
      <c r="C73" s="185" t="n"/>
      <c r="D73" s="185" t="n"/>
      <c r="E73" s="185" t="n"/>
      <c r="F73" s="185" t="n"/>
      <c r="G73" s="185" t="n"/>
      <c r="H73" s="185" t="n"/>
      <c r="I73" s="186" t="n"/>
    </row>
    <row r="74" ht="15" customHeight="1">
      <c r="A74" s="184" t="n"/>
      <c r="B74" s="185" t="n"/>
      <c r="C74" s="185" t="n"/>
      <c r="D74" s="185" t="n"/>
      <c r="E74" s="185" t="n"/>
      <c r="F74" s="185" t="n"/>
      <c r="G74" s="185" t="n"/>
      <c r="H74" s="185" t="n"/>
      <c r="I74" s="186" t="n"/>
    </row>
    <row r="75" ht="15" customHeight="1">
      <c r="A75" s="184" t="n"/>
      <c r="B75" s="185" t="n"/>
      <c r="C75" s="185" t="n"/>
      <c r="D75" s="185" t="n"/>
      <c r="E75" s="185" t="n"/>
      <c r="F75" s="185" t="n"/>
      <c r="G75" s="185" t="n"/>
      <c r="H75" s="185" t="n"/>
      <c r="I75" s="186" t="n"/>
    </row>
    <row r="76" ht="15" customHeight="1">
      <c r="A76" s="184" t="n"/>
      <c r="B76" s="185" t="n"/>
      <c r="C76" s="185" t="n"/>
      <c r="D76" s="185" t="n"/>
      <c r="E76" s="185" t="n"/>
      <c r="F76" s="185" t="n"/>
      <c r="G76" s="185" t="n"/>
      <c r="H76" s="185" t="n"/>
      <c r="I76" s="186" t="n"/>
    </row>
    <row r="77" ht="15" customHeight="1">
      <c r="A77" s="184" t="n"/>
      <c r="B77" s="185" t="n"/>
      <c r="C77" s="185" t="n"/>
      <c r="D77" s="185" t="n"/>
      <c r="E77" s="185" t="n"/>
      <c r="F77" s="185" t="n"/>
      <c r="G77" s="185" t="n"/>
      <c r="H77" s="185" t="n"/>
      <c r="I77" s="186" t="n"/>
    </row>
    <row r="78" ht="15" customHeight="1">
      <c r="A78" s="184" t="n"/>
      <c r="B78" s="185" t="n"/>
      <c r="C78" s="185" t="n"/>
      <c r="D78" s="185" t="n"/>
      <c r="E78" s="185" t="n"/>
      <c r="F78" s="185" t="n"/>
      <c r="G78" s="185" t="n"/>
      <c r="H78" s="185" t="n"/>
      <c r="I78" s="186" t="n"/>
    </row>
    <row r="79" ht="15" customHeight="1">
      <c r="A79" s="184" t="n"/>
      <c r="B79" s="185" t="n"/>
      <c r="C79" s="185" t="n"/>
      <c r="D79" s="185" t="n"/>
      <c r="E79" s="185" t="n"/>
      <c r="F79" s="185" t="n"/>
      <c r="G79" s="185" t="n"/>
      <c r="H79" s="185" t="n"/>
      <c r="I79" s="186" t="n"/>
    </row>
    <row r="80" ht="15" customHeight="1">
      <c r="A80" s="184" t="n"/>
      <c r="B80" s="185" t="n"/>
      <c r="C80" s="185" t="n"/>
      <c r="D80" s="185" t="n"/>
      <c r="E80" s="185" t="n"/>
      <c r="F80" s="185" t="n"/>
      <c r="G80" s="185" t="n"/>
      <c r="H80" s="185" t="n"/>
      <c r="I80" s="186" t="n"/>
    </row>
    <row r="81" ht="15" customHeight="1">
      <c r="A81" s="184" t="n"/>
      <c r="B81" s="185" t="n"/>
      <c r="C81" s="185" t="n"/>
      <c r="D81" s="185" t="n"/>
      <c r="E81" s="185" t="n"/>
      <c r="F81" s="185" t="n"/>
      <c r="G81" s="185" t="n"/>
      <c r="H81" s="185" t="n"/>
      <c r="I81" s="186" t="n"/>
    </row>
    <row r="82" ht="15" customHeight="1">
      <c r="A82" s="184" t="n"/>
      <c r="B82" s="185" t="n"/>
      <c r="C82" s="185" t="n"/>
      <c r="D82" s="185" t="n"/>
      <c r="E82" s="185" t="n"/>
      <c r="F82" s="185" t="n"/>
      <c r="G82" s="185" t="n"/>
      <c r="H82" s="185" t="n"/>
      <c r="I82" s="186" t="n"/>
    </row>
    <row r="83" ht="15" customHeight="1">
      <c r="A83" s="184" t="n"/>
      <c r="B83" s="185" t="n"/>
      <c r="C83" s="185" t="n"/>
      <c r="D83" s="185" t="n"/>
      <c r="E83" s="185" t="n"/>
      <c r="F83" s="185" t="n"/>
      <c r="G83" s="185" t="n"/>
      <c r="H83" s="185" t="n"/>
      <c r="I83" s="186" t="n"/>
    </row>
    <row r="84" ht="15" customHeight="1">
      <c r="A84" s="184" t="n"/>
      <c r="B84" s="185" t="n"/>
      <c r="C84" s="185" t="n"/>
      <c r="D84" s="185" t="n"/>
      <c r="E84" s="185" t="n"/>
      <c r="F84" s="185" t="n"/>
      <c r="G84" s="185" t="n"/>
      <c r="H84" s="185" t="n"/>
      <c r="I84" s="186" t="n"/>
    </row>
    <row r="85" ht="15" customHeight="1">
      <c r="A85" s="184" t="n"/>
      <c r="B85" s="185" t="n"/>
      <c r="C85" s="185" t="n"/>
      <c r="D85" s="185" t="n"/>
      <c r="E85" s="185" t="n"/>
      <c r="F85" s="185" t="n"/>
      <c r="G85" s="185" t="n"/>
      <c r="H85" s="185" t="n"/>
      <c r="I85" s="186" t="n"/>
    </row>
    <row r="86" ht="15" customHeight="1">
      <c r="A86" s="184" t="n"/>
      <c r="B86" s="185" t="n"/>
      <c r="C86" s="185" t="n"/>
      <c r="D86" s="185" t="n"/>
      <c r="E86" s="185" t="n"/>
      <c r="F86" s="185" t="n"/>
      <c r="G86" s="185" t="n"/>
      <c r="H86" s="185" t="n"/>
      <c r="I86" s="186" t="n"/>
    </row>
    <row r="87" ht="15" customHeight="1">
      <c r="A87" s="184" t="n"/>
      <c r="B87" s="185" t="n"/>
      <c r="C87" s="185" t="n"/>
      <c r="D87" s="185" t="n"/>
      <c r="E87" s="185" t="n"/>
      <c r="F87" s="185" t="n"/>
      <c r="G87" s="185" t="n"/>
      <c r="H87" s="185" t="n"/>
      <c r="I87" s="186" t="n"/>
    </row>
    <row r="88" ht="15" customHeight="1">
      <c r="A88" s="184" t="n"/>
      <c r="B88" s="185" t="n"/>
      <c r="C88" s="185" t="n"/>
      <c r="D88" s="185" t="n"/>
      <c r="E88" s="185" t="n"/>
      <c r="F88" s="185" t="n"/>
      <c r="G88" s="185" t="n"/>
      <c r="H88" s="185" t="n"/>
      <c r="I88" s="186" t="n"/>
    </row>
    <row r="89" ht="15" customHeight="1">
      <c r="A89" s="184" t="n"/>
      <c r="B89" s="185" t="n"/>
      <c r="C89" s="185" t="n"/>
      <c r="D89" s="185" t="n"/>
      <c r="E89" s="185" t="n"/>
      <c r="F89" s="185" t="n"/>
      <c r="G89" s="185" t="n"/>
      <c r="H89" s="185" t="n"/>
      <c r="I89" s="186" t="n"/>
    </row>
    <row r="90" ht="15" customHeight="1">
      <c r="A90" s="184" t="n"/>
      <c r="B90" s="185" t="n"/>
      <c r="C90" s="185" t="n"/>
      <c r="D90" s="185" t="n"/>
      <c r="E90" s="185" t="n"/>
      <c r="F90" s="185" t="n"/>
      <c r="G90" s="185" t="n"/>
      <c r="H90" s="185" t="n"/>
      <c r="I90" s="186" t="n"/>
    </row>
    <row r="91" ht="15" customHeight="1">
      <c r="A91" s="184" t="n"/>
      <c r="B91" s="185" t="n"/>
      <c r="C91" s="185" t="n"/>
      <c r="D91" s="185" t="n"/>
      <c r="E91" s="185" t="n"/>
      <c r="F91" s="185" t="n"/>
      <c r="G91" s="185" t="n"/>
      <c r="H91" s="185" t="n"/>
      <c r="I91" s="186" t="n"/>
    </row>
    <row r="92" ht="15" customHeight="1">
      <c r="A92" s="184" t="n"/>
      <c r="B92" s="185" t="n"/>
      <c r="C92" s="185" t="n"/>
      <c r="D92" s="185" t="n"/>
      <c r="E92" s="185" t="n"/>
      <c r="F92" s="185" t="n"/>
      <c r="G92" s="185" t="n"/>
      <c r="H92" s="185" t="n"/>
      <c r="I92" s="186" t="n"/>
    </row>
    <row r="93" ht="25" customFormat="1" customHeight="1" s="187">
      <c r="A93" s="184" t="n"/>
      <c r="B93" s="185" t="n"/>
      <c r="C93" s="185" t="n"/>
      <c r="D93" s="185" t="n"/>
      <c r="E93" s="185" t="n"/>
      <c r="F93" s="185" t="n"/>
      <c r="G93" s="185" t="n"/>
      <c r="H93" s="185" t="n"/>
      <c r="I93" s="186" t="n"/>
    </row>
    <row r="94" ht="15" customHeight="1">
      <c r="A94" s="184" t="n"/>
      <c r="B94" s="185" t="n"/>
      <c r="C94" s="185" t="n"/>
      <c r="D94" s="185" t="n"/>
      <c r="E94" s="185" t="n"/>
      <c r="F94" s="185" t="n"/>
      <c r="G94" s="185" t="n"/>
      <c r="H94" s="185" t="n"/>
      <c r="I94" s="186" t="n"/>
    </row>
    <row r="95" ht="15" customHeight="1">
      <c r="A95" s="184" t="n"/>
      <c r="B95" s="185" t="n"/>
      <c r="C95" s="185" t="n"/>
      <c r="D95" s="185" t="n"/>
      <c r="E95" s="185" t="n"/>
      <c r="F95" s="185" t="n"/>
      <c r="G95" s="185" t="n"/>
      <c r="H95" s="185" t="n"/>
      <c r="I95" s="186" t="n"/>
    </row>
    <row r="96" ht="15" customHeight="1">
      <c r="A96" s="184" t="n"/>
      <c r="B96" s="185" t="n"/>
      <c r="C96" s="185" t="n"/>
      <c r="D96" s="185" t="n"/>
      <c r="E96" s="185" t="n"/>
      <c r="F96" s="185" t="n"/>
      <c r="G96" s="185" t="n"/>
      <c r="H96" s="185" t="n"/>
      <c r="I96" s="186" t="n"/>
    </row>
    <row r="97" ht="15" customHeight="1">
      <c r="A97" s="184" t="n"/>
      <c r="B97" s="185" t="n"/>
      <c r="C97" s="185" t="n"/>
      <c r="D97" s="185" t="n"/>
      <c r="E97" s="185" t="n"/>
      <c r="F97" s="185" t="n"/>
      <c r="G97" s="185" t="n"/>
      <c r="H97" s="185" t="n"/>
      <c r="I97" s="186" t="n"/>
    </row>
    <row r="98" ht="15" customHeight="1">
      <c r="A98" s="184" t="n"/>
      <c r="B98" s="185" t="n"/>
      <c r="C98" s="185" t="n"/>
      <c r="D98" s="185" t="n"/>
      <c r="E98" s="185" t="n"/>
      <c r="F98" s="185" t="n"/>
      <c r="G98" s="185" t="n"/>
      <c r="H98" s="185" t="n"/>
      <c r="I98" s="186" t="n"/>
    </row>
    <row r="99" ht="15" customHeight="1">
      <c r="A99" s="184" t="n"/>
      <c r="B99" s="185" t="n"/>
      <c r="C99" s="185" t="n"/>
      <c r="D99" s="185" t="n"/>
      <c r="E99" s="185" t="n"/>
      <c r="F99" s="185" t="n"/>
      <c r="G99" s="185" t="n"/>
      <c r="H99" s="185" t="n"/>
      <c r="I99" s="186" t="n"/>
    </row>
    <row r="100" ht="15" customHeight="1">
      <c r="A100" s="184" t="n"/>
      <c r="B100" s="185" t="n"/>
      <c r="C100" s="185" t="n"/>
      <c r="D100" s="185" t="n"/>
      <c r="E100" s="185" t="n"/>
      <c r="F100" s="185" t="n"/>
      <c r="G100" s="185" t="n"/>
      <c r="H100" s="185" t="n"/>
      <c r="I100" s="186" t="n"/>
    </row>
    <row r="101" ht="15" customHeight="1">
      <c r="A101" s="184" t="n"/>
      <c r="B101" s="185" t="n"/>
      <c r="C101" s="185" t="n"/>
      <c r="D101" s="185" t="n"/>
      <c r="E101" s="185" t="n"/>
      <c r="F101" s="185" t="n"/>
      <c r="G101" s="185" t="n"/>
      <c r="H101" s="185" t="n"/>
      <c r="I101" s="186" t="n"/>
    </row>
    <row r="102" ht="15" customHeight="1">
      <c r="A102" s="184" t="n"/>
      <c r="B102" s="185" t="n"/>
      <c r="C102" s="185" t="n"/>
      <c r="D102" s="185" t="n"/>
      <c r="E102" s="185" t="n"/>
      <c r="F102" s="185" t="n"/>
      <c r="G102" s="185" t="n"/>
      <c r="H102" s="185" t="n"/>
      <c r="I102" s="186" t="n"/>
    </row>
    <row r="103" ht="15" customHeight="1">
      <c r="A103" s="184" t="n"/>
      <c r="B103" s="185" t="n"/>
      <c r="C103" s="185" t="n"/>
      <c r="D103" s="185" t="n"/>
      <c r="E103" s="185" t="n"/>
      <c r="F103" s="185" t="n"/>
      <c r="G103" s="185" t="n"/>
      <c r="H103" s="185" t="n"/>
      <c r="I103" s="186" t="n"/>
    </row>
    <row r="104" ht="15" customHeight="1">
      <c r="A104" s="184" t="n"/>
      <c r="B104" s="185" t="n"/>
      <c r="C104" s="185" t="n"/>
      <c r="D104" s="185" t="n"/>
      <c r="E104" s="185" t="n"/>
      <c r="F104" s="185" t="n"/>
      <c r="G104" s="185" t="n"/>
      <c r="H104" s="185" t="n"/>
      <c r="I104" s="186" t="n"/>
    </row>
    <row r="105" ht="15" customHeight="1">
      <c r="A105" s="184" t="n"/>
      <c r="B105" s="185" t="n"/>
      <c r="C105" s="185" t="n"/>
      <c r="D105" s="185" t="n"/>
      <c r="E105" s="185" t="n"/>
      <c r="F105" s="185" t="n"/>
      <c r="G105" s="185" t="n"/>
      <c r="H105" s="185" t="n"/>
      <c r="I105" s="186" t="n"/>
    </row>
    <row r="106" ht="15" customHeight="1">
      <c r="A106" s="184" t="n"/>
      <c r="B106" s="185" t="n"/>
      <c r="C106" s="185" t="n"/>
      <c r="D106" s="185" t="n"/>
      <c r="E106" s="185" t="n"/>
      <c r="F106" s="185" t="n"/>
      <c r="G106" s="185" t="n"/>
      <c r="H106" s="185" t="n"/>
      <c r="I106" s="186" t="n"/>
    </row>
    <row r="107" ht="15" customHeight="1">
      <c r="A107" s="184" t="n"/>
      <c r="B107" s="185" t="n"/>
      <c r="C107" s="185" t="n"/>
      <c r="D107" s="185" t="n"/>
      <c r="E107" s="185" t="n"/>
      <c r="F107" s="185" t="n"/>
      <c r="G107" s="185" t="n"/>
      <c r="H107" s="185" t="n"/>
      <c r="I107" s="186" t="n"/>
    </row>
    <row r="108" ht="15" customHeight="1">
      <c r="A108" s="184" t="n"/>
      <c r="B108" s="185" t="n"/>
      <c r="C108" s="185" t="n"/>
      <c r="D108" s="185" t="n"/>
      <c r="E108" s="185" t="n"/>
      <c r="F108" s="185" t="n"/>
      <c r="G108" s="185" t="n"/>
      <c r="H108" s="185" t="n"/>
      <c r="I108" s="186" t="n"/>
    </row>
    <row r="109" ht="15" customHeight="1">
      <c r="A109" s="184" t="n"/>
      <c r="B109" s="185" t="n"/>
      <c r="C109" s="185" t="n"/>
      <c r="D109" s="185" t="n"/>
      <c r="E109" s="185" t="n"/>
      <c r="F109" s="185" t="n"/>
      <c r="G109" s="185" t="n"/>
      <c r="H109" s="185" t="n"/>
      <c r="I109" s="186" t="n"/>
    </row>
    <row r="110" ht="15" customHeight="1">
      <c r="A110" s="184" t="n"/>
      <c r="B110" s="185" t="n"/>
      <c r="C110" s="185" t="n"/>
      <c r="D110" s="185" t="n"/>
      <c r="E110" s="185" t="n"/>
      <c r="F110" s="185" t="n"/>
      <c r="G110" s="185" t="n"/>
      <c r="H110" s="185" t="n"/>
      <c r="I110" s="186" t="n"/>
    </row>
    <row r="111" ht="15" customHeight="1">
      <c r="A111" s="184" t="n"/>
      <c r="B111" s="185" t="n"/>
      <c r="C111" s="185" t="n"/>
      <c r="D111" s="185" t="n"/>
      <c r="E111" s="185" t="n"/>
      <c r="F111" s="185" t="n"/>
      <c r="G111" s="185" t="n"/>
      <c r="H111" s="185" t="n"/>
      <c r="I111" s="186" t="n"/>
    </row>
    <row r="112" ht="15" customHeight="1">
      <c r="A112" s="184" t="n"/>
      <c r="B112" s="185" t="n"/>
      <c r="C112" s="185" t="n"/>
      <c r="D112" s="185" t="n"/>
      <c r="E112" s="185" t="n"/>
      <c r="F112" s="185" t="n"/>
      <c r="G112" s="185" t="n"/>
      <c r="H112" s="185" t="n"/>
      <c r="I112" s="186" t="n"/>
    </row>
    <row r="113" ht="15" customHeight="1">
      <c r="A113" s="184" t="n"/>
      <c r="B113" s="185" t="n"/>
      <c r="C113" s="185" t="n"/>
      <c r="D113" s="185" t="n"/>
      <c r="E113" s="185" t="n"/>
      <c r="F113" s="185" t="n"/>
      <c r="G113" s="185" t="n"/>
      <c r="H113" s="185" t="n"/>
      <c r="I113" s="186" t="n"/>
    </row>
    <row r="114" ht="15" customHeight="1">
      <c r="A114" s="184" t="n"/>
      <c r="B114" s="185" t="n"/>
      <c r="C114" s="185" t="n"/>
      <c r="D114" s="185" t="n"/>
      <c r="E114" s="185" t="n"/>
      <c r="F114" s="185" t="n"/>
      <c r="G114" s="185" t="n"/>
      <c r="H114" s="185" t="n"/>
      <c r="I114" s="186" t="n"/>
    </row>
    <row r="115" ht="15" customHeight="1">
      <c r="A115" s="184" t="n"/>
      <c r="B115" s="185" t="n"/>
      <c r="C115" s="185" t="n"/>
      <c r="D115" s="185" t="n"/>
      <c r="E115" s="185" t="n"/>
      <c r="F115" s="185" t="n"/>
      <c r="G115" s="185" t="n"/>
      <c r="H115" s="185" t="n"/>
      <c r="I115" s="186" t="n"/>
    </row>
    <row r="116" ht="15" customHeight="1">
      <c r="A116" s="184" t="n"/>
      <c r="B116" s="185" t="n"/>
      <c r="C116" s="185" t="n"/>
      <c r="D116" s="185" t="n"/>
      <c r="E116" s="185" t="n"/>
      <c r="F116" s="185" t="n"/>
      <c r="G116" s="185" t="n"/>
      <c r="H116" s="185" t="n"/>
      <c r="I116" s="186" t="n"/>
    </row>
    <row r="117" ht="25" customHeight="1">
      <c r="A117" s="184" t="n"/>
      <c r="B117" s="185" t="n"/>
      <c r="C117" s="185" t="n"/>
      <c r="D117" s="185" t="n"/>
      <c r="E117" s="185" t="n"/>
      <c r="F117" s="185" t="n"/>
      <c r="G117" s="185" t="n"/>
      <c r="H117" s="185" t="n"/>
      <c r="I117" s="186" t="n"/>
    </row>
    <row r="118" ht="15" customHeight="1">
      <c r="A118" s="184" t="n"/>
      <c r="B118" s="185" t="n"/>
      <c r="C118" s="185" t="n"/>
      <c r="D118" s="185" t="n"/>
      <c r="E118" s="185" t="n"/>
      <c r="F118" s="185" t="n"/>
      <c r="G118" s="185" t="n"/>
      <c r="H118" s="185" t="n"/>
      <c r="I118" s="186" t="n"/>
    </row>
    <row r="119" ht="15" customHeight="1">
      <c r="A119" s="184" t="n"/>
      <c r="B119" s="185" t="n"/>
      <c r="C119" s="185" t="n"/>
      <c r="D119" s="185" t="n"/>
      <c r="E119" s="185" t="n"/>
      <c r="F119" s="185" t="n"/>
      <c r="G119" s="185" t="n"/>
      <c r="H119" s="185" t="n"/>
      <c r="I119" s="186" t="n"/>
    </row>
    <row r="120" ht="28" customHeight="1">
      <c r="A120" s="184" t="n"/>
      <c r="B120" s="185" t="n"/>
      <c r="C120" s="185" t="n"/>
      <c r="D120" s="185" t="n"/>
      <c r="E120" s="185" t="n"/>
      <c r="F120" s="185" t="n"/>
      <c r="G120" s="185" t="n"/>
      <c r="H120" s="185" t="n"/>
      <c r="I120" s="186" t="n"/>
    </row>
    <row r="121" ht="15" customHeight="1">
      <c r="A121" s="184" t="n"/>
      <c r="B121" s="185" t="n"/>
      <c r="C121" s="185" t="n"/>
      <c r="D121" s="185" t="n"/>
      <c r="E121" s="185" t="n"/>
      <c r="F121" s="185" t="n"/>
      <c r="G121" s="185" t="n"/>
      <c r="H121" s="185" t="n"/>
      <c r="I121" s="186" t="n"/>
    </row>
    <row r="122" ht="15" customHeight="1">
      <c r="A122" s="184" t="n"/>
      <c r="B122" s="185" t="n"/>
      <c r="C122" s="185" t="n"/>
      <c r="D122" s="185" t="n"/>
      <c r="E122" s="185" t="n"/>
      <c r="F122" s="185" t="n"/>
      <c r="G122" s="185" t="n"/>
      <c r="H122" s="185" t="n"/>
      <c r="I122" s="186" t="n"/>
    </row>
    <row r="123" ht="15" customHeight="1">
      <c r="A123" s="184" t="n"/>
      <c r="B123" s="185" t="n"/>
      <c r="C123" s="185" t="n"/>
      <c r="D123" s="185" t="n"/>
      <c r="E123" s="185" t="n"/>
      <c r="F123" s="185" t="n"/>
      <c r="G123" s="185" t="n"/>
      <c r="H123" s="185" t="n"/>
      <c r="I123" s="186" t="n"/>
    </row>
    <row r="124" ht="15" customHeight="1">
      <c r="A124" s="184" t="n"/>
      <c r="B124" s="185" t="n"/>
      <c r="C124" s="185" t="n"/>
      <c r="D124" s="185" t="n"/>
      <c r="E124" s="185" t="n"/>
      <c r="F124" s="185" t="n"/>
      <c r="G124" s="185" t="n"/>
      <c r="H124" s="185" t="n"/>
      <c r="I124" s="186" t="n"/>
    </row>
    <row r="125" ht="15" customHeight="1">
      <c r="A125" s="184" t="n"/>
      <c r="B125" s="185" t="n"/>
      <c r="C125" s="185" t="n"/>
      <c r="D125" s="185" t="n"/>
      <c r="E125" s="185" t="n"/>
      <c r="F125" s="185" t="n"/>
      <c r="G125" s="185" t="n"/>
      <c r="H125" s="185" t="n"/>
      <c r="I125" s="186" t="n"/>
    </row>
    <row r="126" ht="15" customHeight="1">
      <c r="A126" s="184" t="n"/>
      <c r="B126" s="185" t="n"/>
      <c r="C126" s="185" t="n"/>
      <c r="D126" s="185" t="n"/>
      <c r="E126" s="185" t="n"/>
      <c r="F126" s="185" t="n"/>
      <c r="G126" s="185" t="n"/>
      <c r="H126" s="185" t="n"/>
      <c r="I126" s="186" t="n"/>
    </row>
    <row r="127" ht="15" customHeight="1">
      <c r="A127" s="184" t="n"/>
      <c r="B127" s="185" t="n"/>
      <c r="C127" s="185" t="n"/>
      <c r="D127" s="185" t="n"/>
      <c r="E127" s="185" t="n"/>
      <c r="F127" s="185" t="n"/>
      <c r="G127" s="185" t="n"/>
      <c r="H127" s="185" t="n"/>
      <c r="I127" s="186" t="n"/>
    </row>
    <row r="128" ht="15" customHeight="1">
      <c r="A128" s="184" t="n"/>
      <c r="B128" s="185" t="n"/>
      <c r="C128" s="185" t="n"/>
      <c r="D128" s="185" t="n"/>
      <c r="E128" s="185" t="n"/>
      <c r="F128" s="185" t="n"/>
      <c r="G128" s="185" t="n"/>
      <c r="H128" s="185" t="n"/>
      <c r="I128" s="186" t="n"/>
    </row>
    <row r="129" ht="15" customHeight="1">
      <c r="A129" s="184" t="n"/>
      <c r="B129" s="185" t="n"/>
      <c r="C129" s="185" t="n"/>
      <c r="D129" s="185" t="n"/>
      <c r="E129" s="185" t="n"/>
      <c r="F129" s="185" t="n"/>
      <c r="G129" s="185" t="n"/>
      <c r="H129" s="185" t="n"/>
      <c r="I129" s="186" t="n"/>
    </row>
    <row r="130" ht="15" customHeight="1">
      <c r="A130" s="184" t="n"/>
      <c r="B130" s="185" t="n"/>
      <c r="C130" s="185" t="n"/>
      <c r="D130" s="185" t="n"/>
      <c r="E130" s="185" t="n"/>
      <c r="F130" s="185" t="n"/>
      <c r="G130" s="185" t="n"/>
      <c r="H130" s="185" t="n"/>
      <c r="I130" s="186" t="n"/>
    </row>
    <row r="131" ht="15" customHeight="1">
      <c r="A131" s="184" t="n"/>
      <c r="B131" s="185" t="n"/>
      <c r="C131" s="185" t="n"/>
      <c r="D131" s="185" t="n"/>
      <c r="E131" s="185" t="n"/>
      <c r="F131" s="185" t="n"/>
      <c r="G131" s="185" t="n"/>
      <c r="H131" s="185" t="n"/>
      <c r="I131" s="186" t="n"/>
    </row>
    <row r="132" ht="15" customHeight="1">
      <c r="A132" s="184" t="n"/>
      <c r="B132" s="185" t="n"/>
      <c r="C132" s="185" t="n"/>
      <c r="D132" s="185" t="n"/>
      <c r="E132" s="185" t="n"/>
      <c r="F132" s="185" t="n"/>
      <c r="G132" s="185" t="n"/>
      <c r="H132" s="185" t="n"/>
      <c r="I132" s="186" t="n"/>
    </row>
    <row r="133" ht="15" customHeight="1">
      <c r="A133" s="184" t="n"/>
      <c r="B133" s="185" t="n"/>
      <c r="C133" s="185" t="n"/>
      <c r="D133" s="185" t="n"/>
      <c r="E133" s="185" t="n"/>
      <c r="F133" s="185" t="n"/>
      <c r="G133" s="185" t="n"/>
      <c r="H133" s="185" t="n"/>
      <c r="I133" s="186" t="n"/>
    </row>
    <row r="134" ht="15" customHeight="1">
      <c r="A134" s="184" t="n"/>
      <c r="B134" s="185" t="n"/>
      <c r="C134" s="185" t="n"/>
      <c r="D134" s="185" t="n"/>
      <c r="E134" s="185" t="n"/>
      <c r="F134" s="185" t="n"/>
      <c r="G134" s="185" t="n"/>
      <c r="H134" s="185" t="n"/>
      <c r="I134" s="186" t="n"/>
    </row>
    <row r="135" ht="15" customHeight="1">
      <c r="A135" s="184" t="n"/>
      <c r="B135" s="185" t="n"/>
      <c r="C135" s="185" t="n"/>
      <c r="D135" s="185" t="n"/>
      <c r="E135" s="185" t="n"/>
      <c r="F135" s="185" t="n"/>
      <c r="G135" s="185" t="n"/>
      <c r="H135" s="185" t="n"/>
      <c r="I135" s="186" t="n"/>
    </row>
    <row r="136" ht="15" customHeight="1">
      <c r="A136" s="184" t="n"/>
      <c r="B136" s="185" t="n"/>
      <c r="C136" s="185" t="n"/>
      <c r="D136" s="185" t="n"/>
      <c r="E136" s="185" t="n"/>
      <c r="F136" s="185" t="n"/>
      <c r="G136" s="185" t="n"/>
      <c r="H136" s="185" t="n"/>
      <c r="I136" s="186" t="n"/>
    </row>
    <row r="137" ht="15" customHeight="1">
      <c r="A137" s="184" t="n"/>
      <c r="B137" s="185" t="n"/>
      <c r="C137" s="185" t="n"/>
      <c r="D137" s="185" t="n"/>
      <c r="E137" s="185" t="n"/>
      <c r="F137" s="185" t="n"/>
      <c r="G137" s="185" t="n"/>
      <c r="H137" s="185" t="n"/>
      <c r="I137" s="186" t="n"/>
    </row>
    <row r="138" ht="15" customHeight="1">
      <c r="A138" s="184" t="n"/>
      <c r="B138" s="185" t="n"/>
      <c r="C138" s="185" t="n"/>
      <c r="D138" s="185" t="n"/>
      <c r="E138" s="185" t="n"/>
      <c r="F138" s="185" t="n"/>
      <c r="G138" s="185" t="n"/>
      <c r="H138" s="185" t="n"/>
      <c r="I138" s="186" t="n"/>
    </row>
    <row r="139" ht="15" customHeight="1">
      <c r="A139" s="184" t="n"/>
      <c r="B139" s="185" t="n"/>
      <c r="C139" s="185" t="n"/>
      <c r="D139" s="185" t="n"/>
      <c r="E139" s="185" t="n"/>
      <c r="F139" s="185" t="n"/>
      <c r="G139" s="185" t="n"/>
      <c r="H139" s="185" t="n"/>
      <c r="I139" s="186" t="n"/>
    </row>
    <row r="140" ht="16" customHeight="1">
      <c r="A140" s="184" t="n"/>
      <c r="B140" s="185" t="n"/>
      <c r="C140" s="185" t="n"/>
      <c r="D140" s="185" t="n"/>
      <c r="E140" s="185" t="n"/>
      <c r="F140" s="185" t="n"/>
      <c r="G140" s="185" t="n"/>
      <c r="H140" s="185" t="n"/>
      <c r="I140" s="186" t="n"/>
    </row>
    <row r="141" ht="56.25" customHeight="1">
      <c r="A141" s="184" t="n"/>
      <c r="B141" s="185" t="n"/>
      <c r="C141" s="185" t="n"/>
      <c r="D141" s="185" t="n"/>
      <c r="E141" s="185" t="n"/>
      <c r="F141" s="185" t="n"/>
      <c r="G141" s="185" t="n"/>
      <c r="H141" s="185" t="n"/>
      <c r="I141" s="186" t="n"/>
    </row>
    <row r="142">
      <c r="A142" s="184" t="n"/>
      <c r="B142" s="185" t="n"/>
      <c r="C142" s="185" t="n"/>
      <c r="D142" s="185" t="n"/>
      <c r="E142" s="185" t="n"/>
      <c r="F142" s="185" t="n"/>
      <c r="G142" s="185" t="n"/>
      <c r="H142" s="185" t="n"/>
      <c r="I142" s="186" t="n"/>
    </row>
    <row r="143">
      <c r="A143" s="184" t="n"/>
      <c r="B143" s="185" t="n"/>
      <c r="C143" s="185" t="n"/>
      <c r="D143" s="185" t="n"/>
      <c r="E143" s="185" t="n"/>
      <c r="F143" s="185" t="n"/>
      <c r="G143" s="185" t="n"/>
      <c r="H143" s="185" t="n"/>
      <c r="I143" s="186" t="n"/>
    </row>
    <row r="144">
      <c r="A144" s="184" t="n"/>
      <c r="B144" s="185" t="n"/>
      <c r="C144" s="185" t="n"/>
      <c r="D144" s="185" t="n"/>
      <c r="E144" s="185" t="n"/>
      <c r="F144" s="185" t="n"/>
      <c r="G144" s="185" t="n"/>
      <c r="H144" s="185" t="n"/>
      <c r="I144" s="186" t="n"/>
    </row>
    <row r="145">
      <c r="A145" s="184" t="n"/>
      <c r="B145" s="185" t="n"/>
      <c r="C145" s="185" t="n"/>
      <c r="D145" s="185" t="n"/>
      <c r="E145" s="185" t="n"/>
      <c r="F145" s="185" t="n"/>
      <c r="G145" s="185" t="n"/>
      <c r="H145" s="185" t="n"/>
      <c r="I145" s="186" t="n"/>
    </row>
    <row r="146">
      <c r="A146" s="184" t="n"/>
      <c r="B146" s="185" t="n"/>
      <c r="C146" s="185" t="n"/>
      <c r="D146" s="185" t="n"/>
      <c r="E146" s="185" t="n"/>
      <c r="F146" s="185" t="n"/>
      <c r="G146" s="185" t="n"/>
      <c r="H146" s="185" t="n"/>
      <c r="I146" s="186" t="n"/>
      <c r="J146" s="185" t="n"/>
      <c r="K146" s="185" t="n"/>
      <c r="L146" s="185" t="n"/>
    </row>
    <row r="147">
      <c r="A147" s="184" t="n"/>
      <c r="B147" s="185" t="n"/>
      <c r="C147" s="185" t="n"/>
      <c r="D147" s="185" t="n"/>
      <c r="E147" s="185" t="n"/>
      <c r="F147" s="185" t="n"/>
      <c r="G147" s="185" t="n"/>
      <c r="H147" s="185" t="n"/>
      <c r="I147" s="186" t="n"/>
    </row>
    <row r="148">
      <c r="A148" s="184" t="n"/>
      <c r="B148" s="185" t="n"/>
      <c r="C148" s="185" t="n"/>
      <c r="D148" s="185" t="n"/>
      <c r="E148" s="185" t="n"/>
      <c r="F148" s="185" t="n"/>
      <c r="G148" s="185" t="n"/>
      <c r="H148" s="185" t="n"/>
      <c r="I148" s="186" t="n"/>
    </row>
    <row r="149">
      <c r="A149" s="184" t="n"/>
      <c r="B149" s="185" t="n"/>
      <c r="C149" s="185" t="n"/>
      <c r="D149" s="185" t="n"/>
      <c r="E149" s="185" t="n"/>
      <c r="F149" s="185" t="n"/>
      <c r="G149" s="185" t="n"/>
      <c r="H149" s="185" t="n"/>
      <c r="I149" s="186" t="n"/>
    </row>
    <row r="150">
      <c r="A150" s="184" t="n"/>
      <c r="B150" s="185" t="n"/>
      <c r="C150" s="185" t="n"/>
      <c r="D150" s="185" t="n"/>
      <c r="E150" s="185" t="n"/>
      <c r="F150" s="185" t="n"/>
      <c r="G150" s="185" t="n"/>
      <c r="H150" s="185" t="n"/>
      <c r="I150" s="186" t="n"/>
    </row>
    <row r="151">
      <c r="A151" s="184" t="n"/>
      <c r="B151" s="185" t="n"/>
      <c r="C151" s="185" t="n"/>
      <c r="D151" s="185" t="n"/>
      <c r="E151" s="185" t="n"/>
      <c r="F151" s="185" t="n"/>
      <c r="G151" s="185" t="n"/>
      <c r="H151" s="185" t="n"/>
      <c r="I151" s="186" t="n"/>
    </row>
    <row r="152">
      <c r="A152" s="184" t="n"/>
      <c r="B152" s="185" t="n"/>
      <c r="C152" s="185" t="n"/>
      <c r="D152" s="185" t="n"/>
      <c r="E152" s="185" t="n"/>
      <c r="F152" s="185" t="n"/>
      <c r="G152" s="185" t="n"/>
      <c r="H152" s="185" t="n"/>
      <c r="I152" s="186" t="n"/>
    </row>
    <row r="153">
      <c r="A153" s="184" t="n"/>
      <c r="B153" s="185" t="n"/>
      <c r="C153" s="185" t="n"/>
      <c r="D153" s="185" t="n"/>
      <c r="E153" s="185" t="n"/>
      <c r="F153" s="185" t="n"/>
      <c r="G153" s="185" t="n"/>
      <c r="H153" s="185" t="n"/>
      <c r="I153" s="186" t="n"/>
    </row>
    <row r="154">
      <c r="A154" s="184" t="n"/>
      <c r="B154" s="185" t="n"/>
      <c r="C154" s="185" t="n"/>
      <c r="D154" s="185" t="n"/>
      <c r="E154" s="185" t="n"/>
      <c r="F154" s="185" t="n"/>
      <c r="G154" s="185" t="n"/>
      <c r="H154" s="185" t="n"/>
      <c r="I154" s="186" t="n"/>
    </row>
    <row r="155">
      <c r="A155" s="184" t="n"/>
      <c r="B155" s="185" t="n"/>
      <c r="C155" s="185" t="n"/>
      <c r="D155" s="185" t="n"/>
      <c r="E155" s="185" t="n"/>
      <c r="F155" s="185" t="n"/>
      <c r="G155" s="185" t="n"/>
      <c r="H155" s="185" t="n"/>
      <c r="I155" s="186" t="n"/>
    </row>
    <row r="156">
      <c r="A156" s="184" t="n"/>
      <c r="B156" s="185" t="n"/>
      <c r="C156" s="185" t="n"/>
      <c r="D156" s="185" t="n"/>
      <c r="E156" s="185" t="n"/>
      <c r="F156" s="185" t="n"/>
      <c r="G156" s="185" t="n"/>
      <c r="H156" s="185" t="n"/>
      <c r="I156" s="186" t="n"/>
    </row>
    <row r="157">
      <c r="A157" s="184" t="n"/>
      <c r="B157" s="185" t="n"/>
      <c r="C157" s="185" t="n"/>
      <c r="D157" s="185" t="n"/>
      <c r="E157" s="185" t="n"/>
      <c r="F157" s="185" t="n"/>
      <c r="G157" s="185" t="n"/>
      <c r="H157" s="185" t="n"/>
      <c r="I157" s="186" t="n"/>
    </row>
    <row r="158">
      <c r="A158" s="184" t="n"/>
      <c r="B158" s="185" t="n"/>
      <c r="C158" s="185" t="n"/>
      <c r="D158" s="185" t="n"/>
      <c r="E158" s="185" t="n"/>
      <c r="F158" s="185" t="n"/>
      <c r="G158" s="185" t="n"/>
      <c r="H158" s="185" t="n"/>
      <c r="I158" s="186" t="n"/>
    </row>
    <row r="159">
      <c r="A159" s="184" t="n"/>
      <c r="B159" s="185" t="n"/>
      <c r="C159" s="185" t="n"/>
      <c r="D159" s="185" t="n"/>
      <c r="E159" s="185" t="n"/>
      <c r="F159" s="185" t="n"/>
      <c r="G159" s="185" t="n"/>
      <c r="H159" s="185" t="n"/>
      <c r="I159" s="186" t="n"/>
    </row>
    <row r="160">
      <c r="A160" s="184" t="n"/>
      <c r="B160" s="185" t="n"/>
      <c r="C160" s="185" t="n"/>
      <c r="D160" s="185" t="n"/>
      <c r="E160" s="185" t="n"/>
      <c r="F160" s="185" t="n"/>
      <c r="G160" s="185" t="n"/>
      <c r="H160" s="185" t="n"/>
      <c r="I160" s="186" t="n"/>
    </row>
    <row r="161">
      <c r="A161" s="184" t="n"/>
      <c r="B161" s="185" t="n"/>
      <c r="C161" s="185" t="n"/>
      <c r="D161" s="185" t="n"/>
      <c r="E161" s="185" t="n"/>
      <c r="F161" s="185" t="n"/>
      <c r="G161" s="185" t="n"/>
      <c r="H161" s="185" t="n"/>
      <c r="I161" s="186" t="n"/>
    </row>
    <row r="162">
      <c r="A162" s="184" t="n"/>
      <c r="B162" s="185" t="n"/>
      <c r="C162" s="185" t="n"/>
      <c r="D162" s="185" t="n"/>
      <c r="E162" s="185" t="n"/>
      <c r="F162" s="185" t="n"/>
      <c r="G162" s="185" t="n"/>
      <c r="H162" s="185" t="n"/>
      <c r="I162" s="186" t="n"/>
    </row>
    <row r="163">
      <c r="A163" s="184" t="n"/>
      <c r="B163" s="185" t="n"/>
      <c r="C163" s="185" t="n"/>
      <c r="D163" s="185" t="n"/>
      <c r="E163" s="185" t="n"/>
      <c r="F163" s="185" t="n"/>
      <c r="G163" s="185" t="n"/>
      <c r="H163" s="185" t="n"/>
      <c r="I163" s="186" t="n"/>
    </row>
    <row r="164">
      <c r="A164" s="184" t="n"/>
      <c r="B164" s="185" t="n"/>
      <c r="C164" s="185" t="n"/>
      <c r="D164" s="185" t="n"/>
      <c r="E164" s="185" t="n"/>
      <c r="F164" s="185" t="n"/>
      <c r="G164" s="185" t="n"/>
      <c r="H164" s="185" t="n"/>
      <c r="I164" s="186" t="n"/>
    </row>
    <row r="165">
      <c r="A165" s="184" t="n"/>
      <c r="B165" s="185" t="n"/>
      <c r="C165" s="185" t="n"/>
      <c r="D165" s="185" t="n"/>
      <c r="E165" s="185" t="n"/>
      <c r="F165" s="185" t="n"/>
      <c r="G165" s="185" t="n"/>
      <c r="H165" s="185" t="n"/>
      <c r="I165" s="186" t="n"/>
    </row>
    <row r="166">
      <c r="A166" s="184" t="n"/>
      <c r="B166" s="185" t="n"/>
      <c r="C166" s="185" t="n"/>
      <c r="D166" s="185" t="n"/>
      <c r="E166" s="185" t="n"/>
      <c r="F166" s="185" t="n"/>
      <c r="G166" s="185" t="n"/>
      <c r="H166" s="185" t="n"/>
      <c r="I166" s="186" t="n"/>
    </row>
    <row r="167">
      <c r="A167" s="184" t="n"/>
      <c r="B167" s="185" t="n"/>
      <c r="C167" s="185" t="n"/>
      <c r="D167" s="185" t="n"/>
      <c r="E167" s="185" t="n"/>
      <c r="F167" s="185" t="n"/>
      <c r="G167" s="185" t="n"/>
      <c r="H167" s="185" t="n"/>
      <c r="I167" s="186" t="n"/>
    </row>
    <row r="168">
      <c r="A168" s="184" t="n"/>
      <c r="B168" s="185" t="n"/>
      <c r="C168" s="185" t="n"/>
      <c r="D168" s="185" t="n"/>
      <c r="E168" s="185" t="n"/>
      <c r="F168" s="185" t="n"/>
      <c r="G168" s="185" t="n"/>
      <c r="H168" s="185" t="n"/>
      <c r="I168" s="186" t="n"/>
    </row>
    <row r="169">
      <c r="A169" s="184" t="n"/>
      <c r="B169" s="185" t="n"/>
      <c r="C169" s="185" t="n"/>
      <c r="D169" s="185" t="n"/>
      <c r="E169" s="185" t="n"/>
      <c r="F169" s="185" t="n"/>
      <c r="G169" s="185" t="n"/>
      <c r="H169" s="185" t="n"/>
      <c r="I169" s="186" t="n"/>
    </row>
    <row r="170">
      <c r="A170" s="184" t="n"/>
      <c r="B170" s="185" t="n"/>
      <c r="C170" s="185" t="n"/>
      <c r="D170" s="185" t="n"/>
      <c r="E170" s="185" t="n"/>
      <c r="F170" s="185" t="n"/>
      <c r="G170" s="185" t="n"/>
      <c r="H170" s="185" t="n"/>
      <c r="I170" s="186" t="n"/>
    </row>
    <row r="171">
      <c r="A171" s="184" t="n"/>
      <c r="B171" s="185" t="n"/>
      <c r="C171" s="185" t="n"/>
      <c r="D171" s="185" t="n"/>
      <c r="E171" s="185" t="n"/>
      <c r="F171" s="185" t="n"/>
      <c r="G171" s="185" t="n"/>
      <c r="H171" s="185" t="n"/>
      <c r="I171" s="186" t="n"/>
    </row>
    <row r="172">
      <c r="A172" s="184" t="n"/>
      <c r="B172" s="185" t="n"/>
      <c r="C172" s="185" t="n"/>
      <c r="D172" s="185" t="n"/>
      <c r="E172" s="185" t="n"/>
      <c r="F172" s="185" t="n"/>
      <c r="G172" s="185" t="n"/>
      <c r="H172" s="185" t="n"/>
      <c r="I172" s="186" t="n"/>
    </row>
    <row r="173">
      <c r="A173" s="184" t="n"/>
      <c r="B173" s="185" t="n"/>
      <c r="C173" s="185" t="n"/>
      <c r="D173" s="185" t="n"/>
      <c r="E173" s="185" t="n"/>
      <c r="F173" s="185" t="n"/>
      <c r="G173" s="185" t="n"/>
      <c r="H173" s="185" t="n"/>
      <c r="I173" s="186" t="n"/>
    </row>
    <row r="174">
      <c r="A174" s="184" t="n"/>
      <c r="B174" s="185" t="n"/>
      <c r="C174" s="185" t="n"/>
      <c r="D174" s="185" t="n"/>
      <c r="E174" s="185" t="n"/>
      <c r="F174" s="185" t="n"/>
      <c r="G174" s="185" t="n"/>
      <c r="H174" s="185" t="n"/>
      <c r="I174" s="186" t="n"/>
      <c r="J174" s="185" t="n"/>
    </row>
    <row r="175" ht="20" customHeight="1" thickBot="1">
      <c r="A175" s="188" t="n"/>
      <c r="B175" s="189" t="n"/>
      <c r="C175" s="189" t="n"/>
      <c r="D175" s="189" t="n"/>
      <c r="E175" s="189" t="n"/>
      <c r="F175" s="189" t="n"/>
      <c r="G175" s="189" t="n"/>
      <c r="H175" s="189" t="n"/>
      <c r="I175" s="190" t="n"/>
      <c r="J175" s="185" t="n"/>
      <c r="K175" s="185" t="n"/>
    </row>
    <row r="176">
      <c r="A176" s="185" t="n"/>
      <c r="B176" s="185" t="n"/>
      <c r="C176" s="185" t="n"/>
      <c r="D176" s="185" t="n"/>
      <c r="E176" s="185" t="n"/>
      <c r="F176" s="185" t="n"/>
      <c r="G176" s="185" t="n"/>
      <c r="H176" s="185" t="n"/>
      <c r="I176" s="185" t="n"/>
      <c r="J176" s="185" t="n"/>
      <c r="K176" s="185" t="n"/>
    </row>
    <row r="177">
      <c r="A177" s="185" t="n"/>
      <c r="B177" s="185" t="n"/>
      <c r="C177" s="185" t="n"/>
      <c r="D177" s="185" t="n"/>
      <c r="E177" s="185" t="n"/>
      <c r="F177" s="185" t="n"/>
      <c r="G177" s="185" t="n"/>
      <c r="H177" s="185" t="n"/>
      <c r="I177" s="185" t="n"/>
      <c r="J177" s="185" t="n"/>
      <c r="K177" s="185" t="n"/>
    </row>
    <row r="178">
      <c r="A178" s="185" t="n"/>
      <c r="B178" s="185" t="n"/>
      <c r="C178" s="185" t="n"/>
      <c r="D178" s="185" t="n"/>
      <c r="E178" s="185" t="n"/>
      <c r="F178" s="185" t="n"/>
      <c r="G178" s="185" t="n"/>
      <c r="H178" s="185" t="n"/>
      <c r="I178" s="185" t="n"/>
      <c r="J178" s="185" t="n"/>
      <c r="K178" s="185" t="n"/>
    </row>
    <row r="179">
      <c r="A179" s="185" t="n"/>
      <c r="B179" s="185" t="n"/>
      <c r="C179" s="185" t="n"/>
      <c r="D179" s="185" t="n"/>
      <c r="E179" s="185" t="n"/>
      <c r="F179" s="185" t="n"/>
      <c r="G179" s="185" t="n"/>
      <c r="H179" s="185" t="n"/>
      <c r="I179" s="185" t="n"/>
      <c r="J179" s="185" t="n"/>
      <c r="K179" s="185" t="n"/>
    </row>
    <row r="180">
      <c r="A180" s="185" t="n"/>
      <c r="B180" s="185" t="n"/>
      <c r="C180" s="185" t="n"/>
      <c r="D180" s="185" t="n"/>
      <c r="E180" s="185" t="n"/>
      <c r="F180" s="185" t="n"/>
      <c r="G180" s="185" t="n"/>
      <c r="H180" s="185" t="n"/>
      <c r="I180" s="185" t="n"/>
      <c r="J180" s="185" t="n"/>
      <c r="K180" s="185" t="n"/>
    </row>
    <row r="181">
      <c r="A181" s="185" t="n"/>
      <c r="B181" s="185" t="n"/>
      <c r="C181" s="185" t="n"/>
      <c r="D181" s="185" t="n"/>
      <c r="E181" s="185" t="n"/>
      <c r="F181" s="185" t="n"/>
      <c r="G181" s="185" t="n"/>
      <c r="H181" s="185" t="n"/>
      <c r="I181" s="185" t="n"/>
      <c r="J181" s="185" t="n"/>
      <c r="K181" s="185" t="n"/>
    </row>
    <row r="182">
      <c r="A182" s="185" t="n"/>
      <c r="B182" s="185" t="n"/>
      <c r="C182" s="185" t="n"/>
      <c r="D182" s="185" t="n"/>
      <c r="E182" s="185" t="n"/>
      <c r="F182" s="185" t="n"/>
      <c r="G182" s="185" t="n"/>
      <c r="H182" s="185" t="n"/>
      <c r="I182" s="185" t="n"/>
      <c r="J182" s="185" t="n"/>
      <c r="K182" s="185" t="n"/>
    </row>
    <row r="183">
      <c r="A183" s="185" t="n"/>
      <c r="B183" s="185" t="n"/>
      <c r="C183" s="185" t="n"/>
      <c r="D183" s="185" t="n"/>
      <c r="E183" s="185" t="n"/>
      <c r="F183" s="185" t="n"/>
      <c r="G183" s="185" t="n"/>
      <c r="H183" s="185" t="n"/>
      <c r="I183" s="185" t="n"/>
      <c r="J183" s="185" t="n"/>
      <c r="K183" s="185" t="n"/>
    </row>
    <row r="184">
      <c r="A184" s="185" t="n"/>
      <c r="B184" s="185" t="n"/>
      <c r="C184" s="185" t="n"/>
      <c r="D184" s="185" t="n"/>
      <c r="E184" s="185" t="n"/>
      <c r="F184" s="185" t="n"/>
      <c r="G184" s="185" t="n"/>
      <c r="H184" s="185" t="n"/>
      <c r="I184" s="185" t="n"/>
      <c r="J184" s="185" t="n"/>
      <c r="K184" s="185" t="n"/>
    </row>
    <row r="185">
      <c r="A185" s="185" t="n"/>
      <c r="B185" s="185" t="n"/>
      <c r="C185" s="185" t="n"/>
      <c r="D185" s="185" t="n"/>
      <c r="E185" s="185" t="n"/>
      <c r="F185" s="185" t="n"/>
      <c r="G185" s="185" t="n"/>
      <c r="H185" s="185" t="n"/>
      <c r="I185" s="185" t="n"/>
      <c r="J185" s="185" t="n"/>
      <c r="K185" s="185" t="n"/>
    </row>
    <row r="186">
      <c r="A186" s="185" t="n"/>
      <c r="B186" s="185" t="n"/>
      <c r="C186" s="185" t="n"/>
      <c r="D186" s="185" t="n"/>
      <c r="E186" s="185" t="n"/>
      <c r="F186" s="185" t="n"/>
      <c r="G186" s="185" t="n"/>
      <c r="H186" s="185" t="n"/>
      <c r="I186" s="185" t="n"/>
      <c r="J186" s="185" t="n"/>
      <c r="K186" s="185" t="n"/>
    </row>
    <row r="187">
      <c r="A187" s="185" t="n"/>
      <c r="B187" s="185" t="n"/>
      <c r="C187" s="185" t="n"/>
      <c r="D187" s="185" t="n"/>
      <c r="E187" s="185" t="n"/>
      <c r="F187" s="185" t="n"/>
      <c r="G187" s="185" t="n"/>
      <c r="H187" s="185" t="n"/>
      <c r="I187" s="185" t="n"/>
      <c r="J187" s="185" t="n"/>
      <c r="K187" s="185" t="n"/>
    </row>
    <row r="188">
      <c r="A188" s="185" t="n"/>
      <c r="B188" s="185" t="n"/>
      <c r="C188" s="185" t="n"/>
      <c r="D188" s="185" t="n"/>
      <c r="E188" s="185" t="n"/>
      <c r="F188" s="185" t="n"/>
      <c r="G188" s="185" t="n"/>
      <c r="H188" s="185" t="n"/>
      <c r="I188" s="185" t="n"/>
      <c r="J188" s="185" t="n"/>
      <c r="K188" s="185" t="n"/>
    </row>
    <row r="189">
      <c r="A189" s="185" t="n"/>
      <c r="B189" s="185" t="n"/>
      <c r="C189" s="185" t="n"/>
      <c r="D189" s="185" t="n"/>
      <c r="E189" s="185" t="n"/>
      <c r="F189" s="185" t="n"/>
      <c r="G189" s="185" t="n"/>
      <c r="H189" s="185" t="n"/>
      <c r="I189" s="185" t="n"/>
      <c r="J189" s="185" t="n"/>
      <c r="K189" s="185" t="n"/>
    </row>
    <row r="190">
      <c r="A190" s="185" t="n"/>
      <c r="B190" s="185" t="n"/>
      <c r="C190" s="185" t="n"/>
      <c r="D190" s="185" t="n"/>
      <c r="E190" s="185" t="n"/>
      <c r="F190" s="185" t="n"/>
      <c r="G190" s="185" t="n"/>
      <c r="H190" s="185" t="n"/>
      <c r="I190" s="185" t="n"/>
      <c r="J190" s="185" t="n"/>
      <c r="K190" s="185" t="n"/>
    </row>
    <row r="191">
      <c r="A191" s="185" t="n"/>
      <c r="B191" s="185" t="n"/>
      <c r="C191" s="185" t="n"/>
      <c r="D191" s="185" t="n"/>
      <c r="E191" s="185" t="n"/>
      <c r="F191" s="185" t="n"/>
      <c r="G191" s="185" t="n"/>
      <c r="H191" s="185" t="n"/>
      <c r="I191" s="185" t="n"/>
      <c r="J191" s="185" t="n"/>
      <c r="K191" s="185" t="n"/>
    </row>
    <row r="192">
      <c r="A192" s="185" t="n"/>
      <c r="B192" s="185" t="n"/>
      <c r="C192" s="185" t="n"/>
      <c r="D192" s="185" t="n"/>
      <c r="E192" s="185" t="n"/>
      <c r="F192" s="185" t="n"/>
      <c r="G192" s="185" t="n"/>
      <c r="H192" s="185" t="n"/>
      <c r="I192" s="185" t="n"/>
      <c r="J192" s="185" t="n"/>
      <c r="K192" s="185" t="n"/>
    </row>
    <row r="193">
      <c r="A193" s="185" t="n"/>
      <c r="B193" s="185" t="n"/>
      <c r="C193" s="185" t="n"/>
      <c r="D193" s="185" t="n"/>
      <c r="E193" s="185" t="n"/>
      <c r="F193" s="185" t="n"/>
      <c r="G193" s="185" t="n"/>
      <c r="H193" s="185" t="n"/>
      <c r="I193" s="185" t="n"/>
      <c r="J193" s="185" t="n"/>
      <c r="K193" s="185" t="n"/>
    </row>
    <row r="194">
      <c r="A194" s="185" t="n"/>
      <c r="B194" s="185" t="n"/>
      <c r="C194" s="185" t="n"/>
      <c r="D194" s="185" t="n"/>
      <c r="E194" s="185" t="n"/>
      <c r="F194" s="185" t="n"/>
      <c r="G194" s="185" t="n"/>
      <c r="H194" s="185" t="n"/>
      <c r="I194" s="185" t="n"/>
      <c r="J194" s="185" t="n"/>
      <c r="K194" s="185" t="n"/>
    </row>
    <row r="195" ht="16" customHeight="1">
      <c r="A195" s="185" t="n"/>
      <c r="B195" s="185" t="n"/>
      <c r="C195" s="185" t="n"/>
      <c r="D195" s="185" t="n"/>
      <c r="E195" s="185" t="n"/>
      <c r="F195" s="185" t="n"/>
      <c r="G195" s="185" t="n"/>
      <c r="H195" s="185" t="n"/>
      <c r="I195" s="185" t="n"/>
      <c r="J195" s="185" t="n"/>
      <c r="K195" s="185" t="n"/>
    </row>
    <row r="196">
      <c r="A196" s="185" t="n"/>
      <c r="B196" s="185" t="n"/>
      <c r="C196" s="185" t="n"/>
      <c r="D196" s="185" t="n"/>
      <c r="E196" s="185" t="n"/>
      <c r="F196" s="185" t="n"/>
      <c r="G196" s="185" t="n"/>
      <c r="H196" s="185" t="n"/>
      <c r="I196" s="185" t="n"/>
      <c r="J196" s="185" t="n"/>
      <c r="K196" s="185" t="n"/>
    </row>
    <row r="197">
      <c r="A197" s="185" t="n"/>
      <c r="B197" s="185" t="n"/>
      <c r="C197" s="185" t="n"/>
      <c r="D197" s="185" t="n"/>
      <c r="E197" s="185" t="n"/>
      <c r="F197" s="185" t="n"/>
      <c r="G197" s="185" t="n"/>
      <c r="H197" s="185" t="n"/>
      <c r="I197" s="185" t="n"/>
      <c r="J197" s="185" t="n"/>
      <c r="K197" s="185" t="n"/>
    </row>
    <row r="198">
      <c r="A198" s="185" t="n"/>
      <c r="B198" s="185" t="n"/>
      <c r="C198" s="185" t="n"/>
      <c r="D198" s="185" t="n"/>
      <c r="E198" s="185" t="n"/>
      <c r="F198" s="185" t="n"/>
      <c r="G198" s="185" t="n"/>
      <c r="H198" s="185" t="n"/>
      <c r="I198" s="185" t="n"/>
      <c r="J198" s="185" t="n"/>
      <c r="K198" s="185" t="n"/>
    </row>
    <row r="199">
      <c r="A199" s="185" t="n"/>
      <c r="B199" s="185" t="n"/>
      <c r="C199" s="185" t="n"/>
      <c r="D199" s="185" t="n"/>
      <c r="E199" s="185" t="n"/>
      <c r="F199" s="185" t="n"/>
      <c r="G199" s="185" t="n"/>
      <c r="H199" s="185" t="n"/>
      <c r="I199" s="185" t="n"/>
      <c r="J199" s="185" t="n"/>
      <c r="K199" s="185" t="n"/>
    </row>
    <row r="200">
      <c r="A200" s="185" t="n"/>
      <c r="B200" s="185" t="n"/>
      <c r="C200" s="185" t="n"/>
      <c r="D200" s="185" t="n"/>
      <c r="E200" s="185" t="n"/>
      <c r="F200" s="185" t="n"/>
      <c r="G200" s="185" t="n"/>
      <c r="H200" s="185" t="n"/>
      <c r="I200" s="185" t="n"/>
      <c r="J200" s="185" t="n"/>
      <c r="K200" s="185" t="n"/>
    </row>
    <row r="201">
      <c r="A201" s="185" t="n"/>
      <c r="B201" s="185" t="n"/>
      <c r="C201" s="185" t="n"/>
      <c r="D201" s="185" t="n"/>
      <c r="E201" s="185" t="n"/>
      <c r="F201" s="185" t="n"/>
      <c r="G201" s="185" t="n"/>
      <c r="H201" s="185" t="n"/>
      <c r="I201" s="185" t="n"/>
      <c r="J201" s="185" t="n"/>
      <c r="K201" s="185" t="n"/>
    </row>
    <row r="202" ht="16" customHeight="1">
      <c r="A202" s="185" t="n"/>
      <c r="B202" s="185" t="n"/>
      <c r="C202" s="185" t="n"/>
      <c r="D202" s="185" t="n"/>
      <c r="E202" s="185" t="n"/>
      <c r="F202" s="185" t="n"/>
      <c r="G202" s="185" t="n"/>
      <c r="H202" s="185" t="n"/>
      <c r="I202" s="185" t="n"/>
      <c r="J202" s="185" t="n"/>
      <c r="K202" s="185" t="n"/>
    </row>
    <row r="203">
      <c r="A203" s="185" t="n"/>
      <c r="B203" s="185" t="n"/>
      <c r="C203" s="185" t="n"/>
      <c r="D203" s="185" t="n"/>
      <c r="E203" s="185" t="n"/>
      <c r="F203" s="185" t="n"/>
      <c r="G203" s="185" t="n"/>
      <c r="H203" s="185" t="n"/>
      <c r="I203" s="185" t="n"/>
      <c r="J203" s="185" t="n"/>
      <c r="K203" s="185" t="n"/>
    </row>
    <row r="204">
      <c r="A204" s="185" t="n"/>
      <c r="B204" s="185" t="n"/>
      <c r="C204" s="185" t="n"/>
      <c r="D204" s="185" t="n"/>
      <c r="E204" s="185" t="n"/>
      <c r="F204" s="185" t="n"/>
      <c r="G204" s="185" t="n"/>
      <c r="H204" s="185" t="n"/>
      <c r="I204" s="185" t="n"/>
      <c r="J204" s="185" t="n"/>
      <c r="K204" s="185" t="n"/>
    </row>
    <row r="205">
      <c r="A205" s="185" t="n"/>
      <c r="B205" s="185" t="n"/>
      <c r="C205" s="185" t="n"/>
      <c r="D205" s="185" t="n"/>
      <c r="E205" s="185" t="n"/>
      <c r="F205" s="185" t="n"/>
      <c r="G205" s="185" t="n"/>
      <c r="H205" s="185" t="n"/>
      <c r="I205" s="185" t="n"/>
      <c r="J205" s="185" t="n"/>
      <c r="K205" s="185" t="n"/>
    </row>
    <row r="206">
      <c r="A206" s="185" t="n"/>
      <c r="B206" s="185" t="n"/>
      <c r="C206" s="185" t="n"/>
      <c r="D206" s="185" t="n"/>
      <c r="E206" s="185" t="n"/>
      <c r="F206" s="185" t="n"/>
      <c r="G206" s="185" t="n"/>
      <c r="H206" s="185" t="n"/>
      <c r="I206" s="185" t="n"/>
      <c r="J206" s="185" t="n"/>
      <c r="K206" s="185" t="n"/>
      <c r="L206" s="185" t="n"/>
    </row>
    <row r="207">
      <c r="A207" s="185" t="n"/>
      <c r="B207" s="185" t="n"/>
      <c r="C207" s="185" t="n"/>
      <c r="D207" s="185" t="n"/>
      <c r="E207" s="185" t="n"/>
      <c r="F207" s="185" t="n"/>
      <c r="G207" s="185" t="n"/>
      <c r="H207" s="185" t="n"/>
      <c r="I207" s="185" t="n"/>
      <c r="J207" s="185" t="n"/>
      <c r="K207" s="185" t="n"/>
      <c r="L207" s="185" t="n"/>
    </row>
    <row r="208">
      <c r="A208" s="185" t="n"/>
      <c r="B208" s="185" t="n"/>
      <c r="C208" s="185" t="n"/>
      <c r="D208" s="185" t="n"/>
      <c r="E208" s="185" t="n"/>
      <c r="F208" s="185" t="n"/>
      <c r="G208" s="185" t="n"/>
      <c r="H208" s="185" t="n"/>
      <c r="I208" s="185" t="n"/>
      <c r="J208" s="185" t="n"/>
      <c r="K208" s="185" t="n"/>
      <c r="L208" s="185" t="n"/>
    </row>
    <row r="209">
      <c r="A209" s="185" t="n"/>
      <c r="B209" s="185" t="n"/>
      <c r="C209" s="185" t="n"/>
      <c r="D209" s="185" t="n"/>
      <c r="E209" s="185" t="n"/>
      <c r="F209" s="185" t="n"/>
      <c r="G209" s="185" t="n"/>
      <c r="H209" s="185" t="n"/>
      <c r="I209" s="185" t="n"/>
      <c r="J209" s="185" t="n"/>
      <c r="K209" s="185" t="n"/>
      <c r="L209" s="185" t="n"/>
    </row>
    <row r="210">
      <c r="A210" s="184" t="n"/>
      <c r="B210" s="185" t="n"/>
      <c r="C210" s="185" t="n"/>
      <c r="D210" s="185" t="n"/>
      <c r="E210" s="185" t="n"/>
      <c r="F210" s="185" t="n"/>
      <c r="G210" s="185" t="n"/>
      <c r="H210" s="185" t="n"/>
      <c r="I210" s="185" t="n"/>
      <c r="J210" s="185" t="n"/>
      <c r="K210" s="185" t="n"/>
      <c r="L210" s="185" t="n"/>
    </row>
    <row r="211">
      <c r="A211" s="184" t="n"/>
      <c r="B211" s="185" t="n"/>
      <c r="C211" s="185" t="n"/>
      <c r="D211" s="185" t="n"/>
      <c r="E211" s="185" t="n"/>
      <c r="F211" s="185" t="n"/>
      <c r="G211" s="185" t="n"/>
      <c r="H211" s="185" t="n"/>
      <c r="I211" s="185" t="n"/>
      <c r="J211" s="185" t="n"/>
      <c r="K211" s="185" t="n"/>
      <c r="L211" s="185" t="n"/>
    </row>
    <row r="212">
      <c r="A212" s="184" t="n"/>
      <c r="B212" s="185" t="n"/>
      <c r="C212" s="185" t="n"/>
      <c r="D212" s="185" t="n"/>
      <c r="E212" s="185" t="n"/>
      <c r="F212" s="185" t="n"/>
      <c r="G212" s="185" t="n"/>
      <c r="H212" s="185" t="n"/>
      <c r="I212" s="185" t="n"/>
      <c r="J212" s="185" t="n"/>
      <c r="K212" s="185" t="n"/>
      <c r="L212" s="185" t="n"/>
    </row>
    <row r="213">
      <c r="A213" s="184" t="n"/>
      <c r="B213" s="185" t="n"/>
      <c r="C213" s="185" t="n"/>
      <c r="D213" s="185" t="n"/>
      <c r="E213" s="185" t="n"/>
      <c r="F213" s="185" t="n"/>
      <c r="G213" s="185" t="n"/>
      <c r="H213" s="185" t="n"/>
      <c r="I213" s="185" t="n"/>
      <c r="J213" s="185" t="n"/>
      <c r="K213" s="185" t="n"/>
      <c r="L213" s="185" t="n"/>
    </row>
    <row r="214">
      <c r="A214" s="184" t="n"/>
      <c r="B214" s="185" t="n"/>
      <c r="C214" s="185" t="n"/>
      <c r="D214" s="185" t="n"/>
      <c r="E214" s="185" t="n"/>
      <c r="F214" s="185" t="n"/>
      <c r="G214" s="185" t="n"/>
      <c r="H214" s="185" t="n"/>
      <c r="I214" s="185" t="n"/>
      <c r="J214" s="185" t="n"/>
      <c r="K214" s="185" t="n"/>
      <c r="L214" s="185" t="n"/>
    </row>
    <row r="215">
      <c r="A215" s="184" t="n"/>
      <c r="B215" s="185" t="n"/>
      <c r="C215" s="185" t="n"/>
      <c r="D215" s="185" t="n"/>
      <c r="E215" s="185" t="n"/>
      <c r="F215" s="185" t="n"/>
      <c r="G215" s="185" t="n"/>
      <c r="H215" s="185" t="n"/>
      <c r="I215" s="185" t="n"/>
      <c r="J215" s="185" t="n"/>
      <c r="K215" s="185" t="n"/>
      <c r="L215" s="185" t="n"/>
    </row>
    <row r="216">
      <c r="A216" s="184" t="n"/>
      <c r="B216" s="185" t="n"/>
      <c r="C216" s="185" t="n"/>
      <c r="D216" s="185" t="n"/>
      <c r="E216" s="185" t="n"/>
      <c r="F216" s="185" t="n"/>
      <c r="G216" s="185" t="n"/>
      <c r="H216" s="185" t="n"/>
      <c r="I216" s="185" t="n"/>
      <c r="J216" s="185" t="n"/>
      <c r="K216" s="185" t="n"/>
      <c r="L216" s="185" t="n"/>
    </row>
    <row r="217">
      <c r="A217" s="184" t="n"/>
      <c r="B217" s="185" t="n"/>
      <c r="C217" s="185" t="n"/>
      <c r="D217" s="185" t="n"/>
      <c r="E217" s="185" t="n"/>
      <c r="F217" s="185" t="n"/>
      <c r="G217" s="185" t="n"/>
      <c r="H217" s="185" t="n"/>
      <c r="I217" s="185" t="n"/>
      <c r="J217" s="185" t="n"/>
      <c r="K217" s="185" t="n"/>
      <c r="L217" s="185" t="n"/>
    </row>
    <row r="218">
      <c r="A218" s="184" t="n"/>
      <c r="B218" s="185" t="n"/>
      <c r="C218" s="185" t="n"/>
      <c r="D218" s="185" t="n"/>
      <c r="E218" s="185" t="n"/>
      <c r="F218" s="185" t="n"/>
      <c r="G218" s="185" t="n"/>
      <c r="H218" s="185" t="n"/>
      <c r="I218" s="185" t="n"/>
      <c r="J218" s="185" t="n"/>
      <c r="K218" s="185" t="n"/>
      <c r="L218" s="185" t="n"/>
    </row>
    <row r="219">
      <c r="A219" s="184" t="n"/>
      <c r="B219" s="185" t="n"/>
      <c r="C219" s="185" t="n"/>
      <c r="D219" s="185" t="n"/>
      <c r="E219" s="185" t="n"/>
      <c r="F219" s="185" t="n"/>
      <c r="G219" s="185" t="n"/>
      <c r="H219" s="185" t="n"/>
      <c r="I219" s="185" t="n"/>
      <c r="J219" s="185" t="n"/>
      <c r="K219" s="185" t="n"/>
      <c r="L219" s="185" t="n"/>
    </row>
    <row r="220">
      <c r="A220" s="184" t="n"/>
      <c r="B220" s="185" t="n"/>
      <c r="C220" s="185" t="n"/>
      <c r="D220" s="185" t="n"/>
      <c r="E220" s="185" t="n"/>
      <c r="F220" s="185" t="n"/>
      <c r="G220" s="185" t="n"/>
      <c r="H220" s="185" t="n"/>
      <c r="I220" s="185" t="n"/>
      <c r="J220" s="185" t="n"/>
      <c r="K220" s="185" t="n"/>
      <c r="L220" s="185" t="n"/>
    </row>
    <row r="221">
      <c r="A221" s="184" t="n"/>
      <c r="B221" s="185" t="n"/>
      <c r="C221" s="185" t="n"/>
      <c r="D221" s="185" t="n"/>
      <c r="E221" s="185" t="n"/>
      <c r="F221" s="185" t="n"/>
      <c r="G221" s="185" t="n"/>
      <c r="H221" s="185" t="n"/>
      <c r="I221" s="185" t="n"/>
      <c r="J221" s="185" t="n"/>
      <c r="K221" s="185" t="n"/>
      <c r="L221" s="185" t="n"/>
    </row>
    <row r="222">
      <c r="A222" s="184" t="n"/>
      <c r="B222" s="185" t="n"/>
      <c r="C222" s="185" t="n"/>
      <c r="D222" s="185" t="n"/>
      <c r="E222" s="185" t="n"/>
      <c r="F222" s="185" t="n"/>
      <c r="G222" s="185" t="n"/>
      <c r="H222" s="185" t="n"/>
      <c r="I222" s="185" t="n"/>
      <c r="J222" s="185" t="n"/>
      <c r="K222" s="185" t="n"/>
      <c r="L222" s="185" t="n"/>
    </row>
    <row r="223">
      <c r="A223" s="184" t="n"/>
      <c r="B223" s="185" t="n"/>
      <c r="C223" s="185" t="n"/>
      <c r="D223" s="185" t="n"/>
      <c r="E223" s="185" t="n"/>
      <c r="F223" s="185" t="n"/>
      <c r="G223" s="185" t="n"/>
      <c r="H223" s="185" t="n"/>
      <c r="I223" s="185" t="n"/>
      <c r="J223" s="185" t="n"/>
      <c r="K223" s="185" t="n"/>
      <c r="L223" s="185" t="n"/>
    </row>
    <row r="224">
      <c r="G224" s="185" t="n"/>
      <c r="H224" s="185" t="n"/>
      <c r="I224" s="185" t="n"/>
      <c r="J224" s="185" t="n"/>
      <c r="K224" s="185" t="n"/>
      <c r="L224" s="185" t="n"/>
    </row>
    <row r="225">
      <c r="G225" s="185" t="n"/>
      <c r="H225" s="185" t="n"/>
      <c r="I225" s="185" t="n"/>
      <c r="J225" s="185" t="n"/>
      <c r="K225" s="185" t="n"/>
      <c r="L225" s="185" t="n"/>
    </row>
    <row r="226">
      <c r="G226" s="185" t="n"/>
      <c r="H226" s="185" t="n"/>
      <c r="I226" s="185" t="n"/>
      <c r="J226" s="185" t="n"/>
      <c r="K226" s="185" t="n"/>
      <c r="L226" s="185" t="n"/>
    </row>
  </sheetData>
  <mergeCells count="50">
    <mergeCell ref="A65:I65"/>
    <mergeCell ref="D13:F13"/>
    <mergeCell ref="B25:C25"/>
    <mergeCell ref="E24:F24"/>
    <mergeCell ref="G13:I13"/>
    <mergeCell ref="B8:D8"/>
    <mergeCell ref="A66:I66"/>
    <mergeCell ref="D41:I41"/>
    <mergeCell ref="A44:I47"/>
    <mergeCell ref="A12:I12"/>
    <mergeCell ref="C57:I57"/>
    <mergeCell ref="B39:C39"/>
    <mergeCell ref="A69:I69"/>
    <mergeCell ref="H25:I25"/>
    <mergeCell ref="B52:I52"/>
    <mergeCell ref="A5:I5"/>
    <mergeCell ref="B9:D9"/>
    <mergeCell ref="B6:D6"/>
    <mergeCell ref="A62:I62"/>
    <mergeCell ref="D39:I39"/>
    <mergeCell ref="C58:I58"/>
    <mergeCell ref="A43:I43"/>
    <mergeCell ref="B53:I53"/>
    <mergeCell ref="A68:I68"/>
    <mergeCell ref="A63:I63"/>
    <mergeCell ref="D42:I42"/>
    <mergeCell ref="A10:I10"/>
    <mergeCell ref="A13:C13"/>
    <mergeCell ref="A1:I4"/>
    <mergeCell ref="A42:B42"/>
    <mergeCell ref="A67:I67"/>
    <mergeCell ref="B40:C40"/>
    <mergeCell ref="B7:D7"/>
    <mergeCell ref="A48:I48"/>
    <mergeCell ref="B49:I49"/>
    <mergeCell ref="C55:I55"/>
    <mergeCell ref="A64:I64"/>
    <mergeCell ref="A59:I59"/>
    <mergeCell ref="B24:C24"/>
    <mergeCell ref="A11:I11"/>
    <mergeCell ref="E25:F25"/>
    <mergeCell ref="H24:I24"/>
    <mergeCell ref="C56:I56"/>
    <mergeCell ref="A60:I60"/>
    <mergeCell ref="B51:I51"/>
    <mergeCell ref="D40:I40"/>
    <mergeCell ref="A61:I61"/>
    <mergeCell ref="B41:C41"/>
    <mergeCell ref="B50:I50"/>
    <mergeCell ref="A54:I54"/>
  </mergeCells>
  <printOptions horizontalCentered="1"/>
  <pageMargins left="0.2362204724409449" right="0.2362204724409449" top="0.7480314960629921" bottom="0.7480314960629921" header="0.3149606299212598" footer="0.3149606299212598"/>
  <pageSetup orientation="portrait" paperSize="8" scale="34"/>
  <rowBreaks count="1" manualBreakCount="1">
    <brk id="68"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Daniel Griffiths</dc:creator>
  <dcterms:created xsi:type="dcterms:W3CDTF">2025-10-04T03:02:41Z</dcterms:created>
  <dcterms:modified xsi:type="dcterms:W3CDTF">2025-11-19T15:52:52Z</dcterms:modified>
  <cp:lastModifiedBy>John O'Shea</cp:lastModifiedBy>
  <cp:lastPrinted>2025-10-31T23:06:17Z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0x01010054D974174226C149948D7A6780F4D3DD</vt:lpwstr>
  </property>
  <property name="MediaServiceImageTags" fmtid="{D5CDD505-2E9C-101B-9397-08002B2CF9AE}" pid="3">
    <vt:lpwstr/>
  </property>
</Properties>
</file>