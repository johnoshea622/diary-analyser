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180" windowHeight="16140" tabRatio="905" firstSheet="0" activeTab="23" autoFilterDateGrouping="1"/>
  </bookViews>
  <sheets>
    <sheet name="096" sheetId="1" state="visible" r:id="rId1"/>
    <sheet name="097" sheetId="2" state="visible" r:id="rId2"/>
    <sheet name="098" sheetId="3" state="visible" r:id="rId3"/>
    <sheet name="099" sheetId="4" state="visible" r:id="rId4"/>
    <sheet name="100" sheetId="5" state="visible" r:id="rId5"/>
    <sheet name="101" sheetId="6" state="visible" r:id="rId6"/>
    <sheet name="102" sheetId="7" state="visible" r:id="rId7"/>
    <sheet name="103" sheetId="8" state="visible" r:id="rId8"/>
    <sheet name="104" sheetId="9" state="visible" r:id="rId9"/>
    <sheet name="105" sheetId="10" state="visible" r:id="rId10"/>
    <sheet name="106" sheetId="11" state="visible" r:id="rId11"/>
    <sheet name="107" sheetId="12" state="visible" r:id="rId12"/>
    <sheet name="108" sheetId="13" state="visible" r:id="rId13"/>
    <sheet name="109" sheetId="14" state="visible" r:id="rId14"/>
    <sheet name="110" sheetId="15" state="visible" r:id="rId15"/>
    <sheet name="111" sheetId="16" state="visible" r:id="rId16"/>
    <sheet name="112" sheetId="17" state="visible" r:id="rId17"/>
    <sheet name="113" sheetId="18" state="visible" r:id="rId18"/>
    <sheet name="114" sheetId="19" state="visible" r:id="rId19"/>
    <sheet name="115" sheetId="20" state="visible" r:id="rId20"/>
    <sheet name="116" sheetId="21" state="visible" r:id="rId21"/>
    <sheet name="117" sheetId="22" state="visible" r:id="rId22"/>
    <sheet name="118" sheetId="23" state="visible" r:id="rId23"/>
    <sheet name="119" sheetId="24" state="visible" r:id="rId24"/>
  </sheets>
  <definedNames>
    <definedName name="_xlnm.Print_Area" localSheetId="0">'096'!$A$1:$I$149</definedName>
    <definedName name="_xlnm.Print_Area" localSheetId="1">'097'!$A$1:$I$148</definedName>
    <definedName name="_xlnm.Print_Area" localSheetId="2">'098'!$A$1:$I$146</definedName>
    <definedName name="_xlnm.Print_Area" localSheetId="3">'099'!$A$1:$I$149</definedName>
    <definedName name="_xlnm.Print_Area" localSheetId="4">'100'!$A$1:$I$145</definedName>
    <definedName name="_xlnm.Print_Area" localSheetId="5">'101'!$A$1:$I$148</definedName>
    <definedName name="_xlnm.Print_Area" localSheetId="6">'102'!$A$1:$I$146</definedName>
    <definedName name="_xlnm.Print_Area" localSheetId="7">'103'!$A$1:$I$148</definedName>
    <definedName name="_xlnm.Print_Area" localSheetId="8">'104'!$A$1:$I$152</definedName>
    <definedName name="_xlnm.Print_Area" localSheetId="9">'105'!$A$1:$I$151</definedName>
    <definedName name="_xlnm.Print_Area" localSheetId="10">'106'!$A$1:$I$147</definedName>
    <definedName name="_xlnm.Print_Area" localSheetId="11">'107'!$A$1:$I$207</definedName>
    <definedName name="_xlnm.Print_Area" localSheetId="12">'108'!$A$1:$I$206</definedName>
    <definedName name="_xlnm.Print_Area" localSheetId="13">'109'!$A$1:$I$201</definedName>
    <definedName name="_xlnm.Print_Area" localSheetId="14">'110'!$A$1:$I$165</definedName>
    <definedName name="_xlnm.Print_Area" localSheetId="15">'111'!$A$1:$I$168</definedName>
    <definedName name="_xlnm.Print_Area" localSheetId="16">'112'!$A$1:$I$153</definedName>
    <definedName name="_xlnm.Print_Area" localSheetId="17">'113'!$A$1:$I$155</definedName>
    <definedName name="_xlnm.Print_Area" localSheetId="18">'114'!$A$1:$I$151</definedName>
    <definedName name="_xlnm.Print_Area" localSheetId="19">'115'!$A$1:$I$149</definedName>
    <definedName name="_xlnm.Print_Area" localSheetId="20">'116'!$A$1:$I$147</definedName>
    <definedName name="_xlnm.Print_Area" localSheetId="21">'117'!$A$1:$I$147</definedName>
    <definedName name="_xlnm.Print_Area" localSheetId="22">'118'!$A$1:$I$147</definedName>
    <definedName name="_xlnm.Print_Area" localSheetId="23">'119'!$A$1:$I$200</definedName>
  </definedNames>
  <calcPr calcId="191028" fullCalcOnLoad="1"/>
</workbook>
</file>

<file path=xl/styles.xml><?xml version="1.0" encoding="utf-8"?>
<styleSheet xmlns="http://schemas.openxmlformats.org/spreadsheetml/2006/main">
  <numFmts count="2">
    <numFmt numFmtId="164" formatCode="dddd"/>
    <numFmt numFmtId="165" formatCode="[$-F400]h:mm:ss\ AM/PM"/>
  </numFmts>
  <fonts count="19">
    <font>
      <name val="Aptos Narrow"/>
      <family val="2"/>
      <color theme="1"/>
      <sz val="11"/>
      <scheme val="minor"/>
    </font>
    <font>
      <name val="Aptos Narrow"/>
      <family val="2"/>
      <color theme="1"/>
      <sz val="18"/>
      <scheme val="minor"/>
    </font>
    <font>
      <name val="Arial"/>
      <color rgb="FF000000"/>
      <sz val="18"/>
    </font>
    <font>
      <name val="Arial"/>
      <color theme="1"/>
      <sz val="12"/>
    </font>
    <font>
      <name val="Arial"/>
      <b val="1"/>
      <color theme="1"/>
      <sz val="26"/>
    </font>
    <font>
      <name val="Arial"/>
      <b val="1"/>
      <color theme="0"/>
      <sz val="20"/>
    </font>
    <font>
      <name val="Arial"/>
      <b val="1"/>
      <color theme="1"/>
      <sz val="18"/>
    </font>
    <font>
      <name val="Arial"/>
      <color theme="1"/>
      <sz val="18"/>
    </font>
    <font>
      <name val="Arial"/>
      <sz val="18"/>
    </font>
    <font>
      <name val="Arial"/>
      <b val="1"/>
      <color theme="1"/>
      <sz val="16"/>
    </font>
    <font>
      <name val="Arial"/>
      <b val="1"/>
      <color theme="0"/>
      <sz val="16"/>
    </font>
    <font>
      <name val="Arial"/>
      <sz val="16"/>
    </font>
    <font>
      <name val="Arial"/>
      <b val="1"/>
      <sz val="18"/>
    </font>
    <font>
      <name val="Arial"/>
      <sz val="14"/>
    </font>
    <font>
      <name val="Arial"/>
      <family val="2"/>
      <b val="1"/>
      <color theme="1"/>
      <sz val="18"/>
    </font>
    <font>
      <name val="Arial"/>
      <family val="2"/>
      <color theme="1"/>
      <sz val="18"/>
    </font>
    <font>
      <name val="Arial"/>
      <b val="1"/>
      <color rgb="FF000000"/>
      <sz val="18"/>
    </font>
    <font>
      <name val="Arial"/>
      <family val="2"/>
      <color rgb="FF000000"/>
      <sz val="18"/>
    </font>
    <font>
      <name val="Arial"/>
      <family val="2"/>
      <sz val="16"/>
    </font>
  </fonts>
  <fills count="7">
    <fill>
      <patternFill/>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80FD"/>
        <bgColor indexed="64"/>
      </patternFill>
    </fill>
    <fill>
      <patternFill patternType="solid">
        <fgColor theme="0"/>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61">
    <xf numFmtId="0" fontId="0" fillId="0" borderId="0" pivotButton="0" quotePrefix="0" xfId="0"/>
    <xf numFmtId="0" fontId="0" fillId="0" borderId="0" applyAlignment="1" pivotButton="0" quotePrefix="0" xfId="0">
      <alignment vertical="center"/>
    </xf>
    <xf numFmtId="0" fontId="1" fillId="0" borderId="10" applyAlignment="1" pivotButton="0" quotePrefix="0" xfId="0">
      <alignment vertical="center"/>
    </xf>
    <xf numFmtId="0" fontId="1" fillId="0" borderId="11" applyAlignment="1" pivotButton="0" quotePrefix="0" xfId="0">
      <alignment vertical="center"/>
    </xf>
    <xf numFmtId="0" fontId="0" fillId="0" borderId="20" applyAlignment="1" pivotButton="0" quotePrefix="0" xfId="0">
      <alignment vertical="center"/>
    </xf>
    <xf numFmtId="0" fontId="0" fillId="0" borderId="21" applyAlignment="1" pivotButton="0" quotePrefix="0" xfId="0">
      <alignment vertical="center"/>
    </xf>
    <xf numFmtId="0" fontId="0" fillId="0" borderId="22"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2" fillId="0" borderId="12" applyAlignment="1" pivotButton="0" quotePrefix="0" xfId="0">
      <alignment horizontal="left" vertical="center"/>
    </xf>
    <xf numFmtId="0" fontId="3" fillId="0" borderId="0" applyAlignment="1" pivotButton="0" quotePrefix="0" xfId="0">
      <alignment vertical="center"/>
    </xf>
    <xf numFmtId="0" fontId="6" fillId="0" borderId="4" applyAlignment="1" pivotButton="0" quotePrefix="0" xfId="0">
      <alignment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14" fontId="7" fillId="0" borderId="0" applyAlignment="1" pivotButton="0" quotePrefix="0" xfId="0">
      <alignment horizontal="right" vertical="center"/>
    </xf>
    <xf numFmtId="14" fontId="7" fillId="0" borderId="5" applyAlignment="1" pivotButton="0" quotePrefix="0" xfId="0">
      <alignment horizontal="right" vertical="center"/>
    </xf>
    <xf numFmtId="0" fontId="7" fillId="0" borderId="0" applyAlignment="1" pivotButton="0" quotePrefix="0" xfId="0">
      <alignment horizontal="right" vertical="center"/>
    </xf>
    <xf numFmtId="164" fontId="7" fillId="0" borderId="5" applyAlignment="1" pivotButton="0" quotePrefix="0" xfId="0">
      <alignment horizontal="right" vertical="center"/>
    </xf>
    <xf numFmtId="20" fontId="7" fillId="0" borderId="5" applyAlignment="1" pivotButton="0" quotePrefix="0" xfId="0">
      <alignment horizontal="right" vertical="center"/>
    </xf>
    <xf numFmtId="0" fontId="7" fillId="0" borderId="7" applyAlignment="1" pivotButton="0" quotePrefix="0" xfId="0">
      <alignment horizontal="left" vertical="center"/>
    </xf>
    <xf numFmtId="0" fontId="7" fillId="0" borderId="7" applyAlignment="1" pivotButton="0" quotePrefix="0" xfId="0">
      <alignment horizontal="center" vertical="center"/>
    </xf>
    <xf numFmtId="0" fontId="6" fillId="0" borderId="9" applyAlignment="1" pivotButton="0" quotePrefix="0" xfId="0">
      <alignment horizontal="center" vertical="center"/>
    </xf>
    <xf numFmtId="0" fontId="6" fillId="0" borderId="10" applyAlignment="1" pivotButton="0" quotePrefix="0" xfId="0">
      <alignment horizontal="center" vertical="center"/>
    </xf>
    <xf numFmtId="0" fontId="6" fillId="6" borderId="10" applyAlignment="1" pivotButton="0" quotePrefix="0" xfId="0">
      <alignment horizontal="center" vertical="center" wrapText="1"/>
    </xf>
    <xf numFmtId="0" fontId="6" fillId="0" borderId="11"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7" fillId="0" borderId="10" applyAlignment="1" pivotButton="0" quotePrefix="0" xfId="0">
      <alignment horizontal="center" vertical="center" wrapText="1"/>
    </xf>
    <xf numFmtId="0" fontId="7" fillId="0" borderId="10" applyAlignment="1" pivotButton="0" quotePrefix="0" xfId="0">
      <alignment vertical="center"/>
    </xf>
    <xf numFmtId="0" fontId="7" fillId="0" borderId="18" applyAlignment="1" pivotButton="0" quotePrefix="0" xfId="0">
      <alignment horizontal="center" vertical="center"/>
    </xf>
    <xf numFmtId="0" fontId="8" fillId="0" borderId="11" applyAlignment="1" pivotButton="0" quotePrefix="0" xfId="0">
      <alignment horizontal="center" vertical="center"/>
    </xf>
    <xf numFmtId="0" fontId="8" fillId="0" borderId="10" applyAlignment="1" pivotButton="0" quotePrefix="0" xfId="0">
      <alignment horizontal="center" vertical="center"/>
    </xf>
    <xf numFmtId="0" fontId="7" fillId="0" borderId="10" applyAlignment="1" pivotButton="0" quotePrefix="0" xfId="0">
      <alignment horizontal="left" vertical="center"/>
    </xf>
    <xf numFmtId="0" fontId="6" fillId="0" borderId="9" applyAlignment="1" pivotButton="0" quotePrefix="0" xfId="0">
      <alignment horizontal="left" vertical="center"/>
    </xf>
    <xf numFmtId="0" fontId="6" fillId="0" borderId="10" applyAlignment="1" pivotButton="0" quotePrefix="0" xfId="0">
      <alignment horizontal="left" vertical="center"/>
    </xf>
    <xf numFmtId="0" fontId="6" fillId="0" borderId="18" applyAlignment="1" pivotButton="0" quotePrefix="0" xfId="0">
      <alignment horizontal="left" vertical="center"/>
    </xf>
    <xf numFmtId="0" fontId="6" fillId="0" borderId="10" applyAlignment="1" pivotButton="0" quotePrefix="0" xfId="0">
      <alignment vertical="center"/>
    </xf>
    <xf numFmtId="0" fontId="7" fillId="6" borderId="10" applyAlignment="1" pivotButton="0" quotePrefix="0" xfId="0">
      <alignment horizontal="center" vertical="center"/>
    </xf>
    <xf numFmtId="0" fontId="6" fillId="0" borderId="11" applyAlignment="1" pivotButton="0" quotePrefix="0" xfId="0">
      <alignment horizontal="left" vertical="center"/>
    </xf>
    <xf numFmtId="0" fontId="5" fillId="5" borderId="6" applyAlignment="1" pivotButton="0" quotePrefix="0" xfId="0">
      <alignment horizontal="left" vertical="center"/>
    </xf>
    <xf numFmtId="0" fontId="9" fillId="5" borderId="7" applyAlignment="1" pivotButton="0" quotePrefix="0" xfId="0">
      <alignment horizontal="center" vertical="center"/>
    </xf>
    <xf numFmtId="0" fontId="9" fillId="5" borderId="8" applyAlignment="1" pivotButton="0" quotePrefix="0" xfId="0">
      <alignment horizontal="center" vertical="center"/>
    </xf>
    <xf numFmtId="0" fontId="6" fillId="0" borderId="10" applyAlignment="1" pivotButton="0" quotePrefix="0" xfId="0">
      <alignment horizontal="center" vertical="center" wrapText="1"/>
    </xf>
    <xf numFmtId="0" fontId="6" fillId="0" borderId="11" applyAlignment="1" pivotButton="0" quotePrefix="0" xfId="0">
      <alignment horizontal="center" vertical="center" wrapText="1"/>
    </xf>
    <xf numFmtId="0" fontId="8" fillId="0" borderId="9" applyAlignment="1" pivotButton="0" quotePrefix="0" xfId="0">
      <alignment horizontal="center" vertical="center"/>
    </xf>
    <xf numFmtId="0" fontId="8" fillId="6" borderId="10" applyAlignment="1" pivotButton="0" quotePrefix="0" xfId="0">
      <alignment horizontal="center" vertical="center"/>
    </xf>
    <xf numFmtId="0" fontId="8" fillId="2" borderId="9" applyAlignment="1" pivotButton="0" quotePrefix="0" xfId="0">
      <alignment horizontal="center" vertical="center"/>
    </xf>
    <xf numFmtId="0" fontId="8" fillId="3" borderId="9" applyAlignment="1" pivotButton="0" quotePrefix="0" xfId="0">
      <alignment horizontal="center" vertical="center"/>
    </xf>
    <xf numFmtId="0" fontId="8" fillId="4" borderId="9" applyAlignment="1" pivotButton="0" quotePrefix="0" xfId="0">
      <alignment horizontal="center" vertical="center"/>
    </xf>
    <xf numFmtId="0" fontId="6" fillId="0" borderId="17" applyAlignment="1" pivotButton="0" quotePrefix="0" xfId="0">
      <alignment horizontal="center" vertical="center"/>
    </xf>
    <xf numFmtId="0" fontId="10" fillId="5" borderId="15" applyAlignment="1" pivotButton="0" quotePrefix="0" xfId="0">
      <alignment horizontal="left" vertical="center"/>
    </xf>
    <xf numFmtId="0" fontId="10" fillId="5" borderId="12" applyAlignment="1" pivotButton="0" quotePrefix="0" xfId="0">
      <alignment horizontal="left" vertical="center"/>
    </xf>
    <xf numFmtId="0" fontId="10" fillId="5" borderId="16" applyAlignment="1" pivotButton="0" quotePrefix="0" xfId="0">
      <alignment horizontal="left" vertical="center"/>
    </xf>
    <xf numFmtId="0" fontId="6" fillId="0" borderId="9" applyAlignment="1" pivotButton="0" quotePrefix="0" xfId="0">
      <alignment vertical="center" wrapText="1"/>
    </xf>
    <xf numFmtId="0" fontId="6" fillId="0" borderId="9" applyAlignment="1" pivotButton="0" quotePrefix="0" xfId="0">
      <alignment vertical="center"/>
    </xf>
    <xf numFmtId="0" fontId="12" fillId="0" borderId="10" applyAlignment="1" pivotButton="0" quotePrefix="0" xfId="0">
      <alignment horizontal="left" vertical="center" wrapText="1"/>
    </xf>
    <xf numFmtId="0" fontId="6" fillId="0" borderId="19" applyAlignment="1" pivotButton="0" quotePrefix="0" xfId="0">
      <alignment vertical="center"/>
    </xf>
    <xf numFmtId="0" fontId="7" fillId="0" borderId="9" applyAlignment="1" pivotButton="0" quotePrefix="0" xfId="0">
      <alignment vertical="center"/>
    </xf>
    <xf numFmtId="0" fontId="6" fillId="0" borderId="9" applyAlignment="1" pivotButton="0" quotePrefix="0" xfId="0">
      <alignment horizontal="right" vertical="center"/>
    </xf>
    <xf numFmtId="0" fontId="6" fillId="0" borderId="19" applyAlignment="1" pivotButton="0" quotePrefix="0" xfId="0">
      <alignment horizontal="right" vertical="center"/>
    </xf>
    <xf numFmtId="0" fontId="6" fillId="0" borderId="23" applyAlignment="1" pivotButton="0" quotePrefix="0" xfId="0">
      <alignment horizontal="center" vertical="center"/>
    </xf>
    <xf numFmtId="0" fontId="6" fillId="0" borderId="26" applyAlignment="1" pivotButton="0" quotePrefix="0" xfId="0">
      <alignment horizontal="right" vertical="center"/>
    </xf>
    <xf numFmtId="0" fontId="6" fillId="0" borderId="27" applyAlignment="1" pivotButton="0" quotePrefix="0" xfId="0">
      <alignment horizontal="center" vertical="center"/>
    </xf>
    <xf numFmtId="0" fontId="7" fillId="0" borderId="15" applyAlignment="1" pivotButton="0" quotePrefix="0" xfId="0">
      <alignment horizontal="left" vertical="center"/>
    </xf>
    <xf numFmtId="0" fontId="6" fillId="0" borderId="12" applyAlignment="1" pivotButton="0" quotePrefix="0" xfId="0">
      <alignment horizontal="left" vertical="center"/>
    </xf>
    <xf numFmtId="0" fontId="6" fillId="0" borderId="16" applyAlignment="1" pivotButton="0" quotePrefix="0" xfId="0">
      <alignment horizontal="left" vertical="center"/>
    </xf>
    <xf numFmtId="0" fontId="8" fillId="6" borderId="1" applyAlignment="1" pivotButton="0" quotePrefix="0" xfId="0">
      <alignment vertical="center" wrapText="1"/>
    </xf>
    <xf numFmtId="0" fontId="8" fillId="6" borderId="2" applyAlignment="1" pivotButton="0" quotePrefix="0" xfId="0">
      <alignment vertical="center" wrapText="1"/>
    </xf>
    <xf numFmtId="0" fontId="8" fillId="6" borderId="3" applyAlignment="1" pivotButton="0" quotePrefix="0" xfId="0">
      <alignment vertical="center" wrapText="1"/>
    </xf>
    <xf numFmtId="0" fontId="8" fillId="6" borderId="4" applyAlignment="1" pivotButton="0" quotePrefix="0" xfId="0">
      <alignment vertical="center" wrapText="1"/>
    </xf>
    <xf numFmtId="0" fontId="8" fillId="6" borderId="0" applyAlignment="1" pivotButton="0" quotePrefix="0" xfId="0">
      <alignment vertical="center" wrapText="1"/>
    </xf>
    <xf numFmtId="0" fontId="8" fillId="6" borderId="5" applyAlignment="1" pivotButton="0" quotePrefix="0" xfId="0">
      <alignment vertical="center" wrapText="1"/>
    </xf>
    <xf numFmtId="0" fontId="8" fillId="6" borderId="20" applyAlignment="1" pivotButton="0" quotePrefix="0" xfId="0">
      <alignment vertical="center" wrapText="1"/>
    </xf>
    <xf numFmtId="0" fontId="8" fillId="6" borderId="21" applyAlignment="1" pivotButton="0" quotePrefix="0" xfId="0">
      <alignment vertical="center" wrapText="1"/>
    </xf>
    <xf numFmtId="0" fontId="8" fillId="6" borderId="22" applyAlignment="1" pivotButton="0" quotePrefix="0" xfId="0">
      <alignment vertical="center" wrapText="1"/>
    </xf>
    <xf numFmtId="0" fontId="13" fillId="0" borderId="21" applyAlignment="1" pivotButton="0" quotePrefix="0" xfId="0">
      <alignment vertical="center" wrapText="1"/>
    </xf>
    <xf numFmtId="0" fontId="8" fillId="0" borderId="18" applyAlignment="1" pivotButton="0" quotePrefix="0" xfId="0">
      <alignment horizontal="center" vertical="center"/>
    </xf>
    <xf numFmtId="0" fontId="2" fillId="0" borderId="10" applyAlignment="1" pivotButton="0" quotePrefix="0" xfId="0">
      <alignment vertical="center"/>
    </xf>
    <xf numFmtId="0" fontId="2" fillId="0" borderId="18" applyAlignment="1" pivotButton="0" quotePrefix="0" xfId="0">
      <alignment horizontal="left" vertical="center"/>
    </xf>
    <xf numFmtId="0" fontId="7" fillId="0" borderId="20" applyAlignment="1" pivotButton="0" quotePrefix="0" xfId="0">
      <alignment horizontal="left" vertical="center"/>
    </xf>
    <xf numFmtId="0" fontId="6" fillId="0" borderId="21" applyAlignment="1" pivotButton="0" quotePrefix="0" xfId="0">
      <alignment horizontal="left" vertical="center"/>
    </xf>
    <xf numFmtId="0" fontId="2" fillId="0" borderId="21" applyAlignment="1" pivotButton="0" quotePrefix="0" xfId="0">
      <alignment horizontal="left" vertical="center"/>
    </xf>
    <xf numFmtId="0" fontId="7" fillId="0" borderId="21" applyAlignment="1" pivotButton="0" quotePrefix="0" xfId="0">
      <alignment horizontal="left" vertical="center"/>
    </xf>
    <xf numFmtId="0" fontId="6" fillId="0" borderId="22" applyAlignment="1" pivotButton="0" quotePrefix="0" xfId="0">
      <alignment horizontal="left" vertical="center"/>
    </xf>
    <xf numFmtId="0" fontId="7" fillId="0" borderId="28" applyAlignment="1" pivotButton="0" quotePrefix="0" xfId="0">
      <alignment horizontal="left" vertical="center"/>
    </xf>
    <xf numFmtId="0" fontId="6" fillId="0" borderId="29" applyAlignment="1" pivotButton="0" quotePrefix="0" xfId="0">
      <alignment horizontal="left" vertical="center"/>
    </xf>
    <xf numFmtId="0" fontId="2" fillId="0" borderId="29" applyAlignment="1" pivotButton="0" quotePrefix="0" xfId="0">
      <alignment horizontal="left" vertical="center"/>
    </xf>
    <xf numFmtId="0" fontId="6" fillId="0" borderId="30" applyAlignment="1" pivotButton="0" quotePrefix="0" xfId="0">
      <alignment horizontal="left" vertical="center"/>
    </xf>
    <xf numFmtId="0" fontId="11" fillId="0" borderId="31" applyAlignment="1" pivotButton="0" quotePrefix="0" xfId="0">
      <alignment horizontal="left" vertical="center"/>
    </xf>
    <xf numFmtId="0" fontId="0" fillId="0" borderId="13" pivotButton="0" quotePrefix="0" xfId="0"/>
    <xf numFmtId="0" fontId="0" fillId="0" borderId="14" pivotButton="0" quotePrefix="0" xfId="0"/>
    <xf numFmtId="0" fontId="11" fillId="0" borderId="38" applyAlignment="1" pivotButton="0" quotePrefix="0" xfId="0">
      <alignment horizontal="left" vertical="center"/>
    </xf>
    <xf numFmtId="0" fontId="7" fillId="0" borderId="18" applyAlignment="1" pivotButton="0" quotePrefix="0" xfId="0">
      <alignment vertical="center"/>
    </xf>
    <xf numFmtId="0" fontId="9" fillId="6" borderId="15" applyAlignment="1" pivotButton="0" quotePrefix="0" xfId="0">
      <alignment horizontal="center" vertical="center"/>
    </xf>
    <xf numFmtId="165" fontId="7" fillId="0" borderId="5" applyAlignment="1" pivotButton="0" quotePrefix="0" xfId="0">
      <alignment horizontal="right" vertical="center"/>
    </xf>
    <xf numFmtId="0" fontId="14" fillId="0" borderId="18" applyAlignment="1" pivotButton="0" quotePrefix="0" xfId="0">
      <alignment horizontal="center" vertical="center"/>
    </xf>
    <xf numFmtId="0" fontId="15" fillId="0" borderId="18" applyAlignment="1" pivotButton="0" quotePrefix="0" xfId="0">
      <alignment horizontal="center" vertical="center"/>
    </xf>
    <xf numFmtId="0" fontId="15" fillId="0" borderId="10" applyAlignment="1" pivotButton="0" quotePrefix="0" xfId="0">
      <alignment horizontal="center" vertical="center"/>
    </xf>
    <xf numFmtId="0" fontId="15" fillId="0" borderId="15" applyAlignment="1" pivotButton="0" quotePrefix="0" xfId="0">
      <alignment horizontal="left" vertical="center"/>
    </xf>
    <xf numFmtId="0" fontId="15" fillId="0" borderId="9" applyAlignment="1" pivotButton="0" quotePrefix="0" xfId="0">
      <alignment horizontal="center" vertical="center"/>
    </xf>
    <xf numFmtId="0" fontId="16" fillId="0" borderId="18" applyAlignment="1" pivotButton="0" quotePrefix="0" xfId="0">
      <alignment horizontal="center" vertical="center"/>
    </xf>
    <xf numFmtId="0" fontId="17" fillId="0" borderId="18" applyAlignment="1" pivotButton="0" quotePrefix="0" xfId="0">
      <alignment horizontal="center" vertical="center"/>
    </xf>
    <xf numFmtId="0" fontId="9" fillId="6" borderId="12" applyAlignment="1" pivotButton="0" quotePrefix="0" xfId="0">
      <alignment horizontal="center" vertical="center"/>
    </xf>
    <xf numFmtId="0" fontId="8" fillId="0" borderId="17" applyAlignment="1" pivotButton="0" quotePrefix="0" xfId="0">
      <alignment horizontal="center" vertical="center"/>
    </xf>
    <xf numFmtId="0" fontId="2" fillId="0" borderId="18" applyAlignment="1" pivotButton="0" quotePrefix="0" xfId="0">
      <alignment vertical="center"/>
    </xf>
    <xf numFmtId="0" fontId="6" fillId="0" borderId="17" applyAlignment="1" pivotButton="0" quotePrefix="0" xfId="0">
      <alignment vertical="center"/>
    </xf>
    <xf numFmtId="0" fontId="7" fillId="0" borderId="7" applyAlignment="1" pivotButton="0" quotePrefix="0" xfId="0">
      <alignment horizontal="left" vertical="center"/>
    </xf>
    <xf numFmtId="0" fontId="0" fillId="0" borderId="7" pivotButton="0" quotePrefix="0" xfId="0"/>
    <xf numFmtId="0" fontId="4" fillId="0" borderId="35"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0" applyAlignment="1" pivotButton="0" quotePrefix="0" xfId="0">
      <alignment vertical="center"/>
    </xf>
    <xf numFmtId="0" fontId="0" fillId="0" borderId="5" pivotButton="0" quotePrefix="0" xfId="0"/>
    <xf numFmtId="0" fontId="0" fillId="0" borderId="6" pivotButton="0" quotePrefix="0" xfId="0"/>
    <xf numFmtId="0" fontId="0" fillId="0" borderId="8" pivotButton="0" quotePrefix="0" xfId="0"/>
    <xf numFmtId="0" fontId="5" fillId="5" borderId="9" applyAlignment="1" pivotButton="0" quotePrefix="0" xfId="0">
      <alignment horizontal="left" vertical="center"/>
    </xf>
    <xf numFmtId="0" fontId="0" fillId="0" borderId="13" pivotButton="0" quotePrefix="0" xfId="0"/>
    <xf numFmtId="0" fontId="0" fillId="0" borderId="18" pivotButton="0" quotePrefix="0" xfId="0"/>
    <xf numFmtId="0" fontId="7" fillId="0" borderId="0" applyAlignment="1" pivotButton="0" quotePrefix="0" xfId="0">
      <alignment horizontal="left" vertical="center"/>
    </xf>
    <xf numFmtId="0" fontId="5" fillId="5" borderId="31" applyAlignment="1" pivotButton="0" quotePrefix="0" xfId="0">
      <alignment horizontal="left" vertical="center"/>
    </xf>
    <xf numFmtId="0" fontId="0" fillId="0" borderId="14" pivotButton="0" quotePrefix="0" xfId="0"/>
    <xf numFmtId="0" fontId="8" fillId="6" borderId="31" applyAlignment="1" pivotButton="0" quotePrefix="0" xfId="0">
      <alignment horizontal="left" vertical="center" wrapText="1"/>
    </xf>
    <xf numFmtId="0" fontId="5" fillId="5" borderId="32" applyAlignment="1" pivotButton="0" quotePrefix="0" xfId="0">
      <alignment horizontal="left" vertical="center"/>
    </xf>
    <xf numFmtId="0" fontId="0" fillId="0" borderId="12" pivotButton="0" quotePrefix="0" xfId="0"/>
    <xf numFmtId="0" fontId="0" fillId="0" borderId="16" pivotButton="0" quotePrefix="0" xfId="0"/>
    <xf numFmtId="0" fontId="6" fillId="0" borderId="9" applyAlignment="1" pivotButton="0" quotePrefix="0" xfId="0">
      <alignment horizontal="center" vertical="center"/>
    </xf>
    <xf numFmtId="0" fontId="6" fillId="0" borderId="10" applyAlignment="1" pivotButton="0" quotePrefix="0" xfId="0">
      <alignment horizontal="center" vertical="center"/>
    </xf>
    <xf numFmtId="0" fontId="8" fillId="0" borderId="10" applyAlignment="1" pivotButton="0" quotePrefix="0" xfId="0">
      <alignment horizontal="left" vertical="center"/>
    </xf>
    <xf numFmtId="0" fontId="7" fillId="0" borderId="11" applyAlignment="1" pivotButton="0" quotePrefix="0" xfId="0">
      <alignment horizontal="left" vertical="center"/>
    </xf>
    <xf numFmtId="0" fontId="6" fillId="0" borderId="11" applyAlignment="1" pivotButton="0" quotePrefix="0" xfId="0">
      <alignment horizontal="left" vertical="center"/>
    </xf>
    <xf numFmtId="0" fontId="6" fillId="0" borderId="9" applyAlignment="1" pivotButton="0" quotePrefix="0" xfId="0">
      <alignment horizontal="left" vertical="center"/>
    </xf>
    <xf numFmtId="0" fontId="6" fillId="0" borderId="11" applyAlignment="1" pivotButton="0" quotePrefix="0" xfId="0">
      <alignment horizontal="center" vertical="center"/>
    </xf>
    <xf numFmtId="0" fontId="11" fillId="0" borderId="36" applyAlignment="1" pivotButton="0" quotePrefix="0" xfId="0">
      <alignment horizontal="left" vertical="center" wrapText="1"/>
    </xf>
    <xf numFmtId="0" fontId="0" fillId="0" borderId="20" pivotButton="0" quotePrefix="0" xfId="0"/>
    <xf numFmtId="0" fontId="0" fillId="0" borderId="21" pivotButton="0" quotePrefix="0" xfId="0"/>
    <xf numFmtId="0" fontId="0" fillId="0" borderId="22" pivotButton="0" quotePrefix="0" xfId="0"/>
    <xf numFmtId="0" fontId="5" fillId="5" borderId="35" applyAlignment="1" pivotButton="0" quotePrefix="0" xfId="0">
      <alignment horizontal="left" vertical="center"/>
    </xf>
    <xf numFmtId="0" fontId="0" fillId="0" borderId="29" pivotButton="0" quotePrefix="0" xfId="0"/>
    <xf numFmtId="0" fontId="0" fillId="0" borderId="30" pivotButton="0" quotePrefix="0" xfId="0"/>
    <xf numFmtId="0" fontId="8" fillId="0" borderId="10" applyAlignment="1" pivotButton="0" quotePrefix="0" xfId="0">
      <alignment horizontal="left" vertical="center" wrapText="1"/>
    </xf>
    <xf numFmtId="0" fontId="8" fillId="0" borderId="11" applyAlignment="1" pivotButton="0" quotePrefix="0" xfId="0">
      <alignment horizontal="left" vertical="center" wrapText="1"/>
    </xf>
    <xf numFmtId="0" fontId="8" fillId="0" borderId="33" applyAlignment="1" pivotButton="0" quotePrefix="0" xfId="0">
      <alignment horizontal="left" vertical="center" wrapText="1"/>
    </xf>
    <xf numFmtId="0" fontId="13" fillId="0" borderId="4" applyAlignment="1" pivotButton="0" quotePrefix="0" xfId="0">
      <alignment horizontal="center" vertical="center" wrapText="1"/>
    </xf>
    <xf numFmtId="0" fontId="13" fillId="0" borderId="5" applyAlignment="1" pivotButton="0" quotePrefix="0" xfId="0">
      <alignment horizontal="center" vertical="center" wrapText="1"/>
    </xf>
    <xf numFmtId="0" fontId="7" fillId="0" borderId="33" applyAlignment="1" pivotButton="0" quotePrefix="0" xfId="0">
      <alignment horizontal="left" vertical="center"/>
    </xf>
    <xf numFmtId="0" fontId="7" fillId="0" borderId="34" applyAlignment="1" pivotButton="0" quotePrefix="0" xfId="0">
      <alignment horizontal="left" vertical="center"/>
    </xf>
    <xf numFmtId="0" fontId="0" fillId="0" borderId="24" pivotButton="0" quotePrefix="0" xfId="0"/>
    <xf numFmtId="0" fontId="0" fillId="0" borderId="25" pivotButton="0" quotePrefix="0" xfId="0"/>
    <xf numFmtId="0" fontId="11" fillId="0" borderId="31" applyAlignment="1" pivotButton="0" quotePrefix="0" xfId="0">
      <alignment horizontal="left" vertical="center"/>
    </xf>
    <xf numFmtId="0" fontId="5" fillId="5" borderId="37" applyAlignment="1" pivotButton="0" quotePrefix="0" xfId="0">
      <alignment horizontal="left" vertical="center"/>
    </xf>
    <xf numFmtId="0" fontId="0" fillId="0" borderId="0" pivotButton="0" quotePrefix="0" xfId="0"/>
    <xf numFmtId="0" fontId="11" fillId="0" borderId="38" applyAlignment="1" pivotButton="0" quotePrefix="0" xfId="0">
      <alignment horizontal="left" vertical="center"/>
    </xf>
    <xf numFmtId="0" fontId="11" fillId="0" borderId="13" applyAlignment="1" pivotButton="0" quotePrefix="0" xfId="0">
      <alignment horizontal="left" vertical="center"/>
    </xf>
    <xf numFmtId="0" fontId="11" fillId="0" borderId="14" applyAlignment="1" pivotButton="0" quotePrefix="0" xfId="0">
      <alignment horizontal="left" vertical="center"/>
    </xf>
    <xf numFmtId="0" fontId="18" fillId="0" borderId="36" applyAlignment="1" pivotButton="0" quotePrefix="0" xfId="0">
      <alignment horizontal="left" vertical="center" wrapText="1"/>
    </xf>
    <xf numFmtId="0" fontId="15" fillId="0" borderId="11" applyAlignment="1" pivotButton="0" quotePrefix="0" xfId="0">
      <alignment horizontal="left" vertical="center"/>
    </xf>
    <xf numFmtId="0" fontId="11" fillId="0" borderId="31" applyAlignment="1" pivotButton="0" quotePrefix="0" xfId="0">
      <alignment horizontal="left" vertical="center" wrapText="1"/>
    </xf>
    <xf numFmtId="0" fontId="8" fillId="0" borderId="31" applyAlignment="1" pivotButton="0" quotePrefix="0" xfId="0">
      <alignment horizontal="left" vertical="center" wrapText="1"/>
    </xf>
    <xf numFmtId="0" fontId="0" fillId="0" borderId="13" pivotButton="0" quotePrefix="0" xfId="0"/>
    <xf numFmtId="0" fontId="0" fillId="0" borderId="1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J207"/>
  <sheetViews>
    <sheetView view="pageBreakPreview" zoomScale="40" zoomScaleNormal="55" zoomScaleSheetLayoutView="40" workbookViewId="0">
      <selection activeCell="G35" sqref="G35"/>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45901</v>
      </c>
    </row>
    <row r="7" ht="23.15" customHeight="1" s="151">
      <c r="A7" s="11" t="inlineStr">
        <is>
          <t>Project Location:</t>
        </is>
      </c>
      <c r="B7" s="119" t="inlineStr">
        <is>
          <t>Geraldton</t>
        </is>
      </c>
      <c r="E7" s="119" t="n"/>
      <c r="F7" s="13" t="n"/>
      <c r="G7" s="13" t="n"/>
      <c r="H7" s="16" t="inlineStr">
        <is>
          <t>Day:</t>
        </is>
      </c>
      <c r="I7" s="17" t="inlineStr">
        <is>
          <t>Monday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96</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20 degrees  Wind:  35km/h S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v>11.5</v>
      </c>
      <c r="G15" s="29" t="inlineStr">
        <is>
          <t xml:space="preserve">Brockman, Khegan </t>
        </is>
      </c>
      <c r="H15" s="26" t="inlineStr">
        <is>
          <t>Labourer</t>
        </is>
      </c>
      <c r="I15" s="30" t="n">
        <v>10</v>
      </c>
    </row>
    <row r="16" ht="23.15" customHeight="1" s="151">
      <c r="A16" s="25" t="inlineStr">
        <is>
          <t>GRIFFITHS, Daniel</t>
        </is>
      </c>
      <c r="B16" s="26" t="inlineStr">
        <is>
          <t>Project Manager</t>
        </is>
      </c>
      <c r="C16" s="31" t="n">
        <v>11.5</v>
      </c>
      <c r="D16" s="29" t="inlineStr">
        <is>
          <t>Hanly,Thomas</t>
        </is>
      </c>
      <c r="E16" s="26" t="inlineStr">
        <is>
          <t>Operator</t>
        </is>
      </c>
      <c r="F16" s="26" t="n">
        <v>11.5</v>
      </c>
      <c r="G16" s="29" t="inlineStr">
        <is>
          <t xml:space="preserve">McAuliffe, Daniel </t>
        </is>
      </c>
      <c r="H16" s="26" t="inlineStr">
        <is>
          <t>Operator</t>
        </is>
      </c>
      <c r="I16" s="30" t="n">
        <v>10</v>
      </c>
    </row>
    <row r="17" ht="23.15" customHeight="1" s="151">
      <c r="A17" s="25" t="inlineStr">
        <is>
          <t>O"SHEA, John</t>
        </is>
      </c>
      <c r="B17" s="26" t="inlineStr">
        <is>
          <t>Senior Project Engineer</t>
        </is>
      </c>
      <c r="C17" s="31" t="n"/>
      <c r="D17" s="32" t="n"/>
      <c r="E17" s="32" t="n"/>
      <c r="F17" s="26" t="n"/>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O'Reilly,Sean</t>
        </is>
      </c>
      <c r="H18" s="26" t="inlineStr">
        <is>
          <t>Operator</t>
        </is>
      </c>
      <c r="I18" s="30" t="n">
        <v>11</v>
      </c>
    </row>
    <row r="19" ht="23.15" customHeight="1" s="151">
      <c r="A19" s="25" t="inlineStr">
        <is>
          <t>LOW, June</t>
        </is>
      </c>
      <c r="B19" s="26" t="inlineStr">
        <is>
          <t>HSET</t>
        </is>
      </c>
      <c r="C19" s="31" t="n"/>
      <c r="D19" s="28" t="n"/>
      <c r="E19" s="28" t="n"/>
      <c r="F19" s="26" t="n"/>
      <c r="G19" s="29" t="inlineStr">
        <is>
          <t>Dixon, Warren</t>
        </is>
      </c>
      <c r="H19" s="26" t="inlineStr">
        <is>
          <t>Irrigation Installer</t>
        </is>
      </c>
      <c r="I19" s="30" t="n">
        <v>5</v>
      </c>
    </row>
    <row r="20" ht="23.15" customHeight="1" s="151">
      <c r="A20" s="25" t="inlineStr">
        <is>
          <t>SKINNER,Jamie</t>
        </is>
      </c>
      <c r="B20" s="26" t="inlineStr">
        <is>
          <t>Supervisor</t>
        </is>
      </c>
      <c r="C20" s="31" t="n">
        <v>11.5</v>
      </c>
      <c r="D20" s="28" t="n"/>
      <c r="E20" s="28" t="n"/>
      <c r="F20" s="26" t="n"/>
      <c r="G20" s="29" t="inlineStr">
        <is>
          <t>Mosley,Joshua</t>
        </is>
      </c>
      <c r="H20" s="26" t="inlineStr">
        <is>
          <t>Surveyor</t>
        </is>
      </c>
      <c r="I20" s="30" t="n">
        <v>5</v>
      </c>
    </row>
    <row r="21" ht="23.15" customHeight="1" s="151">
      <c r="A21" s="25" t="n"/>
      <c r="B21" s="26" t="n"/>
      <c r="C21" s="31" t="n"/>
      <c r="D21" s="28" t="n"/>
      <c r="E21" s="28" t="n"/>
      <c r="F21" s="26" t="n"/>
      <c r="G21" s="29" t="n"/>
      <c r="H21" s="26" t="n"/>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77" t="n"/>
      <c r="H25" s="77" t="n"/>
      <c r="I25" s="36" t="n"/>
    </row>
    <row r="26" ht="23.15" customHeight="1" s="151">
      <c r="A26" s="131" t="inlineStr">
        <is>
          <t xml:space="preserve">Total Indirect Personnel onsite: </t>
        </is>
      </c>
      <c r="B26" s="34">
        <f>COUNT(C15:C26)</f>
        <v/>
      </c>
      <c r="C26" s="28" t="n"/>
      <c r="D26" s="28" t="n"/>
      <c r="E26" s="28" t="n"/>
      <c r="F26" s="26" t="n"/>
      <c r="G26" s="78" t="n"/>
      <c r="H26" s="77" t="n"/>
      <c r="I26" s="30" t="n"/>
    </row>
    <row r="27" ht="23.15" customHeight="1" s="151">
      <c r="A27" s="131" t="inlineStr">
        <is>
          <t xml:space="preserve">Total Indirect Personnel hours: </t>
        </is>
      </c>
      <c r="B27" s="34">
        <f>SUM(C15:C25)</f>
        <v/>
      </c>
      <c r="C27" s="31" t="n"/>
      <c r="D27" s="28" t="n"/>
      <c r="E27" s="28" t="n"/>
      <c r="F27" s="26" t="n"/>
      <c r="G27" s="35" t="inlineStr">
        <is>
          <t>Total Subcontractor on-site:</t>
        </is>
      </c>
      <c r="H27" s="36">
        <f>COUNT(I15:I25)</f>
        <v/>
      </c>
      <c r="I27" s="130" t="n"/>
    </row>
    <row r="28" ht="23.15" customHeight="1" s="151">
      <c r="A28" s="131" t="inlineStr">
        <is>
          <t xml:space="preserve">Total Direct Personnel onsite:  </t>
        </is>
      </c>
      <c r="B28" s="34">
        <f>COUNTIF(F15:F29,"&gt;0")</f>
        <v/>
      </c>
      <c r="C28" s="34" t="n"/>
      <c r="D28" s="28" t="n"/>
      <c r="E28" s="28" t="n"/>
      <c r="F28" s="37" t="n"/>
      <c r="G28" s="35" t="inlineStr">
        <is>
          <t>Total Subcontractor hours:</t>
        </is>
      </c>
      <c r="H28" s="36">
        <f>SUM(I15:I25)</f>
        <v/>
      </c>
    </row>
    <row r="29" ht="23.15" customHeight="1" s="151">
      <c r="A29" s="131" t="inlineStr">
        <is>
          <t xml:space="preserve">Total Direct Personnel hours: </t>
        </is>
      </c>
      <c r="B29" s="34">
        <f>SUM(F15:F29)</f>
        <v/>
      </c>
      <c r="C29" s="34" t="n"/>
      <c r="D29" s="34" t="n"/>
      <c r="E29" s="34" t="n"/>
      <c r="F29" s="34" t="n"/>
      <c r="G29" s="34" t="n"/>
      <c r="H29" s="34" t="n"/>
      <c r="I29" s="130" t="n"/>
    </row>
    <row r="30" ht="25" customHeight="1" s="151">
      <c r="A30" s="39" t="inlineStr">
        <is>
          <t>PLANT &amp; EQUIPMENT</t>
        </is>
      </c>
      <c r="B30" s="40" t="n"/>
      <c r="C30" s="40" t="n"/>
      <c r="D30" s="40" t="n"/>
      <c r="E30" s="40" t="n"/>
      <c r="F30" s="40" t="n"/>
      <c r="G30" s="40" t="n"/>
      <c r="H30" s="40" t="n"/>
      <c r="I30" s="41" t="n"/>
    </row>
    <row r="31" ht="24" customHeight="1" s="151">
      <c r="A31" s="126" t="inlineStr">
        <is>
          <t>Plant</t>
        </is>
      </c>
      <c r="B31" s="127" t="inlineStr">
        <is>
          <t>ID</t>
        </is>
      </c>
      <c r="C31" s="127" t="inlineStr">
        <is>
          <t>Hours</t>
        </is>
      </c>
      <c r="D31" s="127" t="inlineStr">
        <is>
          <t xml:space="preserve"> Vehicles</t>
        </is>
      </c>
      <c r="E31" s="127" t="inlineStr">
        <is>
          <t>ID</t>
        </is>
      </c>
      <c r="F31" s="127" t="inlineStr">
        <is>
          <t>QTY</t>
        </is>
      </c>
      <c r="G31" s="42" t="inlineStr">
        <is>
          <t>Site Facilities</t>
        </is>
      </c>
      <c r="H31" s="42" t="inlineStr">
        <is>
          <t>ID</t>
        </is>
      </c>
      <c r="I31" s="43" t="inlineStr">
        <is>
          <t>Qty</t>
        </is>
      </c>
    </row>
    <row r="32" ht="23.15" customHeight="1" s="151">
      <c r="A32" s="25" t="inlineStr">
        <is>
          <t>Komatsu WA320</t>
        </is>
      </c>
      <c r="B32" s="26" t="inlineStr">
        <is>
          <t>FWL18</t>
        </is>
      </c>
      <c r="C32" s="26" t="n">
        <v>5</v>
      </c>
      <c r="D32" s="31" t="inlineStr">
        <is>
          <t>Hilux</t>
        </is>
      </c>
      <c r="E32" s="31" t="inlineStr">
        <is>
          <t>DLV90</t>
        </is>
      </c>
      <c r="F32" s="31" t="n">
        <v>1</v>
      </c>
      <c r="G32" s="31" t="inlineStr">
        <is>
          <t>Office 40ft</t>
        </is>
      </c>
      <c r="H32" s="31" t="n">
        <v>9255540</v>
      </c>
      <c r="I32" s="30" t="n">
        <v>1</v>
      </c>
    </row>
    <row r="33" ht="23.15" customHeight="1" s="151">
      <c r="A33" s="25" t="inlineStr">
        <is>
          <t>Wacker Neuson DPU</t>
        </is>
      </c>
      <c r="B33" s="26" t="inlineStr">
        <is>
          <t>DPC15</t>
        </is>
      </c>
      <c r="C33" s="26" t="n"/>
      <c r="D33" s="31" t="inlineStr">
        <is>
          <t>Hilux</t>
        </is>
      </c>
      <c r="E33" s="31" t="inlineStr">
        <is>
          <t>1DAH:400</t>
        </is>
      </c>
      <c r="F33" s="31" t="n">
        <v>1</v>
      </c>
      <c r="G33" s="31" t="inlineStr">
        <is>
          <t>Sea Container 20ft</t>
        </is>
      </c>
      <c r="H33" s="26" t="n">
        <v>951200</v>
      </c>
      <c r="I33" s="30" t="n">
        <v>1</v>
      </c>
    </row>
    <row r="34" ht="23.15" customHeight="1" s="151">
      <c r="A34" s="44" t="inlineStr">
        <is>
          <t>Watercart</t>
        </is>
      </c>
      <c r="B34" s="31" t="inlineStr">
        <is>
          <t>WC04</t>
        </is>
      </c>
      <c r="C34" s="26" t="n">
        <v>10</v>
      </c>
      <c r="D34" s="31" t="n"/>
      <c r="E34" s="26" t="n"/>
      <c r="F34" s="31" t="n"/>
      <c r="G34" s="31" t="inlineStr">
        <is>
          <t>Site Sentry Tower</t>
        </is>
      </c>
      <c r="H34" s="31" t="n"/>
      <c r="I34" s="30" t="n">
        <v>2</v>
      </c>
    </row>
    <row r="35" ht="23.15" customHeight="1" s="151">
      <c r="A35" s="44" t="inlineStr">
        <is>
          <t>8T Excavator</t>
        </is>
      </c>
      <c r="B35" s="45" t="inlineStr">
        <is>
          <t>AMG 014</t>
        </is>
      </c>
      <c r="C35" s="26" t="n"/>
      <c r="D35" s="31" t="n"/>
      <c r="E35" s="31" t="n"/>
      <c r="F35" s="31" t="n"/>
      <c r="G35" s="31" t="inlineStr">
        <is>
          <t>Skip Bin</t>
        </is>
      </c>
      <c r="H35" s="31" t="n"/>
      <c r="I35" s="30" t="n">
        <v>1</v>
      </c>
    </row>
    <row r="36" ht="23.15" customHeight="1" s="151">
      <c r="A36" s="31" t="inlineStr">
        <is>
          <t>Mini Tipper</t>
        </is>
      </c>
      <c r="B36" s="31" t="inlineStr">
        <is>
          <t>SLS05</t>
        </is>
      </c>
      <c r="C36" s="31" t="n"/>
      <c r="D36" s="31" t="n"/>
      <c r="E36" s="31" t="n"/>
      <c r="F36" s="31" t="n"/>
      <c r="G36" s="31" t="inlineStr">
        <is>
          <t>Hydrocarbon Bund</t>
        </is>
      </c>
      <c r="H36" s="31" t="n"/>
      <c r="I36" s="30" t="n">
        <v>1</v>
      </c>
    </row>
    <row r="37" ht="23.15" customHeight="1" s="151">
      <c r="A37" s="76" t="inlineStr">
        <is>
          <t>1 t Excavator</t>
        </is>
      </c>
      <c r="B37" s="31" t="inlineStr">
        <is>
          <t>SLS03</t>
        </is>
      </c>
      <c r="C37" s="31" t="n"/>
      <c r="D37" s="31" t="n"/>
      <c r="E37" s="31" t="n"/>
      <c r="F37" s="31" t="n"/>
      <c r="G37" s="31" t="inlineStr">
        <is>
          <t>Temp Fence</t>
        </is>
      </c>
      <c r="H37" s="26" t="n"/>
      <c r="I37" s="30" t="n">
        <v>1</v>
      </c>
    </row>
    <row r="38" ht="24" customHeight="1" s="151">
      <c r="A38" s="76" t="inlineStr">
        <is>
          <t>14t Excavator with GPS</t>
        </is>
      </c>
      <c r="B38" s="31" t="inlineStr">
        <is>
          <t>EX197</t>
        </is>
      </c>
      <c r="C38" s="31" t="n">
        <v>3</v>
      </c>
      <c r="D38" s="31" t="n"/>
      <c r="E38" s="31" t="n"/>
      <c r="F38" s="31" t="n"/>
      <c r="G38" s="2" t="n"/>
      <c r="H38" s="2" t="n"/>
      <c r="I38" s="3" t="n"/>
    </row>
    <row r="39" ht="24" customHeight="1" s="151">
      <c r="A39" s="76" t="inlineStr">
        <is>
          <t>5t Excavator</t>
        </is>
      </c>
      <c r="B39" s="31" t="inlineStr">
        <is>
          <t>A118</t>
        </is>
      </c>
      <c r="C39" s="31" t="n">
        <v>5</v>
      </c>
      <c r="D39" s="31" t="n"/>
      <c r="E39" s="31" t="n"/>
      <c r="F39" s="31" t="n"/>
      <c r="G39" s="2" t="n"/>
      <c r="H39" s="2" t="n"/>
      <c r="I39" s="3" t="n"/>
    </row>
    <row r="40" ht="24" customHeight="1" s="151">
      <c r="A40" s="44" t="inlineStr">
        <is>
          <t>Padfoot/ Smooth Drum Roller</t>
        </is>
      </c>
      <c r="B40" s="31" t="inlineStr">
        <is>
          <t>RR 03</t>
        </is>
      </c>
      <c r="C40" s="26" t="n">
        <v>5</v>
      </c>
      <c r="D40" s="31" t="n"/>
      <c r="E40" s="31" t="n"/>
      <c r="F40" s="31" t="n"/>
      <c r="G40" s="2" t="n"/>
      <c r="H40" s="2" t="n"/>
      <c r="I40" s="3" t="n"/>
    </row>
    <row r="41" ht="24" customHeight="1" s="151">
      <c r="A41" s="44" t="inlineStr">
        <is>
          <t>Multi Roller</t>
        </is>
      </c>
      <c r="B41" s="31" t="n">
        <v>256</v>
      </c>
      <c r="C41" s="26" t="n">
        <v>5</v>
      </c>
      <c r="D41" s="31" t="n"/>
      <c r="E41" s="31" t="n"/>
      <c r="F41" s="31" t="n"/>
      <c r="G41" s="2" t="n"/>
      <c r="H41" s="2" t="n"/>
      <c r="I41" s="3" t="n"/>
    </row>
    <row r="42" ht="24" customHeight="1" s="151">
      <c r="A42" s="44" t="inlineStr">
        <is>
          <t>Positrak SSL</t>
        </is>
      </c>
      <c r="B42" s="31" t="inlineStr">
        <is>
          <t>SSL08</t>
        </is>
      </c>
      <c r="C42" s="26" t="n">
        <v>5</v>
      </c>
      <c r="D42" s="31" t="n"/>
      <c r="E42" s="31" t="n"/>
      <c r="F42" s="31" t="n"/>
      <c r="G42" s="2" t="n"/>
      <c r="H42" s="2" t="n"/>
      <c r="I42" s="3" t="n"/>
    </row>
    <row r="43" ht="24" customHeight="1" s="151">
      <c r="A43" s="44" t="inlineStr">
        <is>
          <t>Grader</t>
        </is>
      </c>
      <c r="B43" s="31" t="inlineStr">
        <is>
          <t>SLS01</t>
        </is>
      </c>
      <c r="C43" s="26" t="n">
        <v>9</v>
      </c>
      <c r="D43" s="31" t="n"/>
      <c r="E43" s="31" t="n"/>
      <c r="F43" s="31" t="n"/>
      <c r="G43" s="2" t="n"/>
      <c r="H43" s="2" t="n"/>
      <c r="I43" s="3" t="n"/>
    </row>
    <row r="44" ht="24" customHeight="1" s="151">
      <c r="A44" s="44" t="n"/>
      <c r="B44" s="31" t="n"/>
      <c r="C44" s="26" t="n"/>
      <c r="D44" s="2" t="n"/>
      <c r="E44" s="2" t="n"/>
      <c r="F44" s="2" t="n"/>
      <c r="G44" s="2" t="n"/>
      <c r="H44" s="2" t="n"/>
      <c r="I44" s="3" t="n"/>
    </row>
    <row r="45" ht="18" customHeight="1" s="151">
      <c r="A45" s="46" t="n">
        <v>0</v>
      </c>
      <c r="B45" s="128" t="inlineStr">
        <is>
          <t xml:space="preserve">Repairs Required </t>
        </is>
      </c>
      <c r="C45" s="118" t="n"/>
      <c r="D45" s="129" t="inlineStr">
        <is>
          <t>N/A</t>
        </is>
      </c>
      <c r="E45" s="159" t="n"/>
      <c r="F45" s="159" t="n"/>
      <c r="G45" s="159" t="n"/>
      <c r="H45" s="159" t="n"/>
      <c r="I45" s="160" t="n"/>
    </row>
    <row r="46" ht="18" customHeight="1" s="151">
      <c r="A46" s="47" t="n">
        <v>0</v>
      </c>
      <c r="B46" s="128" t="inlineStr">
        <is>
          <t>Scheduled Service</t>
        </is>
      </c>
      <c r="C46" s="118" t="n"/>
      <c r="D46" s="129" t="inlineStr">
        <is>
          <t>N/A</t>
        </is>
      </c>
      <c r="E46" s="159" t="n"/>
      <c r="F46" s="159" t="n"/>
      <c r="G46" s="159" t="n"/>
      <c r="H46" s="159" t="n"/>
      <c r="I46" s="160" t="n"/>
    </row>
    <row r="47" ht="18" customHeight="1" s="151">
      <c r="A47" s="48" t="n">
        <v>0</v>
      </c>
      <c r="B47" s="128" t="n"/>
      <c r="C47" s="118" t="n"/>
      <c r="D47" s="129" t="inlineStr">
        <is>
          <t>N/A</t>
        </is>
      </c>
      <c r="E47" s="159" t="n"/>
      <c r="F47" s="159" t="n"/>
      <c r="G47" s="159" t="n"/>
      <c r="H47" s="159" t="n"/>
      <c r="I47" s="160" t="n"/>
    </row>
    <row r="48" ht="23.15" customHeight="1" s="151">
      <c r="A48" s="131" t="inlineStr">
        <is>
          <t xml:space="preserve">Total Plant and Equipment Hours: </t>
        </is>
      </c>
      <c r="B48" s="118" t="n"/>
      <c r="C48" s="49">
        <f>SUM(C32:C44)</f>
        <v/>
      </c>
      <c r="D48" s="132" t="n"/>
      <c r="E48" s="159" t="n"/>
      <c r="F48" s="159" t="n"/>
      <c r="G48" s="159" t="n"/>
      <c r="H48" s="159" t="n"/>
      <c r="I48" s="160" t="n"/>
    </row>
    <row r="49" ht="25" customHeight="1" s="151">
      <c r="A49" s="120" t="inlineStr">
        <is>
          <t>DELAYS-OPPORTUNITY</t>
        </is>
      </c>
      <c r="B49" s="159" t="n"/>
      <c r="C49" s="159" t="n"/>
      <c r="D49" s="159" t="n"/>
      <c r="E49" s="159" t="n"/>
      <c r="F49" s="159" t="n"/>
      <c r="G49" s="159" t="n"/>
      <c r="H49" s="159" t="n"/>
      <c r="I49" s="160" t="n"/>
    </row>
    <row r="50" ht="20.15" customHeight="1" s="151">
      <c r="A50" s="50" t="n"/>
      <c r="B50" s="51" t="n"/>
      <c r="C50" s="51" t="n"/>
      <c r="D50" s="51" t="n"/>
      <c r="E50" s="51" t="n"/>
      <c r="F50" s="51" t="n"/>
      <c r="G50" s="51" t="n"/>
      <c r="H50" s="51" t="n"/>
      <c r="I50" s="52" t="n"/>
    </row>
    <row r="51" ht="15" customHeight="1" s="151" thickBot="1">
      <c r="A51" s="133"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t>
        </is>
      </c>
      <c r="B51" s="124" t="n"/>
      <c r="C51" s="124" t="n"/>
      <c r="D51" s="124" t="n"/>
      <c r="E51" s="124" t="n"/>
      <c r="F51" s="124" t="n"/>
      <c r="G51" s="124" t="n"/>
      <c r="H51" s="124" t="n"/>
      <c r="I51" s="125" t="n"/>
    </row>
    <row r="52">
      <c r="A52" s="111" t="n"/>
      <c r="I52" s="113" t="n"/>
    </row>
    <row r="53" ht="49.5" customHeight="1" s="151">
      <c r="A53" s="111" t="n"/>
      <c r="I53" s="113" t="n"/>
    </row>
    <row r="54" ht="95.15000000000001" customHeight="1" s="151" thickBot="1">
      <c r="A54" s="134" t="n"/>
      <c r="B54" s="135" t="n"/>
      <c r="C54" s="135" t="n"/>
      <c r="D54" s="135" t="n"/>
      <c r="E54" s="135" t="n"/>
      <c r="F54" s="135" t="n"/>
      <c r="G54" s="135" t="n"/>
      <c r="H54" s="135" t="n"/>
      <c r="I54" s="136" t="n"/>
    </row>
    <row r="55" ht="25" customHeight="1" s="151">
      <c r="A55" s="137" t="inlineStr">
        <is>
          <t>HSEQ MESSAGES</t>
        </is>
      </c>
      <c r="B55" s="138" t="n"/>
      <c r="C55" s="138" t="n"/>
      <c r="D55" s="138" t="n"/>
      <c r="E55" s="138" t="n"/>
      <c r="F55" s="138" t="n"/>
      <c r="G55" s="138" t="n"/>
      <c r="H55" s="138" t="n"/>
      <c r="I55" s="139" t="n"/>
    </row>
    <row r="56" ht="18" customHeight="1" s="151">
      <c r="A56" s="53" t="inlineStr">
        <is>
          <t>TCD - Monthly Safety Focus:</t>
        </is>
      </c>
      <c r="B56" s="140" t="inlineStr">
        <is>
          <t>Underground Services</t>
        </is>
      </c>
      <c r="C56" s="159" t="n"/>
      <c r="D56" s="159" t="n"/>
      <c r="E56" s="159" t="n"/>
      <c r="F56" s="159" t="n"/>
      <c r="G56" s="159" t="n"/>
      <c r="H56" s="159" t="n"/>
      <c r="I56" s="118" t="n"/>
    </row>
    <row r="57" ht="24" customHeight="1" s="151">
      <c r="A57" s="53" t="inlineStr">
        <is>
          <t>TCD - Daily Safety Focus:</t>
        </is>
      </c>
      <c r="B57" s="141" t="inlineStr">
        <is>
          <t>Pre-starts</t>
        </is>
      </c>
      <c r="C57" s="159" t="n"/>
      <c r="D57" s="159" t="n"/>
      <c r="E57" s="159" t="n"/>
      <c r="F57" s="159" t="n"/>
      <c r="G57" s="159" t="n"/>
      <c r="H57" s="159" t="n"/>
      <c r="I57" s="160" t="n"/>
    </row>
    <row r="58" ht="18" customHeight="1" s="151">
      <c r="A58" s="54" t="inlineStr">
        <is>
          <t xml:space="preserve">Hazards Reported: </t>
        </is>
      </c>
      <c r="B58" s="55" t="inlineStr">
        <is>
          <t>Nil</t>
        </is>
      </c>
      <c r="C58" s="141" t="n"/>
      <c r="D58" s="159" t="n"/>
      <c r="E58" s="159" t="n"/>
      <c r="F58" s="159" t="n"/>
      <c r="G58" s="159" t="n"/>
      <c r="H58" s="159" t="n"/>
      <c r="I58" s="160" t="n"/>
    </row>
    <row r="59" ht="18" customHeight="1" s="151">
      <c r="A59" s="54" t="inlineStr">
        <is>
          <t>Incident Free Days</t>
        </is>
      </c>
      <c r="B59" s="55" t="n">
        <v>11</v>
      </c>
      <c r="C59" s="140" t="n"/>
      <c r="D59" s="159" t="n"/>
      <c r="E59" s="159" t="n"/>
      <c r="F59" s="159" t="n"/>
      <c r="G59" s="159" t="n"/>
      <c r="H59" s="159" t="n"/>
      <c r="I59" s="118" t="n"/>
    </row>
    <row r="60" ht="18" customHeight="1" s="151">
      <c r="A60" s="56" t="inlineStr">
        <is>
          <t>Other Notes</t>
        </is>
      </c>
      <c r="B60" s="142" t="n"/>
      <c r="C60" s="124" t="n"/>
      <c r="D60" s="124" t="n"/>
      <c r="E60" s="124" t="n"/>
      <c r="F60" s="124" t="n"/>
      <c r="G60" s="124" t="n"/>
      <c r="H60" s="124" t="n"/>
      <c r="I60" s="125" t="n"/>
    </row>
    <row r="61" ht="20.25" customHeight="1" s="151">
      <c r="A61" s="120" t="inlineStr">
        <is>
          <t xml:space="preserve">INCIDENTS &amp; REPORTS </t>
        </is>
      </c>
      <c r="B61" s="159" t="n"/>
      <c r="C61" s="159" t="n"/>
      <c r="D61" s="159" t="n"/>
      <c r="E61" s="159" t="n"/>
      <c r="F61" s="159" t="n"/>
      <c r="G61" s="159" t="n"/>
      <c r="H61" s="159" t="n"/>
      <c r="I61" s="160" t="n"/>
    </row>
    <row r="62" ht="25" customHeight="1" s="151">
      <c r="A62" s="57" t="n"/>
      <c r="B62" s="127" t="inlineStr">
        <is>
          <t>QTY</t>
        </is>
      </c>
      <c r="C62" s="130" t="inlineStr">
        <is>
          <t>Comments</t>
        </is>
      </c>
      <c r="D62" s="159" t="n"/>
      <c r="E62" s="159" t="n"/>
      <c r="F62" s="159" t="n"/>
      <c r="G62" s="159" t="n"/>
      <c r="H62" s="159" t="n"/>
      <c r="I62" s="160" t="n"/>
    </row>
    <row r="63" ht="25" customHeight="1" s="151">
      <c r="A63" s="58" t="inlineStr">
        <is>
          <t>INCIDENT</t>
        </is>
      </c>
      <c r="B63" s="127" t="n">
        <v>0</v>
      </c>
      <c r="C63" s="129" t="inlineStr">
        <is>
          <t>NA</t>
        </is>
      </c>
      <c r="D63" s="159" t="n"/>
      <c r="E63" s="159" t="n"/>
      <c r="F63" s="159" t="n"/>
      <c r="G63" s="159" t="n"/>
      <c r="H63" s="159" t="n"/>
      <c r="I63" s="160" t="n"/>
    </row>
    <row r="64" ht="25" customHeight="1" s="151">
      <c r="A64" s="59" t="inlineStr">
        <is>
          <t>IR</t>
        </is>
      </c>
      <c r="B64" s="60" t="n">
        <v>0</v>
      </c>
      <c r="C64" s="145" t="inlineStr">
        <is>
          <t>NA</t>
        </is>
      </c>
      <c r="D64" s="124" t="n"/>
      <c r="E64" s="124" t="n"/>
      <c r="F64" s="124" t="n"/>
      <c r="G64" s="124" t="n"/>
      <c r="H64" s="124" t="n"/>
      <c r="I64" s="125" t="n"/>
    </row>
    <row r="65" ht="25" customHeight="1" s="151" thickBot="1">
      <c r="A65" s="61" t="inlineStr">
        <is>
          <t>NCR</t>
        </is>
      </c>
      <c r="B65" s="62" t="n">
        <v>0</v>
      </c>
      <c r="C65" s="146" t="inlineStr">
        <is>
          <t>NA</t>
        </is>
      </c>
      <c r="D65" s="147" t="n"/>
      <c r="E65" s="147" t="n"/>
      <c r="F65" s="147" t="n"/>
      <c r="G65" s="147" t="n"/>
      <c r="H65" s="147" t="n"/>
      <c r="I65" s="148" t="n"/>
    </row>
    <row r="66" ht="20.25" customHeight="1" s="151">
      <c r="A66" s="137" t="inlineStr">
        <is>
          <t>COMMUNICATIONS</t>
        </is>
      </c>
      <c r="B66" s="138" t="n"/>
      <c r="C66" s="138" t="n"/>
      <c r="D66" s="138" t="n"/>
      <c r="E66" s="138" t="n"/>
      <c r="F66" s="138" t="n"/>
      <c r="G66" s="138" t="n"/>
      <c r="H66" s="138" t="n"/>
      <c r="I66" s="139" t="n"/>
    </row>
    <row r="67" ht="25" customHeight="1" s="151">
      <c r="A67" s="149" t="inlineStr">
        <is>
          <t>TGS MB1119-05 Scheme D impletmented</t>
        </is>
      </c>
      <c r="B67" s="159" t="n"/>
      <c r="C67" s="159" t="n"/>
      <c r="D67" s="159" t="n"/>
      <c r="E67" s="159" t="n"/>
      <c r="F67" s="159" t="n"/>
      <c r="G67" s="159" t="n"/>
      <c r="H67" s="159" t="n"/>
      <c r="I67" s="160" t="n"/>
    </row>
    <row r="68" ht="25" customHeight="1" s="151">
      <c r="A68" s="149" t="n"/>
      <c r="B68" s="159" t="n"/>
      <c r="C68" s="159" t="n"/>
      <c r="D68" s="159" t="n"/>
      <c r="E68" s="159" t="n"/>
      <c r="F68" s="159" t="n"/>
      <c r="G68" s="159" t="n"/>
      <c r="H68" s="159" t="n"/>
      <c r="I68" s="160" t="n"/>
    </row>
    <row r="69" ht="25" customHeight="1" s="151">
      <c r="A69" s="120" t="inlineStr">
        <is>
          <t>PRODUCTION (CONSTRUCTION STATUS &amp; PROGRESS)</t>
        </is>
      </c>
      <c r="B69" s="159" t="n"/>
      <c r="C69" s="159" t="n"/>
      <c r="D69" s="159" t="n"/>
      <c r="E69" s="159" t="n"/>
      <c r="F69" s="159" t="n"/>
      <c r="G69" s="159" t="n"/>
      <c r="H69" s="159" t="n"/>
      <c r="I69" s="160" t="n"/>
    </row>
    <row r="70" ht="25" customHeight="1" s="151">
      <c r="A70" s="63" t="inlineStr">
        <is>
          <t>Irrigation trenching-East side Sump heading South</t>
        </is>
      </c>
      <c r="B70" s="64" t="n"/>
      <c r="C70" s="9" t="n"/>
      <c r="D70" s="9" t="inlineStr">
        <is>
          <t xml:space="preserve">Think-water tap into 40mm Comms for solinoids </t>
        </is>
      </c>
      <c r="E70" s="9" t="n"/>
      <c r="F70" s="64" t="n"/>
      <c r="G70" s="64" t="n"/>
      <c r="H70" s="64" t="n"/>
      <c r="I70" s="65" t="n"/>
    </row>
    <row r="71" ht="25" customHeight="1" s="151">
      <c r="A71" s="63" t="inlineStr">
        <is>
          <t>Irrigation trenching@Lot-106 heading North</t>
        </is>
      </c>
      <c r="B71" s="64" t="n"/>
      <c r="C71" s="9" t="n"/>
      <c r="D71" s="9" t="n"/>
      <c r="E71" s="64" t="n"/>
      <c r="F71" s="64" t="n"/>
      <c r="G71" s="64" t="n"/>
      <c r="H71" s="64" t="n"/>
      <c r="I71" s="65" t="n"/>
    </row>
    <row r="72" ht="25" customHeight="1" s="151">
      <c r="A72" s="63" t="inlineStr">
        <is>
          <t>Forrest street excess material removal and asphalt box-out</t>
        </is>
      </c>
      <c r="B72" s="64" t="n"/>
      <c r="C72" s="9" t="n"/>
      <c r="D72" s="64" t="n"/>
      <c r="E72" s="64" t="n"/>
      <c r="F72" s="64" t="n"/>
      <c r="G72" s="64" t="n"/>
      <c r="H72" s="64" t="n"/>
      <c r="I72" s="65" t="n"/>
    </row>
    <row r="73" ht="25" customHeight="1" s="151">
      <c r="A73" s="63" t="inlineStr">
        <is>
          <t xml:space="preserve">Bayly street Box-out of excess material for sub-grade preperation </t>
        </is>
      </c>
      <c r="B73" s="64" t="n"/>
      <c r="C73" s="9" t="n"/>
      <c r="D73" s="64" t="n"/>
      <c r="E73" s="64" t="n"/>
      <c r="F73" s="64" t="n"/>
      <c r="G73" s="64" t="n"/>
      <c r="H73" s="64" t="n"/>
      <c r="I73" s="65" t="n"/>
    </row>
    <row r="74" ht="26.15" customHeight="1" s="151" thickBot="1">
      <c r="A74" s="123" t="inlineStr">
        <is>
          <t>Photos</t>
        </is>
      </c>
      <c r="B74" s="124" t="n"/>
      <c r="C74" s="124" t="n"/>
      <c r="D74" s="124" t="n"/>
      <c r="E74" s="124" t="n"/>
      <c r="F74" s="124" t="n"/>
      <c r="G74" s="124" t="n"/>
      <c r="H74" s="124" t="n"/>
      <c r="I74" s="125" t="n"/>
    </row>
    <row r="75" ht="23.15" customHeight="1" s="151">
      <c r="A75" s="66" t="n"/>
      <c r="B75" s="67" t="n"/>
      <c r="C75" s="67" t="n"/>
      <c r="D75" s="67" t="n"/>
      <c r="E75" s="67" t="n"/>
      <c r="F75" s="67" t="n"/>
      <c r="G75" s="67" t="n"/>
      <c r="H75" s="67" t="n"/>
      <c r="I75" s="68" t="n"/>
    </row>
    <row r="76" ht="23.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H97" s="70" t="n"/>
      <c r="I97" s="71" t="n"/>
    </row>
    <row r="98" ht="25" customFormat="1" customHeight="1" s="10">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thickBot="1">
      <c r="A113" s="72" t="n"/>
      <c r="B113" s="73" t="n"/>
      <c r="C113" s="73" t="n"/>
      <c r="D113" s="73" t="n"/>
      <c r="E113" s="73" t="n"/>
      <c r="F113" s="73" t="n"/>
      <c r="G113" s="73" t="n"/>
      <c r="H113" s="73" t="n"/>
      <c r="I113" s="74"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28"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thickBot="1">
      <c r="A138" s="69" t="n"/>
      <c r="B138" s="70" t="n"/>
      <c r="C138" s="70" t="n"/>
      <c r="D138" s="70" t="n"/>
      <c r="E138" s="70" t="n"/>
      <c r="F138" s="70" t="n"/>
      <c r="G138" s="70" t="n"/>
      <c r="H138" s="70" t="n"/>
      <c r="I138" s="71" t="n"/>
      <c r="J138" s="75"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6" customHeight="1" s="151">
      <c r="A145" s="69" t="n"/>
      <c r="B145" s="70" t="n"/>
      <c r="C145" s="70" t="n"/>
      <c r="D145" s="70" t="n"/>
      <c r="E145" s="70" t="n"/>
      <c r="F145" s="70" t="n"/>
      <c r="G145" s="70" t="n"/>
      <c r="H145" s="70" t="n"/>
      <c r="I145" s="71" t="n"/>
    </row>
    <row r="146" ht="30.75" customHeight="1" s="151">
      <c r="A146" s="143" t="n"/>
      <c r="E146" s="144" t="n"/>
      <c r="I146" s="113"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ht="16" customHeight="1" s="151" thickBot="1">
      <c r="A200" s="4" t="n"/>
      <c r="B200" s="5" t="n"/>
      <c r="C200" s="5" t="n"/>
      <c r="D200" s="5" t="n"/>
      <c r="E200" s="5" t="n"/>
      <c r="F200" s="5" t="n"/>
      <c r="G200" s="5" t="n"/>
      <c r="H200" s="5" t="n"/>
      <c r="I200" s="6" t="n"/>
    </row>
    <row r="201">
      <c r="A201" s="7" t="n"/>
      <c r="I201" s="8" t="n"/>
    </row>
    <row r="202">
      <c r="A202" s="7" t="n"/>
      <c r="I202" s="8" t="n"/>
    </row>
    <row r="203">
      <c r="A203" s="7" t="n"/>
      <c r="I203" s="8" t="n"/>
    </row>
    <row r="204">
      <c r="A204" s="7" t="n"/>
      <c r="I204" s="8" t="n"/>
    </row>
    <row r="205">
      <c r="A205" s="7" t="n"/>
      <c r="I205" s="8" t="n"/>
    </row>
    <row r="206">
      <c r="A206" s="7" t="n"/>
      <c r="I206" s="8" t="n"/>
    </row>
    <row r="207" ht="16" customHeight="1" s="151" thickBot="1">
      <c r="A207" s="4" t="n"/>
      <c r="B207" s="5" t="n"/>
      <c r="C207" s="5" t="n"/>
      <c r="D207" s="5" t="n"/>
      <c r="E207" s="5" t="n"/>
      <c r="F207" s="5" t="n"/>
      <c r="G207" s="5" t="n"/>
      <c r="H207" s="5" t="n"/>
      <c r="I207" s="6" t="n"/>
    </row>
  </sheetData>
  <mergeCells count="40">
    <mergeCell ref="A48:B48"/>
    <mergeCell ref="B47:C47"/>
    <mergeCell ref="D13:F13"/>
    <mergeCell ref="G13:I13"/>
    <mergeCell ref="B8:D8"/>
    <mergeCell ref="A66:I66"/>
    <mergeCell ref="B46:C46"/>
    <mergeCell ref="D48:I48"/>
    <mergeCell ref="A74:I74"/>
    <mergeCell ref="A55:I55"/>
    <mergeCell ref="A12:I12"/>
    <mergeCell ref="E146:I146"/>
    <mergeCell ref="D47:I47"/>
    <mergeCell ref="B56:I56"/>
    <mergeCell ref="A5:I5"/>
    <mergeCell ref="A51:I54"/>
    <mergeCell ref="B9:D9"/>
    <mergeCell ref="B60:I60"/>
    <mergeCell ref="C62:I62"/>
    <mergeCell ref="B57:I57"/>
    <mergeCell ref="B6:D6"/>
    <mergeCell ref="C58:I58"/>
    <mergeCell ref="A146:D146"/>
    <mergeCell ref="A68:I68"/>
    <mergeCell ref="A13:C13"/>
    <mergeCell ref="A10:I10"/>
    <mergeCell ref="C64:I64"/>
    <mergeCell ref="A1:I4"/>
    <mergeCell ref="A67:I67"/>
    <mergeCell ref="B7:D7"/>
    <mergeCell ref="C65:I65"/>
    <mergeCell ref="C63:I63"/>
    <mergeCell ref="A49:I49"/>
    <mergeCell ref="A11:I11"/>
    <mergeCell ref="D46:I46"/>
    <mergeCell ref="C59:I59"/>
    <mergeCell ref="B45:C45"/>
    <mergeCell ref="D45:I45"/>
    <mergeCell ref="A61:I61"/>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2.xml><?xml version="1.0" encoding="utf-8"?>
<worksheet xmlns="http://schemas.openxmlformats.org/spreadsheetml/2006/main">
  <sheetPr>
    <outlinePr summaryBelow="1" summaryRight="1"/>
    <pageSetUpPr fitToPage="1"/>
  </sheetPr>
  <dimension ref="A1:J206"/>
  <sheetViews>
    <sheetView view="pageBreakPreview" topLeftCell="A12" zoomScale="40" zoomScaleNormal="55" zoomScaleSheetLayoutView="40" workbookViewId="0">
      <selection activeCell="B55" sqref="B55:I55"/>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45902</v>
      </c>
    </row>
    <row r="7" ht="23.15" customHeight="1" s="151">
      <c r="A7" s="11" t="inlineStr">
        <is>
          <t>Project Location:</t>
        </is>
      </c>
      <c r="B7" s="119" t="inlineStr">
        <is>
          <t>Geraldton</t>
        </is>
      </c>
      <c r="E7" s="119" t="n"/>
      <c r="F7" s="13" t="n"/>
      <c r="G7" s="13" t="n"/>
      <c r="H7" s="16" t="inlineStr">
        <is>
          <t>Day:</t>
        </is>
      </c>
      <c r="I7" s="17" t="inlineStr">
        <is>
          <t>Tuesday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97</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23 degrees  Wind:  25km/h 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v>12</v>
      </c>
      <c r="G15" s="29" t="inlineStr">
        <is>
          <t xml:space="preserve">Brockman, Khegan </t>
        </is>
      </c>
      <c r="H15" s="26" t="inlineStr">
        <is>
          <t>Labourer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 xml:space="preserve">McAuliffe, Daniel </t>
        </is>
      </c>
      <c r="H16" s="26" t="inlineStr">
        <is>
          <t>Operator</t>
        </is>
      </c>
      <c r="I16" s="30" t="n">
        <v>11</v>
      </c>
    </row>
    <row r="17" ht="23.15" customHeight="1" s="151">
      <c r="A17" s="25" t="inlineStr">
        <is>
          <t>O"SHEA, John</t>
        </is>
      </c>
      <c r="B17" s="26" t="inlineStr">
        <is>
          <t>Senior Project Engineer</t>
        </is>
      </c>
      <c r="C17" s="31" t="n"/>
      <c r="D17" s="32" t="n"/>
      <c r="E17" s="32" t="n"/>
      <c r="F17" s="26" t="n"/>
      <c r="G17" s="29" t="inlineStr">
        <is>
          <t>O'Brian, Jamie</t>
        </is>
      </c>
      <c r="H17" s="26" t="inlineStr">
        <is>
          <t>Operator</t>
        </is>
      </c>
      <c r="I17" s="30" t="n">
        <v>11</v>
      </c>
    </row>
    <row r="18" ht="23.15" customHeight="1" s="151">
      <c r="A18" s="25" t="inlineStr">
        <is>
          <t>GRIFFITHS, Ashley</t>
        </is>
      </c>
      <c r="B18" s="26" t="inlineStr">
        <is>
          <t>Supervisor</t>
        </is>
      </c>
      <c r="C18" s="31" t="n"/>
      <c r="D18" s="28" t="n"/>
      <c r="E18" s="28" t="n"/>
      <c r="F18" s="26" t="n"/>
      <c r="G18" s="29" t="inlineStr">
        <is>
          <t>O'Reilly,Sean</t>
        </is>
      </c>
      <c r="H18" s="26" t="inlineStr">
        <is>
          <t>Operator</t>
        </is>
      </c>
      <c r="I18" s="30" t="n">
        <v>12</v>
      </c>
    </row>
    <row r="19" ht="23.15" customHeight="1" s="151">
      <c r="A19" s="25" t="inlineStr">
        <is>
          <t>LOW, June</t>
        </is>
      </c>
      <c r="B19" s="26" t="inlineStr">
        <is>
          <t>HSET</t>
        </is>
      </c>
      <c r="C19" s="31" t="n"/>
      <c r="D19" s="28" t="n"/>
      <c r="E19" s="28" t="n"/>
      <c r="F19" s="26" t="n"/>
      <c r="G19" s="29" t="inlineStr">
        <is>
          <t>Dixon, Warren</t>
        </is>
      </c>
      <c r="H19" s="26" t="inlineStr">
        <is>
          <t>Irrigation Installer</t>
        </is>
      </c>
      <c r="I19" s="30" t="n">
        <v>5</v>
      </c>
    </row>
    <row r="20" ht="23.15" customHeight="1" s="151">
      <c r="A20" s="25" t="inlineStr">
        <is>
          <t>SKINNER,Jamie</t>
        </is>
      </c>
      <c r="B20" s="26" t="inlineStr">
        <is>
          <t>Supervisor</t>
        </is>
      </c>
      <c r="C20" s="31" t="n">
        <v>12</v>
      </c>
      <c r="D20" s="28" t="n"/>
      <c r="E20" s="28" t="n"/>
      <c r="F20" s="26" t="n"/>
      <c r="G20" s="29" t="inlineStr">
        <is>
          <t>Mosley,Joshua</t>
        </is>
      </c>
      <c r="H20" s="26" t="inlineStr">
        <is>
          <t>Surveyor</t>
        </is>
      </c>
      <c r="I20" s="30" t="n">
        <v>5</v>
      </c>
    </row>
    <row r="21" ht="23.15" customHeight="1" s="151">
      <c r="A21" s="25" t="n"/>
      <c r="B21" s="26" t="n"/>
      <c r="C21" s="31" t="n"/>
      <c r="D21" s="28" t="n"/>
      <c r="E21" s="28" t="n"/>
      <c r="F21" s="26" t="n"/>
      <c r="G21" s="29" t="n"/>
      <c r="H21" s="26" t="n"/>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77" t="n"/>
      <c r="H25" s="77" t="n"/>
      <c r="I25" s="36" t="n"/>
    </row>
    <row r="26" ht="23.15" customHeight="1" s="151">
      <c r="A26" s="131" t="inlineStr">
        <is>
          <t xml:space="preserve">Total Indirect Personnel onsite: </t>
        </is>
      </c>
      <c r="B26" s="34">
        <f>COUNT(C15:C26)</f>
        <v/>
      </c>
      <c r="C26" s="28" t="n"/>
      <c r="D26" s="28" t="n"/>
      <c r="E26" s="28" t="n"/>
      <c r="F26" s="26" t="n"/>
      <c r="G26" s="78" t="n"/>
      <c r="H26" s="77" t="n"/>
      <c r="I26" s="30" t="n"/>
    </row>
    <row r="27" ht="23.15" customHeight="1" s="151">
      <c r="A27" s="131" t="inlineStr">
        <is>
          <t xml:space="preserve">Total Indirect Personnel hours: </t>
        </is>
      </c>
      <c r="B27" s="34">
        <f>SUM(C15:C25)</f>
        <v/>
      </c>
      <c r="C27" s="31" t="n"/>
      <c r="D27" s="28" t="n"/>
      <c r="E27" s="28" t="n"/>
      <c r="F27" s="26" t="n"/>
      <c r="G27" s="35" t="inlineStr">
        <is>
          <t>Total Subcontractor on-site:</t>
        </is>
      </c>
      <c r="H27" s="36">
        <f>COUNT(I15:I25)</f>
        <v/>
      </c>
      <c r="I27" s="30" t="n"/>
    </row>
    <row r="28" ht="23.15" customHeight="1" s="151">
      <c r="A28" s="131" t="inlineStr">
        <is>
          <t xml:space="preserve">Total Direct Personnel onsite:  </t>
        </is>
      </c>
      <c r="B28" s="34">
        <f>COUNTIF(F15:F29,"&gt;0")</f>
        <v/>
      </c>
      <c r="C28" s="34" t="n"/>
      <c r="D28" s="28" t="n"/>
      <c r="E28" s="28" t="n"/>
      <c r="F28" s="37" t="n"/>
      <c r="G28" s="35" t="inlineStr">
        <is>
          <t>Total Subcontractor hours:</t>
        </is>
      </c>
      <c r="H28" s="36">
        <f>SUM(I15:I25)</f>
        <v/>
      </c>
      <c r="I28" s="130" t="n"/>
    </row>
    <row r="29" ht="23.15" customHeight="1" s="151">
      <c r="A29" s="131" t="inlineStr">
        <is>
          <t xml:space="preserve">Total Direct Personnel hours: </t>
        </is>
      </c>
      <c r="B29" s="34">
        <f>SUM(F15:F29)</f>
        <v/>
      </c>
      <c r="C29" s="34" t="n"/>
      <c r="D29" s="34" t="n"/>
      <c r="E29" s="34" t="n"/>
      <c r="F29" s="34" t="n"/>
      <c r="G29" s="34" t="n"/>
      <c r="H29" s="34" t="n"/>
      <c r="I29" s="130" t="n"/>
    </row>
    <row r="30" ht="25" customHeight="1" s="151">
      <c r="A30" s="39" t="inlineStr">
        <is>
          <t>PLANT &amp; EQUIPMENT</t>
        </is>
      </c>
      <c r="B30" s="40" t="n"/>
      <c r="C30" s="40" t="n"/>
      <c r="D30" s="40" t="n"/>
      <c r="E30" s="40" t="n"/>
      <c r="F30" s="40" t="n"/>
      <c r="G30" s="40" t="n"/>
      <c r="H30" s="40" t="n"/>
      <c r="I30" s="41" t="n"/>
    </row>
    <row r="31" ht="24" customHeight="1" s="151">
      <c r="A31" s="126" t="inlineStr">
        <is>
          <t>Plant</t>
        </is>
      </c>
      <c r="B31" s="127" t="inlineStr">
        <is>
          <t>ID</t>
        </is>
      </c>
      <c r="C31" s="127" t="inlineStr">
        <is>
          <t>Hours</t>
        </is>
      </c>
      <c r="D31" s="127" t="inlineStr">
        <is>
          <t xml:space="preserve"> Vehicles</t>
        </is>
      </c>
      <c r="E31" s="127" t="inlineStr">
        <is>
          <t>ID</t>
        </is>
      </c>
      <c r="F31" s="127" t="inlineStr">
        <is>
          <t>QTY</t>
        </is>
      </c>
      <c r="G31" s="42" t="inlineStr">
        <is>
          <t>Site Facilities</t>
        </is>
      </c>
      <c r="H31" s="42" t="inlineStr">
        <is>
          <t>ID</t>
        </is>
      </c>
      <c r="I31" s="43" t="inlineStr">
        <is>
          <t>Qty</t>
        </is>
      </c>
    </row>
    <row r="32" ht="23.15" customHeight="1" s="151">
      <c r="A32" s="25" t="inlineStr">
        <is>
          <t>Komatsu WA320</t>
        </is>
      </c>
      <c r="B32" s="26" t="inlineStr">
        <is>
          <t>FWL18</t>
        </is>
      </c>
      <c r="C32" s="26" t="n">
        <v>5</v>
      </c>
      <c r="D32" s="31" t="inlineStr">
        <is>
          <t>Hilux</t>
        </is>
      </c>
      <c r="E32" s="31" t="inlineStr">
        <is>
          <t>DLV90</t>
        </is>
      </c>
      <c r="F32" s="31" t="n">
        <v>1</v>
      </c>
      <c r="G32" s="31" t="inlineStr">
        <is>
          <t>Office 40ft</t>
        </is>
      </c>
      <c r="H32" s="31" t="n">
        <v>9255540</v>
      </c>
      <c r="I32" s="30" t="n">
        <v>1</v>
      </c>
    </row>
    <row r="33" ht="23.15" customHeight="1" s="151">
      <c r="A33" s="25" t="inlineStr">
        <is>
          <t>Wacker Neuson DPU</t>
        </is>
      </c>
      <c r="B33" s="26" t="inlineStr">
        <is>
          <t>DPC15</t>
        </is>
      </c>
      <c r="C33" s="26" t="n"/>
      <c r="D33" s="31" t="inlineStr">
        <is>
          <t>Hilux</t>
        </is>
      </c>
      <c r="E33" s="31" t="inlineStr">
        <is>
          <t>1DAH:400</t>
        </is>
      </c>
      <c r="F33" s="31" t="n">
        <v>1</v>
      </c>
      <c r="G33" s="31" t="inlineStr">
        <is>
          <t>Sea Container 20ft</t>
        </is>
      </c>
      <c r="H33" s="26" t="n">
        <v>951200</v>
      </c>
      <c r="I33" s="30" t="n">
        <v>1</v>
      </c>
    </row>
    <row r="34" ht="23.15" customHeight="1" s="151">
      <c r="A34" s="44" t="inlineStr">
        <is>
          <t>Watercart</t>
        </is>
      </c>
      <c r="B34" s="31" t="inlineStr">
        <is>
          <t>WC04</t>
        </is>
      </c>
      <c r="C34" s="26" t="n">
        <v>10</v>
      </c>
      <c r="D34" s="31" t="n"/>
      <c r="E34" s="26" t="n"/>
      <c r="F34" s="31" t="n"/>
      <c r="G34" s="31" t="inlineStr">
        <is>
          <t>Site Sentry Tower</t>
        </is>
      </c>
      <c r="H34" s="31" t="n"/>
      <c r="I34" s="30" t="n">
        <v>2</v>
      </c>
    </row>
    <row r="35" ht="23.15" customHeight="1" s="151">
      <c r="A35" s="44" t="inlineStr">
        <is>
          <t>8T Excavator</t>
        </is>
      </c>
      <c r="B35" s="45" t="inlineStr">
        <is>
          <t>AMG 014</t>
        </is>
      </c>
      <c r="C35" s="26" t="n"/>
      <c r="D35" s="31" t="n"/>
      <c r="E35" s="31" t="n"/>
      <c r="F35" s="31" t="n"/>
      <c r="G35" s="31" t="inlineStr">
        <is>
          <t>Skip Bin</t>
        </is>
      </c>
      <c r="H35" s="31" t="n"/>
      <c r="I35" s="30" t="n">
        <v>1</v>
      </c>
    </row>
    <row r="36" ht="23.15" customHeight="1" s="151">
      <c r="A36" s="31" t="inlineStr">
        <is>
          <t>Mini Tipper</t>
        </is>
      </c>
      <c r="B36" s="31" t="inlineStr">
        <is>
          <t>SLS05</t>
        </is>
      </c>
      <c r="C36" s="31" t="n"/>
      <c r="D36" s="31" t="n"/>
      <c r="E36" s="31" t="n"/>
      <c r="F36" s="31" t="n"/>
      <c r="G36" s="31" t="inlineStr">
        <is>
          <t>Hydrocarbon Bund</t>
        </is>
      </c>
      <c r="H36" s="31" t="n"/>
      <c r="I36" s="30" t="n">
        <v>1</v>
      </c>
    </row>
    <row r="37" ht="23.15" customHeight="1" s="151">
      <c r="A37" s="76" t="inlineStr">
        <is>
          <t>1 t Excavator</t>
        </is>
      </c>
      <c r="B37" s="31" t="inlineStr">
        <is>
          <t>SLS03</t>
        </is>
      </c>
      <c r="C37" s="31" t="n"/>
      <c r="D37" s="31" t="n"/>
      <c r="E37" s="31" t="n"/>
      <c r="F37" s="31" t="n"/>
      <c r="G37" s="31" t="inlineStr">
        <is>
          <t>Temp Fence</t>
        </is>
      </c>
      <c r="H37" s="26" t="n"/>
      <c r="I37" s="30" t="n">
        <v>1</v>
      </c>
    </row>
    <row r="38" ht="24" customHeight="1" s="151">
      <c r="A38" s="76" t="inlineStr">
        <is>
          <t>14t Excavator with GPS</t>
        </is>
      </c>
      <c r="B38" s="31" t="n"/>
      <c r="C38" s="31" t="n"/>
      <c r="D38" s="31" t="n"/>
      <c r="E38" s="31" t="n"/>
      <c r="F38" s="31" t="n"/>
      <c r="G38" s="2" t="n"/>
      <c r="H38" s="2" t="n"/>
      <c r="I38" s="3" t="n"/>
    </row>
    <row r="39" ht="24" customHeight="1" s="151">
      <c r="A39" s="76" t="inlineStr">
        <is>
          <t>5t Excavator</t>
        </is>
      </c>
      <c r="B39" s="31" t="inlineStr">
        <is>
          <t>A118</t>
        </is>
      </c>
      <c r="C39" s="31" t="n">
        <v>5</v>
      </c>
      <c r="D39" s="31" t="n"/>
      <c r="E39" s="31" t="n"/>
      <c r="F39" s="31" t="n"/>
      <c r="G39" s="2" t="n"/>
      <c r="H39" s="2" t="n"/>
      <c r="I39" s="3" t="n"/>
    </row>
    <row r="40" ht="24" customHeight="1" s="151">
      <c r="A40" s="44" t="inlineStr">
        <is>
          <t>Padfoot/ Smooth Drum Roller</t>
        </is>
      </c>
      <c r="B40" s="31" t="inlineStr">
        <is>
          <t>RR 03</t>
        </is>
      </c>
      <c r="C40" s="26" t="n">
        <v>5</v>
      </c>
      <c r="D40" s="31" t="n"/>
      <c r="E40" s="31" t="n"/>
      <c r="F40" s="31" t="n"/>
      <c r="G40" s="2" t="n"/>
      <c r="H40" s="2" t="n"/>
      <c r="I40" s="3" t="n"/>
    </row>
    <row r="41" ht="24" customHeight="1" s="151">
      <c r="A41" s="44" t="inlineStr">
        <is>
          <t>Multi Roller</t>
        </is>
      </c>
      <c r="B41" s="31" t="n">
        <v>256</v>
      </c>
      <c r="C41" s="26" t="n">
        <v>5</v>
      </c>
      <c r="D41" s="31" t="n"/>
      <c r="E41" s="31" t="n"/>
      <c r="F41" s="31" t="n"/>
      <c r="G41" s="2" t="n"/>
      <c r="H41" s="2" t="n"/>
      <c r="I41" s="3" t="n"/>
    </row>
    <row r="42" ht="24" customHeight="1" s="151">
      <c r="A42" s="44" t="inlineStr">
        <is>
          <t>Positrak SSL</t>
        </is>
      </c>
      <c r="B42" s="31" t="inlineStr">
        <is>
          <t>SSL08</t>
        </is>
      </c>
      <c r="C42" s="26" t="n">
        <v>5</v>
      </c>
      <c r="D42" s="31" t="n"/>
      <c r="E42" s="31" t="n"/>
      <c r="F42" s="31" t="n"/>
      <c r="G42" s="2" t="n"/>
      <c r="H42" s="2" t="n"/>
      <c r="I42" s="3" t="n"/>
    </row>
    <row r="43" ht="24" customHeight="1" s="151">
      <c r="A43" s="44" t="inlineStr">
        <is>
          <t>Grader</t>
        </is>
      </c>
      <c r="B43" s="31" t="inlineStr">
        <is>
          <t>SLS01</t>
        </is>
      </c>
      <c r="C43" s="26" t="n">
        <v>9</v>
      </c>
      <c r="D43" s="31" t="n"/>
      <c r="E43" s="31" t="n"/>
      <c r="F43" s="31" t="n"/>
      <c r="G43" s="2" t="n"/>
      <c r="H43" s="2" t="n"/>
      <c r="I43" s="3" t="n"/>
    </row>
    <row r="44" ht="24" customHeight="1" s="151">
      <c r="A44" s="44" t="n"/>
      <c r="B44" s="31" t="n"/>
      <c r="C44" s="26" t="n"/>
      <c r="D44" s="2" t="n"/>
      <c r="E44" s="2" t="n"/>
      <c r="F44" s="2" t="n"/>
      <c r="G44" s="2" t="n"/>
      <c r="H44" s="2" t="n"/>
      <c r="I44" s="3" t="n"/>
    </row>
    <row r="45" ht="18" customHeight="1" s="151">
      <c r="A45" s="46" t="n">
        <v>3</v>
      </c>
      <c r="B45" s="128" t="inlineStr">
        <is>
          <t xml:space="preserve">Repairs Required </t>
        </is>
      </c>
      <c r="C45" s="118" t="n"/>
      <c r="D45" s="129" t="inlineStr">
        <is>
          <t>Steel Drum Roller Broken Belt, Multi Roller Required Jump Start, DPU Starter Motor Replaced</t>
        </is>
      </c>
      <c r="E45" s="159" t="n"/>
      <c r="F45" s="159" t="n"/>
      <c r="G45" s="159" t="n"/>
      <c r="H45" s="159" t="n"/>
      <c r="I45" s="160" t="n"/>
    </row>
    <row r="46" ht="18" customHeight="1" s="151">
      <c r="A46" s="47" t="n">
        <v>0</v>
      </c>
      <c r="B46" s="128" t="inlineStr">
        <is>
          <t>Scheduled Service</t>
        </is>
      </c>
      <c r="C46" s="118" t="n"/>
      <c r="D46" s="129" t="inlineStr">
        <is>
          <t>N/A</t>
        </is>
      </c>
      <c r="E46" s="159" t="n"/>
      <c r="F46" s="159" t="n"/>
      <c r="G46" s="159" t="n"/>
      <c r="H46" s="159" t="n"/>
      <c r="I46" s="160" t="n"/>
    </row>
    <row r="47" ht="18" customHeight="1" s="151">
      <c r="A47" s="48" t="n">
        <v>0</v>
      </c>
      <c r="B47" s="128" t="n"/>
      <c r="C47" s="118" t="n"/>
      <c r="D47" s="129" t="inlineStr">
        <is>
          <t>N/A</t>
        </is>
      </c>
      <c r="E47" s="159" t="n"/>
      <c r="F47" s="159" t="n"/>
      <c r="G47" s="159" t="n"/>
      <c r="H47" s="159" t="n"/>
      <c r="I47" s="160" t="n"/>
    </row>
    <row r="48" ht="23.15" customHeight="1" s="151">
      <c r="A48" s="131" t="inlineStr">
        <is>
          <t xml:space="preserve">Total Plant and Equipment Hours: </t>
        </is>
      </c>
      <c r="B48" s="118" t="n"/>
      <c r="C48" s="49">
        <f>SUM(C32:C44)</f>
        <v/>
      </c>
      <c r="D48" s="132" t="n"/>
      <c r="E48" s="159" t="n"/>
      <c r="F48" s="159" t="n"/>
      <c r="G48" s="159" t="n"/>
      <c r="H48" s="159" t="n"/>
      <c r="I48" s="160" t="n"/>
    </row>
    <row r="49" ht="26.5" customHeight="1" s="151">
      <c r="A49" s="120" t="inlineStr">
        <is>
          <t>DELAYS-OPPORTUNITY</t>
        </is>
      </c>
      <c r="B49" s="159" t="n"/>
      <c r="C49" s="159" t="n"/>
      <c r="D49" s="159" t="n"/>
      <c r="E49" s="159" t="n"/>
      <c r="F49" s="159" t="n"/>
      <c r="G49" s="159" t="n"/>
      <c r="H49" s="159" t="n"/>
      <c r="I49" s="160" t="n"/>
    </row>
    <row r="50" ht="15" customHeight="1" s="151">
      <c r="A50" s="133" t="inlineStr">
        <is>
          <t>Awaiting COGG confirmation on detail of Centrelink Carpark                             
Awaiting Kerbing Plan being Amended by TCD
Awaiting Direction on Service Clash Forrest Street
Awaiting Confirmation on Batters Treatment 
Awaiting finalised fencing details
Awaiting COGG confirmation on "Ballast Pile"
Instructions Provided for Laneway Sewer, Drainage and Light Pole Removal
COGG Advised they required individual dryback testing testing performed</t>
        </is>
      </c>
      <c r="B50" s="124" t="n"/>
      <c r="C50" s="124" t="n"/>
      <c r="D50" s="124" t="n"/>
      <c r="E50" s="124" t="n"/>
      <c r="F50" s="124" t="n"/>
      <c r="G50" s="124" t="n"/>
      <c r="H50" s="124" t="n"/>
      <c r="I50" s="125" t="n"/>
    </row>
    <row r="51" ht="29.5" customHeight="1" s="151">
      <c r="A51" s="111" t="n"/>
      <c r="I51" s="113" t="n"/>
    </row>
    <row r="52" ht="66" customHeight="1" s="151">
      <c r="A52" s="111" t="n"/>
      <c r="I52" s="113" t="n"/>
    </row>
    <row r="53" ht="80.15000000000001" customHeight="1" s="151">
      <c r="A53" s="134" t="n"/>
      <c r="B53" s="135" t="n"/>
      <c r="C53" s="135" t="n"/>
      <c r="D53" s="135" t="n"/>
      <c r="E53" s="135" t="n"/>
      <c r="F53" s="135" t="n"/>
      <c r="G53" s="135" t="n"/>
      <c r="H53" s="135" t="n"/>
      <c r="I53" s="136" t="n"/>
    </row>
    <row r="54" ht="25" customHeight="1" s="151">
      <c r="A54" s="137" t="inlineStr">
        <is>
          <t>\</t>
        </is>
      </c>
      <c r="B54" s="138" t="n"/>
      <c r="C54" s="138" t="n"/>
      <c r="D54" s="138" t="n"/>
      <c r="E54" s="138" t="n"/>
      <c r="F54" s="138" t="n"/>
      <c r="G54" s="138" t="n"/>
      <c r="H54" s="138" t="n"/>
      <c r="I54" s="139" t="n"/>
    </row>
    <row r="55" ht="18" customHeight="1" s="151">
      <c r="A55" s="53" t="inlineStr">
        <is>
          <t>TCD - Monthly Safety Focus:</t>
        </is>
      </c>
      <c r="B55" s="140" t="inlineStr">
        <is>
          <t>Underground Services</t>
        </is>
      </c>
      <c r="C55" s="159" t="n"/>
      <c r="D55" s="159" t="n"/>
      <c r="E55" s="159" t="n"/>
      <c r="F55" s="159" t="n"/>
      <c r="G55" s="159" t="n"/>
      <c r="H55" s="159" t="n"/>
      <c r="I55" s="118" t="n"/>
    </row>
    <row r="56" ht="24" customHeight="1" s="151">
      <c r="A56" s="53" t="inlineStr">
        <is>
          <t>TCD - Daily Safety Focus:</t>
        </is>
      </c>
      <c r="B56" s="141" t="inlineStr">
        <is>
          <t>SIMOPS</t>
        </is>
      </c>
      <c r="C56" s="159" t="n"/>
      <c r="D56" s="159" t="n"/>
      <c r="E56" s="159" t="n"/>
      <c r="F56" s="159" t="n"/>
      <c r="G56" s="159" t="n"/>
      <c r="H56" s="159" t="n"/>
      <c r="I56" s="160" t="n"/>
    </row>
    <row r="57" ht="18" customHeight="1" s="151">
      <c r="A57" s="54" t="inlineStr">
        <is>
          <t xml:space="preserve">Hazards Reported: </t>
        </is>
      </c>
      <c r="B57" s="55" t="inlineStr">
        <is>
          <t>Nil</t>
        </is>
      </c>
      <c r="C57" s="141" t="n"/>
      <c r="D57" s="159" t="n"/>
      <c r="E57" s="159" t="n"/>
      <c r="F57" s="159" t="n"/>
      <c r="G57" s="159" t="n"/>
      <c r="H57" s="159" t="n"/>
      <c r="I57" s="160" t="n"/>
    </row>
    <row r="58" ht="18" customHeight="1" s="151">
      <c r="A58" s="54" t="inlineStr">
        <is>
          <t>Incident Free Days</t>
        </is>
      </c>
      <c r="B58" s="55" t="n">
        <v>12</v>
      </c>
      <c r="C58" s="140" t="n"/>
      <c r="D58" s="159" t="n"/>
      <c r="E58" s="159" t="n"/>
      <c r="F58" s="159" t="n"/>
      <c r="G58" s="159" t="n"/>
      <c r="H58" s="159" t="n"/>
      <c r="I58" s="118" t="n"/>
    </row>
    <row r="59" ht="18" customHeight="1" s="151">
      <c r="A59" s="56" t="inlineStr">
        <is>
          <t>Other Notes</t>
        </is>
      </c>
      <c r="B59" s="142" t="n"/>
      <c r="C59" s="124" t="n"/>
      <c r="D59" s="124" t="n"/>
      <c r="E59" s="124" t="n"/>
      <c r="F59" s="124" t="n"/>
      <c r="G59" s="124" t="n"/>
      <c r="H59" s="124" t="n"/>
      <c r="I59" s="125" t="n"/>
    </row>
    <row r="60" ht="20.25" customHeight="1" s="151">
      <c r="A60" s="120" t="inlineStr">
        <is>
          <t xml:space="preserve">INCIDENTS &amp; REPORTS </t>
        </is>
      </c>
      <c r="B60" s="159" t="n"/>
      <c r="C60" s="159" t="n"/>
      <c r="D60" s="159" t="n"/>
      <c r="E60" s="159" t="n"/>
      <c r="F60" s="159" t="n"/>
      <c r="G60" s="159" t="n"/>
      <c r="H60" s="159" t="n"/>
      <c r="I60" s="160" t="n"/>
    </row>
    <row r="61" ht="25" customHeight="1" s="151">
      <c r="A61" s="57" t="n"/>
      <c r="B61" s="127" t="inlineStr">
        <is>
          <t>QTY</t>
        </is>
      </c>
      <c r="C61" s="130" t="inlineStr">
        <is>
          <t>Comments</t>
        </is>
      </c>
      <c r="D61" s="159" t="n"/>
      <c r="E61" s="159" t="n"/>
      <c r="F61" s="159" t="n"/>
      <c r="G61" s="159" t="n"/>
      <c r="H61" s="159" t="n"/>
      <c r="I61" s="160" t="n"/>
    </row>
    <row r="62" ht="25" customHeight="1" s="151">
      <c r="A62" s="58" t="inlineStr">
        <is>
          <t>INCIDENT</t>
        </is>
      </c>
      <c r="B62" s="127" t="n">
        <v>0</v>
      </c>
      <c r="C62" s="129" t="inlineStr">
        <is>
          <t>NA</t>
        </is>
      </c>
      <c r="D62" s="159" t="n"/>
      <c r="E62" s="159" t="n"/>
      <c r="F62" s="159" t="n"/>
      <c r="G62" s="159" t="n"/>
      <c r="H62" s="159" t="n"/>
      <c r="I62" s="160" t="n"/>
    </row>
    <row r="63" ht="25" customHeight="1" s="151">
      <c r="A63" s="59" t="inlineStr">
        <is>
          <t>IR</t>
        </is>
      </c>
      <c r="B63" s="60" t="n">
        <v>0</v>
      </c>
      <c r="C63" s="145" t="inlineStr">
        <is>
          <t>NA</t>
        </is>
      </c>
      <c r="D63" s="124" t="n"/>
      <c r="E63" s="124" t="n"/>
      <c r="F63" s="124" t="n"/>
      <c r="G63" s="124" t="n"/>
      <c r="H63" s="124" t="n"/>
      <c r="I63" s="125" t="n"/>
    </row>
    <row r="64" ht="25" customHeight="1" s="151">
      <c r="A64" s="61" t="inlineStr">
        <is>
          <t>NCR</t>
        </is>
      </c>
      <c r="B64" s="62" t="n">
        <v>0</v>
      </c>
      <c r="C64" s="146" t="inlineStr">
        <is>
          <t>NA</t>
        </is>
      </c>
      <c r="D64" s="147" t="n"/>
      <c r="E64" s="147" t="n"/>
      <c r="F64" s="147" t="n"/>
      <c r="G64" s="147" t="n"/>
      <c r="H64" s="147" t="n"/>
      <c r="I64" s="148" t="n"/>
    </row>
    <row r="65" ht="20.25" customHeight="1" s="151">
      <c r="A65" s="137" t="inlineStr">
        <is>
          <t>COMMUNICATIONS</t>
        </is>
      </c>
      <c r="B65" s="138" t="n"/>
      <c r="C65" s="138" t="n"/>
      <c r="D65" s="138" t="n"/>
      <c r="E65" s="138" t="n"/>
      <c r="F65" s="138" t="n"/>
      <c r="G65" s="138" t="n"/>
      <c r="H65" s="138" t="n"/>
      <c r="I65" s="139" t="n"/>
    </row>
    <row r="66" ht="25" customHeight="1" s="151">
      <c r="A66" s="149" t="inlineStr">
        <is>
          <t>TGS MB1119-05 Scheme D implemented</t>
        </is>
      </c>
      <c r="B66" s="159" t="n"/>
      <c r="C66" s="159" t="n"/>
      <c r="D66" s="159" t="n"/>
      <c r="E66" s="159" t="n"/>
      <c r="F66" s="159" t="n"/>
      <c r="G66" s="159" t="n"/>
      <c r="H66" s="159" t="n"/>
      <c r="I66" s="160" t="n"/>
    </row>
    <row r="67" ht="25" customHeight="1" s="151">
      <c r="A67" s="149" t="n"/>
      <c r="B67" s="159" t="n"/>
      <c r="C67" s="159" t="n"/>
      <c r="D67" s="159" t="n"/>
      <c r="E67" s="159" t="n"/>
      <c r="F67" s="159" t="n"/>
      <c r="G67" s="159" t="n"/>
      <c r="H67" s="159" t="n"/>
      <c r="I67" s="160" t="n"/>
    </row>
    <row r="68" ht="25" customHeight="1" s="151">
      <c r="A68" s="120" t="inlineStr">
        <is>
          <t>PRODUCTION (CONSTRUCTION STATUS &amp; PROGRESS)</t>
        </is>
      </c>
      <c r="B68" s="159" t="n"/>
      <c r="C68" s="159" t="n"/>
      <c r="D68" s="159" t="n"/>
      <c r="E68" s="159" t="n"/>
      <c r="F68" s="159" t="n"/>
      <c r="G68" s="159" t="n"/>
      <c r="H68" s="159" t="n"/>
      <c r="I68" s="160" t="n"/>
    </row>
    <row r="69" ht="25" customHeight="1" s="151">
      <c r="A69" s="63" t="inlineStr">
        <is>
          <t>IrrIgation Backfill@East side Lot-106 heading South</t>
        </is>
      </c>
      <c r="B69" s="64" t="n"/>
      <c r="C69" s="9" t="n"/>
      <c r="D69" s="9" t="inlineStr">
        <is>
          <t>Think-water tap into 40mm Comms for solinoids and box install</t>
        </is>
      </c>
      <c r="E69" s="9" t="n"/>
      <c r="F69" s="64" t="n"/>
      <c r="G69" s="64" t="n"/>
      <c r="H69" s="64" t="n"/>
      <c r="I69" s="65" t="n"/>
    </row>
    <row r="70" ht="25" customHeight="1" s="151">
      <c r="A70" s="63" t="inlineStr">
        <is>
          <t>IrrIgation trenching@Lot-106 heading North</t>
        </is>
      </c>
      <c r="B70" s="64" t="n"/>
      <c r="C70" s="9" t="n"/>
      <c r="D70" s="9" t="inlineStr">
        <is>
          <t xml:space="preserve">Think-water Installation of IrrIgation East side </t>
        </is>
      </c>
      <c r="E70" s="64" t="n"/>
      <c r="F70" s="64" t="n"/>
      <c r="G70" s="64" t="n"/>
      <c r="H70" s="64" t="n"/>
      <c r="I70" s="65" t="n"/>
    </row>
    <row r="71" ht="25" customHeight="1" s="151">
      <c r="A71" s="63" t="inlineStr">
        <is>
          <t>Final trimming/Balancing Lot 106 heading South</t>
        </is>
      </c>
      <c r="B71" s="64" t="n"/>
      <c r="C71" s="9" t="n"/>
      <c r="D71" s="64" t="n"/>
      <c r="E71" s="64" t="n"/>
      <c r="F71" s="64" t="n"/>
      <c r="G71" s="64" t="n"/>
      <c r="H71" s="64" t="n"/>
      <c r="I71" s="65" t="n"/>
    </row>
    <row r="72" ht="25" customHeight="1" s="151">
      <c r="A72" s="63" t="inlineStr">
        <is>
          <t>Final trimming/Balancing Chambers Way</t>
        </is>
      </c>
      <c r="B72" s="64" t="n"/>
      <c r="C72" s="9" t="n"/>
      <c r="D72" s="64" t="n"/>
      <c r="E72" s="64" t="n"/>
      <c r="F72" s="64" t="n"/>
      <c r="G72" s="64" t="n"/>
      <c r="H72" s="64" t="n"/>
      <c r="I72" s="65" t="n"/>
    </row>
    <row r="73" ht="26.15" customHeight="1" s="151">
      <c r="A73" s="123" t="inlineStr">
        <is>
          <t>Photos</t>
        </is>
      </c>
      <c r="B73" s="124" t="n"/>
      <c r="C73" s="124" t="n"/>
      <c r="D73" s="124" t="n"/>
      <c r="E73" s="124" t="n"/>
      <c r="F73" s="124" t="n"/>
      <c r="G73" s="124" t="n"/>
      <c r="H73" s="124" t="n"/>
      <c r="I73" s="125" t="n"/>
    </row>
    <row r="74" ht="23.15" customHeight="1" s="151">
      <c r="A74" s="66" t="n"/>
      <c r="B74" s="67" t="n"/>
      <c r="C74" s="67" t="n"/>
      <c r="D74" s="67" t="n"/>
      <c r="E74" s="67" t="n"/>
      <c r="F74" s="67" t="n"/>
      <c r="G74" s="67" t="n"/>
      <c r="H74" s="67" t="n"/>
      <c r="I74" s="68" t="n"/>
    </row>
    <row r="75" ht="23.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H96" s="70" t="n"/>
      <c r="I96" s="71" t="n"/>
    </row>
    <row r="97" ht="25" customFormat="1" customHeight="1" s="10">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72" t="n"/>
      <c r="B112" s="73" t="n"/>
      <c r="C112" s="73" t="n"/>
      <c r="D112" s="73" t="n"/>
      <c r="E112" s="73" t="n"/>
      <c r="F112" s="73" t="n"/>
      <c r="G112" s="73" t="n"/>
      <c r="H112" s="73" t="n"/>
      <c r="I112" s="74"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2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28"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c r="J137" s="75"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6" customHeight="1" s="151">
      <c r="A144" s="69" t="n"/>
      <c r="B144" s="70" t="n"/>
      <c r="C144" s="70" t="n"/>
      <c r="D144" s="70" t="n"/>
      <c r="E144" s="70" t="n"/>
      <c r="F144" s="70" t="n"/>
      <c r="G144" s="70" t="n"/>
      <c r="H144" s="70" t="n"/>
      <c r="I144" s="71" t="n"/>
    </row>
    <row r="145" ht="30.75" customHeight="1" s="151">
      <c r="A145" s="143" t="n"/>
      <c r="E145" s="144" t="n"/>
      <c r="I145" s="113"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ht="16" customHeight="1" s="151">
      <c r="A199" s="4" t="n"/>
      <c r="B199" s="5" t="n"/>
      <c r="C199" s="5" t="n"/>
      <c r="D199" s="5" t="n"/>
      <c r="E199" s="5" t="n"/>
      <c r="F199" s="5" t="n"/>
      <c r="G199" s="5" t="n"/>
      <c r="H199" s="5" t="n"/>
      <c r="I199" s="6" t="n"/>
    </row>
    <row r="200">
      <c r="A200" s="7" t="n"/>
      <c r="I200" s="8" t="n"/>
    </row>
    <row r="201">
      <c r="A201" s="7" t="n"/>
      <c r="I201" s="8" t="n"/>
    </row>
    <row r="202">
      <c r="A202" s="7" t="n"/>
      <c r="I202" s="8" t="n"/>
    </row>
    <row r="203">
      <c r="A203" s="7" t="n"/>
      <c r="I203" s="8" t="n"/>
    </row>
    <row r="204">
      <c r="A204" s="7" t="n"/>
      <c r="I204" s="8" t="n"/>
    </row>
    <row r="205">
      <c r="A205" s="7" t="n"/>
      <c r="I205" s="8" t="n"/>
    </row>
    <row r="206" ht="16" customHeight="1" s="151">
      <c r="A206" s="4" t="n"/>
      <c r="B206" s="5" t="n"/>
      <c r="C206" s="5" t="n"/>
      <c r="D206" s="5" t="n"/>
      <c r="E206" s="5" t="n"/>
      <c r="F206" s="5" t="n"/>
      <c r="G206" s="5" t="n"/>
      <c r="H206" s="5" t="n"/>
      <c r="I206" s="6" t="n"/>
    </row>
  </sheetData>
  <mergeCells count="40">
    <mergeCell ref="A48:B48"/>
    <mergeCell ref="C61:I61"/>
    <mergeCell ref="B47:C47"/>
    <mergeCell ref="D13:F13"/>
    <mergeCell ref="A65:I65"/>
    <mergeCell ref="A54:I54"/>
    <mergeCell ref="G13:I13"/>
    <mergeCell ref="B8:D8"/>
    <mergeCell ref="A66:I66"/>
    <mergeCell ref="B46:C46"/>
    <mergeCell ref="B59:I59"/>
    <mergeCell ref="D48:I48"/>
    <mergeCell ref="A12:I12"/>
    <mergeCell ref="C57:I57"/>
    <mergeCell ref="D47:I47"/>
    <mergeCell ref="B56:I56"/>
    <mergeCell ref="A5:I5"/>
    <mergeCell ref="B9:D9"/>
    <mergeCell ref="C62:I62"/>
    <mergeCell ref="B6:D6"/>
    <mergeCell ref="C58:I58"/>
    <mergeCell ref="A13:C13"/>
    <mergeCell ref="A68:I68"/>
    <mergeCell ref="A10:I10"/>
    <mergeCell ref="A1:I4"/>
    <mergeCell ref="C64:I64"/>
    <mergeCell ref="A67:I67"/>
    <mergeCell ref="B7:D7"/>
    <mergeCell ref="C63:I63"/>
    <mergeCell ref="A50:I53"/>
    <mergeCell ref="A73:I73"/>
    <mergeCell ref="A11:I11"/>
    <mergeCell ref="A49:I49"/>
    <mergeCell ref="D46:I46"/>
    <mergeCell ref="B55:I55"/>
    <mergeCell ref="A60:I60"/>
    <mergeCell ref="A145:D145"/>
    <mergeCell ref="B45:C45"/>
    <mergeCell ref="D45:I45"/>
    <mergeCell ref="E145:I145"/>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2" min="0" max="8" man="1"/>
  </rowBreaks>
</worksheet>
</file>

<file path=xl/worksheets/sheet3.xml><?xml version="1.0" encoding="utf-8"?>
<worksheet xmlns="http://schemas.openxmlformats.org/spreadsheetml/2006/main">
  <sheetPr>
    <outlinePr summaryBelow="1" summaryRight="1"/>
    <pageSetUpPr fitToPage="1"/>
  </sheetPr>
  <dimension ref="A1:J204"/>
  <sheetViews>
    <sheetView view="pageBreakPreview" topLeftCell="A48" zoomScale="40" zoomScaleNormal="55" zoomScaleSheetLayoutView="40" workbookViewId="0">
      <selection activeCell="C63" sqref="C63:I6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45903</v>
      </c>
    </row>
    <row r="7" ht="23.15" customHeight="1" s="151">
      <c r="A7" s="11" t="inlineStr">
        <is>
          <t>Project Location:</t>
        </is>
      </c>
      <c r="B7" s="119" t="inlineStr">
        <is>
          <t>Geraldton</t>
        </is>
      </c>
      <c r="E7" s="119" t="n"/>
      <c r="F7" s="13" t="n"/>
      <c r="G7" s="13" t="n"/>
      <c r="H7" s="16" t="inlineStr">
        <is>
          <t>Day:</t>
        </is>
      </c>
      <c r="I7" s="17" t="inlineStr">
        <is>
          <t>Wednesday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98</v>
      </c>
      <c r="C9" s="107" t="n"/>
      <c r="D9" s="107" t="n"/>
      <c r="E9" s="106" t="n"/>
      <c r="F9" s="20" t="n"/>
      <c r="G9" s="20" t="n"/>
      <c r="H9" s="16" t="inlineStr">
        <is>
          <t>Finish:</t>
        </is>
      </c>
      <c r="I9" s="18" t="n">
        <v>0.7708333333333334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21 degrees  Wind:  46km/h SW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v>12</v>
      </c>
      <c r="G15" s="29" t="inlineStr">
        <is>
          <t>Khegan Brockman</t>
        </is>
      </c>
      <c r="H15" s="26" t="inlineStr">
        <is>
          <t>Labourer</t>
        </is>
      </c>
      <c r="I15" s="30" t="n">
        <v>11</v>
      </c>
    </row>
    <row r="16" ht="23.15" customHeight="1" s="151">
      <c r="A16" s="25" t="inlineStr">
        <is>
          <t>GRIFFITHS, Daniel</t>
        </is>
      </c>
      <c r="B16" s="26" t="inlineStr">
        <is>
          <t>Project Manager</t>
        </is>
      </c>
      <c r="C16" s="31" t="n">
        <v>12.5</v>
      </c>
      <c r="D16" s="29" t="inlineStr">
        <is>
          <t>Hanly,Thomas</t>
        </is>
      </c>
      <c r="E16" s="26" t="inlineStr">
        <is>
          <t>Operator</t>
        </is>
      </c>
      <c r="F16" s="26" t="n">
        <v>12</v>
      </c>
      <c r="G16" s="29" t="inlineStr">
        <is>
          <t>Daniel McAuffile</t>
        </is>
      </c>
      <c r="H16" s="26" t="inlineStr">
        <is>
          <t>Operator</t>
        </is>
      </c>
      <c r="I16" s="30" t="n">
        <v>11</v>
      </c>
    </row>
    <row r="17" ht="23.15" customHeight="1" s="151">
      <c r="A17" s="25" t="inlineStr">
        <is>
          <t>O"SHEA, John</t>
        </is>
      </c>
      <c r="B17" s="26" t="inlineStr">
        <is>
          <t>Senior Project Engineer</t>
        </is>
      </c>
      <c r="C17" s="31" t="n">
        <v>12</v>
      </c>
      <c r="D17" s="32" t="n"/>
      <c r="E17" s="32" t="n"/>
      <c r="F17" s="26" t="n"/>
      <c r="G17" s="29" t="inlineStr">
        <is>
          <t>Jachai Griffiths</t>
        </is>
      </c>
      <c r="H17" s="26" t="inlineStr">
        <is>
          <t>Operator</t>
        </is>
      </c>
      <c r="I17" s="30" t="n"/>
    </row>
    <row r="18" ht="23.15" customHeight="1" s="151">
      <c r="A18" s="25" t="inlineStr">
        <is>
          <t>GRIFFITHS, Ashley</t>
        </is>
      </c>
      <c r="B18" s="26" t="inlineStr">
        <is>
          <t>Supervisor</t>
        </is>
      </c>
      <c r="C18" s="31" t="n"/>
      <c r="D18" s="28" t="n"/>
      <c r="E18" s="28" t="n"/>
      <c r="F18" s="26" t="n"/>
      <c r="G18" s="29" t="inlineStr">
        <is>
          <t>O'Brian, Jamie</t>
        </is>
      </c>
      <c r="H18" s="26" t="inlineStr">
        <is>
          <t>Operator</t>
        </is>
      </c>
      <c r="I18" s="30" t="n">
        <v>11.5</v>
      </c>
    </row>
    <row r="19" ht="23.15" customHeight="1" s="151">
      <c r="A19" s="25" t="inlineStr">
        <is>
          <t>LOW, June</t>
        </is>
      </c>
      <c r="B19" s="26" t="inlineStr">
        <is>
          <t>HSET</t>
        </is>
      </c>
      <c r="C19" s="31" t="n"/>
      <c r="D19" s="28" t="n"/>
      <c r="E19" s="28" t="n"/>
      <c r="F19" s="26" t="n"/>
      <c r="G19" s="29" t="inlineStr">
        <is>
          <t>O'Reilly,Sean</t>
        </is>
      </c>
      <c r="H19" s="26" t="inlineStr">
        <is>
          <t>Operator</t>
        </is>
      </c>
      <c r="I19" s="30" t="n">
        <v>6</v>
      </c>
    </row>
    <row r="20" ht="23.15" customHeight="1" s="151">
      <c r="A20" s="25" t="inlineStr">
        <is>
          <t>SKINNER,Jamie</t>
        </is>
      </c>
      <c r="B20" s="26" t="inlineStr">
        <is>
          <t>Supervisor</t>
        </is>
      </c>
      <c r="C20" s="31" t="n">
        <v>12.5</v>
      </c>
      <c r="D20" s="28" t="n"/>
      <c r="E20" s="28" t="n"/>
      <c r="F20" s="26" t="n"/>
      <c r="G20" s="29" t="inlineStr">
        <is>
          <t>Dixon, Warren</t>
        </is>
      </c>
      <c r="H20" s="26" t="inlineStr">
        <is>
          <t>Irrigation Installer</t>
        </is>
      </c>
      <c r="I20" s="30" t="n"/>
    </row>
    <row r="21" ht="23.15" customHeight="1" s="151">
      <c r="A21" s="25" t="n"/>
      <c r="B21" s="26" t="n"/>
      <c r="C21" s="31" t="n"/>
      <c r="D21" s="28" t="n"/>
      <c r="E21" s="28" t="n"/>
      <c r="F21" s="26" t="n"/>
      <c r="G21" s="29" t="inlineStr">
        <is>
          <t>Mosley,Joshua</t>
        </is>
      </c>
      <c r="H21" s="26" t="inlineStr">
        <is>
          <t>Surveyor</t>
        </is>
      </c>
      <c r="I21" s="30" t="n">
        <v>6</v>
      </c>
    </row>
    <row r="22" ht="23.15" customHeight="1" s="151">
      <c r="A22" s="25" t="n"/>
      <c r="B22" s="26" t="n"/>
      <c r="C22" s="31" t="n"/>
      <c r="D22" s="28" t="n"/>
      <c r="E22" s="28" t="n"/>
      <c r="F22" s="26" t="n"/>
      <c r="G22" s="29" t="inlineStr">
        <is>
          <t>Vac Truck</t>
        </is>
      </c>
      <c r="H22" s="26" t="inlineStr">
        <is>
          <t>Vacwest</t>
        </is>
      </c>
      <c r="I22" s="30" t="n">
        <v>1</v>
      </c>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77" t="n"/>
      <c r="H24" s="77" t="n"/>
      <c r="I24" s="36" t="n"/>
    </row>
    <row r="25" ht="23.15" customHeight="1" s="151">
      <c r="A25" s="131" t="inlineStr">
        <is>
          <t xml:space="preserve">Total Indirect Personnel onsite: </t>
        </is>
      </c>
      <c r="B25" s="34">
        <f>COUNT(C15:C25)</f>
        <v/>
      </c>
      <c r="C25" s="28" t="n"/>
      <c r="D25" s="28" t="n"/>
      <c r="E25" s="28" t="n"/>
      <c r="F25" s="26" t="n"/>
      <c r="G25" s="78" t="n"/>
      <c r="H25" s="77" t="n"/>
      <c r="I25" s="30" t="n"/>
    </row>
    <row r="26" ht="23.15" customHeight="1" s="151">
      <c r="A26" s="131" t="inlineStr">
        <is>
          <t xml:space="preserve">Total Indirect Personnel hours: </t>
        </is>
      </c>
      <c r="B26" s="34">
        <f>SUM(C15:C24)</f>
        <v/>
      </c>
      <c r="C26" s="31" t="n"/>
      <c r="D26" s="28" t="n"/>
      <c r="E26" s="28" t="n"/>
      <c r="F26" s="26" t="n"/>
      <c r="G26" s="35" t="inlineStr">
        <is>
          <t>Total Subcontractor on-site:</t>
        </is>
      </c>
      <c r="H26" s="36">
        <f>COUNT(I15:I24)</f>
        <v/>
      </c>
      <c r="I26" s="30" t="n"/>
    </row>
    <row r="27" ht="23.15" customHeight="1" s="151">
      <c r="A27" s="131" t="inlineStr">
        <is>
          <t xml:space="preserve">Total Direct Personnel onsite:  </t>
        </is>
      </c>
      <c r="B27" s="34">
        <f>COUNTIF(F15:F28,"&gt;0")</f>
        <v/>
      </c>
      <c r="C27" s="34" t="n"/>
      <c r="D27" s="28" t="n"/>
      <c r="E27" s="28" t="n"/>
      <c r="F27" s="37" t="n"/>
      <c r="G27" s="35" t="inlineStr">
        <is>
          <t>Total Subcontractor hours:</t>
        </is>
      </c>
      <c r="H27" s="36">
        <f>SUM(I15:I24)</f>
        <v/>
      </c>
      <c r="I27" s="130" t="n"/>
    </row>
    <row r="28" ht="23.15" customHeight="1" s="151">
      <c r="A28" s="131" t="inlineStr">
        <is>
          <t xml:space="preserve">Total Direct Personnel hours: </t>
        </is>
      </c>
      <c r="B28" s="34">
        <f>SUM(F15:F28)</f>
        <v/>
      </c>
      <c r="C28" s="34" t="n"/>
      <c r="D28" s="34" t="n"/>
      <c r="E28" s="34" t="n"/>
      <c r="F28" s="34" t="n"/>
      <c r="G28" s="34" t="n"/>
      <c r="H28" s="34" t="n"/>
      <c r="I28" s="130" t="n"/>
    </row>
    <row r="29" ht="25" customHeight="1" s="151">
      <c r="A29" s="39" t="inlineStr">
        <is>
          <t>PLANT &amp; EQUIPMENT</t>
        </is>
      </c>
      <c r="B29" s="40" t="n"/>
      <c r="C29" s="40" t="n"/>
      <c r="D29" s="40" t="n"/>
      <c r="E29" s="40" t="n"/>
      <c r="F29" s="40" t="n"/>
      <c r="G29" s="40" t="n"/>
      <c r="H29" s="40" t="n"/>
      <c r="I29" s="41" t="n"/>
    </row>
    <row r="30" ht="24" customHeight="1" s="151">
      <c r="A30" s="126" t="inlineStr">
        <is>
          <t>Plant</t>
        </is>
      </c>
      <c r="B30" s="127" t="inlineStr">
        <is>
          <t>ID</t>
        </is>
      </c>
      <c r="C30" s="127" t="inlineStr">
        <is>
          <t>Hours</t>
        </is>
      </c>
      <c r="D30" s="127" t="inlineStr">
        <is>
          <t xml:space="preserve"> Vehicles</t>
        </is>
      </c>
      <c r="E30" s="127" t="inlineStr">
        <is>
          <t>ID</t>
        </is>
      </c>
      <c r="F30" s="127" t="inlineStr">
        <is>
          <t>QTY</t>
        </is>
      </c>
      <c r="G30" s="42" t="inlineStr">
        <is>
          <t>Site Facilities</t>
        </is>
      </c>
      <c r="H30" s="42" t="inlineStr">
        <is>
          <t>ID</t>
        </is>
      </c>
      <c r="I30" s="43" t="inlineStr">
        <is>
          <t>Qty</t>
        </is>
      </c>
    </row>
    <row r="31" ht="23.15" customHeight="1" s="151">
      <c r="A31" s="25" t="inlineStr">
        <is>
          <t>Komatsu WA320</t>
        </is>
      </c>
      <c r="B31" s="26" t="inlineStr">
        <is>
          <t>FWL18</t>
        </is>
      </c>
      <c r="C31" s="26" t="n">
        <v>5</v>
      </c>
      <c r="D31" s="31" t="inlineStr">
        <is>
          <t>Hilux</t>
        </is>
      </c>
      <c r="E31" s="31" t="inlineStr">
        <is>
          <t>DLV90</t>
        </is>
      </c>
      <c r="F31" s="31" t="n">
        <v>1</v>
      </c>
      <c r="G31" s="31" t="inlineStr">
        <is>
          <t>Office 40ft</t>
        </is>
      </c>
      <c r="H31" s="31" t="n">
        <v>9255540</v>
      </c>
      <c r="I31" s="30" t="n">
        <v>1</v>
      </c>
    </row>
    <row r="32" ht="23.15" customHeight="1" s="151">
      <c r="A32" s="25" t="inlineStr">
        <is>
          <t>Wacker Neuson DPU</t>
        </is>
      </c>
      <c r="B32" s="26" t="inlineStr">
        <is>
          <t>DPC15</t>
        </is>
      </c>
      <c r="C32" s="26" t="n"/>
      <c r="D32" s="31" t="inlineStr">
        <is>
          <t>Hilux</t>
        </is>
      </c>
      <c r="E32" s="31" t="inlineStr">
        <is>
          <t>1DAH:400</t>
        </is>
      </c>
      <c r="F32" s="31" t="n">
        <v>1</v>
      </c>
      <c r="G32" s="31" t="inlineStr">
        <is>
          <t>Sea Container 20ft</t>
        </is>
      </c>
      <c r="H32" s="26" t="n">
        <v>951200</v>
      </c>
      <c r="I32" s="30" t="n">
        <v>1</v>
      </c>
    </row>
    <row r="33" ht="23.15" customHeight="1" s="151">
      <c r="A33" s="44" t="inlineStr">
        <is>
          <t>Watercart</t>
        </is>
      </c>
      <c r="B33" s="31" t="inlineStr">
        <is>
          <t>WC04</t>
        </is>
      </c>
      <c r="C33" s="26" t="n">
        <v>10</v>
      </c>
      <c r="D33" s="31" t="n"/>
      <c r="E33" s="26" t="n"/>
      <c r="F33" s="31" t="n"/>
      <c r="G33" s="31" t="inlineStr">
        <is>
          <t>Site Sentry Tower</t>
        </is>
      </c>
      <c r="H33" s="31" t="n"/>
      <c r="I33" s="30" t="n">
        <v>2</v>
      </c>
    </row>
    <row r="34" ht="23.15" customHeight="1" s="151">
      <c r="A34" s="44" t="inlineStr">
        <is>
          <t>8T Excavator</t>
        </is>
      </c>
      <c r="B34" s="45" t="inlineStr">
        <is>
          <t>AMG 014</t>
        </is>
      </c>
      <c r="C34" s="26" t="n"/>
      <c r="D34" s="31" t="n"/>
      <c r="E34" s="31" t="n"/>
      <c r="F34" s="31" t="n"/>
      <c r="G34" s="31" t="inlineStr">
        <is>
          <t>Skip Bin</t>
        </is>
      </c>
      <c r="H34" s="31" t="n"/>
      <c r="I34" s="30" t="n">
        <v>1</v>
      </c>
    </row>
    <row r="35" ht="23.15" customHeight="1" s="151">
      <c r="A35" s="31" t="inlineStr">
        <is>
          <t>Mini Tipper</t>
        </is>
      </c>
      <c r="B35" s="31" t="inlineStr">
        <is>
          <t>SLS05</t>
        </is>
      </c>
      <c r="C35" s="31" t="n"/>
      <c r="D35" s="31" t="n"/>
      <c r="E35" s="31" t="n"/>
      <c r="F35" s="31" t="n"/>
      <c r="G35" s="31" t="inlineStr">
        <is>
          <t>Hydrocarbon Bund</t>
        </is>
      </c>
      <c r="H35" s="31" t="n"/>
      <c r="I35" s="30" t="n">
        <v>1</v>
      </c>
    </row>
    <row r="36" ht="23.15" customHeight="1" s="151">
      <c r="A36" s="76" t="inlineStr">
        <is>
          <t>1 t Excavator</t>
        </is>
      </c>
      <c r="B36" s="31" t="inlineStr">
        <is>
          <t>SLS03</t>
        </is>
      </c>
      <c r="C36" s="31" t="n"/>
      <c r="D36" s="31" t="n"/>
      <c r="E36" s="31" t="n"/>
      <c r="F36" s="31" t="n"/>
      <c r="G36" s="31" t="inlineStr">
        <is>
          <t>Temp Fence</t>
        </is>
      </c>
      <c r="H36" s="26" t="n"/>
      <c r="I36" s="30" t="n">
        <v>1</v>
      </c>
    </row>
    <row r="37" ht="24" customHeight="1" s="151">
      <c r="A37" s="76" t="inlineStr">
        <is>
          <t>14t Excavator with GPS</t>
        </is>
      </c>
      <c r="B37" s="31" t="inlineStr">
        <is>
          <t>EX153</t>
        </is>
      </c>
      <c r="C37" s="31" t="n">
        <v>5</v>
      </c>
      <c r="D37" s="31" t="n"/>
      <c r="E37" s="31" t="n"/>
      <c r="F37" s="31" t="n"/>
      <c r="G37" s="2" t="n"/>
      <c r="H37" s="2" t="n"/>
      <c r="I37" s="3" t="n"/>
    </row>
    <row r="38" ht="24" customHeight="1" s="151">
      <c r="A38" s="76" t="inlineStr">
        <is>
          <t>5t Excavator</t>
        </is>
      </c>
      <c r="B38" s="31" t="inlineStr">
        <is>
          <t>A118</t>
        </is>
      </c>
      <c r="C38" s="31" t="n"/>
      <c r="D38" s="31" t="n"/>
      <c r="E38" s="31" t="n"/>
      <c r="F38" s="31" t="n"/>
      <c r="G38" s="2" t="n"/>
      <c r="H38" s="2" t="n"/>
      <c r="I38" s="3" t="n"/>
    </row>
    <row r="39" ht="24" customHeight="1" s="151">
      <c r="A39" s="44" t="inlineStr">
        <is>
          <t>Padfoot/ Smooth Drum Roller</t>
        </is>
      </c>
      <c r="B39" s="31" t="inlineStr">
        <is>
          <t>RR 03</t>
        </is>
      </c>
      <c r="C39" s="26" t="n">
        <v>5</v>
      </c>
      <c r="D39" s="31" t="n"/>
      <c r="E39" s="31" t="n"/>
      <c r="F39" s="31" t="n"/>
      <c r="G39" s="2" t="n"/>
      <c r="H39" s="2" t="n"/>
      <c r="I39" s="3" t="n"/>
    </row>
    <row r="40" ht="24" customHeight="1" s="151">
      <c r="A40" s="44" t="inlineStr">
        <is>
          <t>Multi Roller</t>
        </is>
      </c>
      <c r="B40" s="31" t="n">
        <v>256</v>
      </c>
      <c r="C40" s="26" t="n">
        <v>5</v>
      </c>
      <c r="D40" s="31" t="n"/>
      <c r="E40" s="31" t="n"/>
      <c r="F40" s="31" t="n"/>
      <c r="G40" s="2" t="n"/>
      <c r="H40" s="2" t="n"/>
      <c r="I40" s="3" t="n"/>
    </row>
    <row r="41" ht="24" customHeight="1" s="151">
      <c r="A41" s="44" t="inlineStr">
        <is>
          <t>Positrak SSL</t>
        </is>
      </c>
      <c r="B41" s="31" t="inlineStr">
        <is>
          <t>SSL08</t>
        </is>
      </c>
      <c r="C41" s="26" t="n">
        <v>5</v>
      </c>
      <c r="D41" s="31" t="n"/>
      <c r="E41" s="31" t="n"/>
      <c r="F41" s="31" t="n"/>
      <c r="G41" s="2" t="n"/>
      <c r="H41" s="2" t="n"/>
      <c r="I41" s="3" t="n"/>
    </row>
    <row r="42" ht="24" customHeight="1" s="151">
      <c r="A42" s="44" t="inlineStr">
        <is>
          <t>Grader</t>
        </is>
      </c>
      <c r="B42" s="31" t="inlineStr">
        <is>
          <t>SLS01</t>
        </is>
      </c>
      <c r="C42" s="26" t="n"/>
      <c r="D42" s="31" t="n"/>
      <c r="E42" s="31" t="n"/>
      <c r="F42" s="31" t="n"/>
      <c r="G42" s="2" t="n"/>
      <c r="H42" s="2" t="n"/>
      <c r="I42" s="3" t="n"/>
    </row>
    <row r="43" ht="24" customHeight="1" s="151">
      <c r="A43" s="44" t="n"/>
      <c r="B43" s="31" t="n"/>
      <c r="C43" s="26" t="n"/>
      <c r="D43" s="2" t="n"/>
      <c r="E43" s="2" t="n"/>
      <c r="F43" s="2" t="n"/>
      <c r="G43" s="2" t="n"/>
      <c r="H43" s="2" t="n"/>
      <c r="I43" s="3" t="n"/>
    </row>
    <row r="44" ht="18" customHeight="1" s="151">
      <c r="A44" s="46" t="n">
        <v>0</v>
      </c>
      <c r="B44" s="128" t="inlineStr">
        <is>
          <t xml:space="preserve">Repairs Required </t>
        </is>
      </c>
      <c r="C44" s="118" t="n"/>
      <c r="D44" s="129" t="inlineStr">
        <is>
          <t>N/A</t>
        </is>
      </c>
      <c r="E44" s="159" t="n"/>
      <c r="F44" s="159" t="n"/>
      <c r="G44" s="159" t="n"/>
      <c r="H44" s="159" t="n"/>
      <c r="I44" s="160" t="n"/>
    </row>
    <row r="45" ht="18" customHeight="1" s="151">
      <c r="A45" s="47" t="n">
        <v>0</v>
      </c>
      <c r="B45" s="128" t="inlineStr">
        <is>
          <t>Scheduled Service</t>
        </is>
      </c>
      <c r="C45" s="118" t="n"/>
      <c r="D45" s="129" t="inlineStr">
        <is>
          <t>N/A</t>
        </is>
      </c>
      <c r="E45" s="159" t="n"/>
      <c r="F45" s="159" t="n"/>
      <c r="G45" s="159" t="n"/>
      <c r="H45" s="159" t="n"/>
      <c r="I45" s="160" t="n"/>
    </row>
    <row r="46" ht="18" customHeight="1" s="151">
      <c r="A46" s="48" t="n">
        <v>0</v>
      </c>
      <c r="B46" s="128" t="n"/>
      <c r="C46" s="118" t="n"/>
      <c r="D46" s="129" t="inlineStr">
        <is>
          <t>N/A</t>
        </is>
      </c>
      <c r="E46" s="159" t="n"/>
      <c r="F46" s="159" t="n"/>
      <c r="G46" s="159" t="n"/>
      <c r="H46" s="159" t="n"/>
      <c r="I46" s="160" t="n"/>
    </row>
    <row r="47" ht="23.15" customHeight="1" s="151">
      <c r="A47" s="131" t="inlineStr">
        <is>
          <t xml:space="preserve">Total Plant and Equipment Hours: </t>
        </is>
      </c>
      <c r="B47" s="118" t="n"/>
      <c r="C47" s="49">
        <f>SUM(C31:C43)</f>
        <v/>
      </c>
      <c r="D47" s="132" t="n"/>
      <c r="E47" s="159" t="n"/>
      <c r="F47" s="159" t="n"/>
      <c r="G47" s="159" t="n"/>
      <c r="H47" s="159" t="n"/>
      <c r="I47" s="160" t="n"/>
    </row>
    <row r="48" ht="25" customHeight="1" s="151">
      <c r="A48" s="120" t="inlineStr">
        <is>
          <t>DELAYS-OPPORTUNITY</t>
        </is>
      </c>
      <c r="B48" s="159" t="n"/>
      <c r="C48" s="159" t="n"/>
      <c r="D48" s="159" t="n"/>
      <c r="E48" s="159" t="n"/>
      <c r="F48" s="159" t="n"/>
      <c r="G48" s="159" t="n"/>
      <c r="H48" s="159" t="n"/>
      <c r="I48" s="160" t="n"/>
    </row>
    <row r="49" ht="20.15" customHeight="1" s="151">
      <c r="A49" s="50" t="n"/>
      <c r="B49" s="51" t="n"/>
      <c r="C49" s="51" t="n"/>
      <c r="D49" s="51" t="n"/>
      <c r="E49" s="51" t="n"/>
      <c r="F49" s="51" t="n"/>
      <c r="G49" s="51" t="n"/>
      <c r="H49" s="51" t="n"/>
      <c r="I49" s="52" t="n"/>
    </row>
    <row r="50" ht="15" customHeight="1" s="151">
      <c r="A50" s="133" t="inlineStr">
        <is>
          <t>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t>
        </is>
      </c>
      <c r="B50" s="124" t="n"/>
      <c r="C50" s="124" t="n"/>
      <c r="D50" s="124" t="n"/>
      <c r="E50" s="124" t="n"/>
      <c r="F50" s="124" t="n"/>
      <c r="G50" s="124" t="n"/>
      <c r="H50" s="124" t="n"/>
      <c r="I50" s="125" t="n"/>
    </row>
    <row r="51">
      <c r="A51" s="111" t="n"/>
      <c r="I51" s="113" t="n"/>
    </row>
    <row r="52" ht="49.5" customHeight="1" s="151">
      <c r="A52" s="111" t="n"/>
      <c r="I52" s="113" t="n"/>
    </row>
    <row r="53" ht="80.15000000000001" customHeight="1" s="151">
      <c r="A53" s="134" t="n"/>
      <c r="B53" s="135" t="n"/>
      <c r="C53" s="135" t="n"/>
      <c r="D53" s="135" t="n"/>
      <c r="E53" s="135" t="n"/>
      <c r="F53" s="135" t="n"/>
      <c r="G53" s="135" t="n"/>
      <c r="H53" s="135" t="n"/>
      <c r="I53" s="136" t="n"/>
    </row>
    <row r="54" ht="25" customHeight="1" s="151">
      <c r="A54" s="137" t="inlineStr">
        <is>
          <t>HSEQ MESSAGES</t>
        </is>
      </c>
      <c r="B54" s="138" t="n"/>
      <c r="C54" s="138" t="n"/>
      <c r="D54" s="138" t="n"/>
      <c r="E54" s="138" t="n"/>
      <c r="F54" s="138" t="n"/>
      <c r="G54" s="138" t="n"/>
      <c r="H54" s="138" t="n"/>
      <c r="I54" s="139" t="n"/>
    </row>
    <row r="55" ht="18" customHeight="1" s="151">
      <c r="A55" s="53" t="inlineStr">
        <is>
          <t>TCD - Monthly Safety Focus:</t>
        </is>
      </c>
      <c r="B55" s="140" t="inlineStr">
        <is>
          <t>Underground Services</t>
        </is>
      </c>
      <c r="C55" s="159" t="n"/>
      <c r="D55" s="159" t="n"/>
      <c r="E55" s="159" t="n"/>
      <c r="F55" s="159" t="n"/>
      <c r="G55" s="159" t="n"/>
      <c r="H55" s="159" t="n"/>
      <c r="I55" s="118" t="n"/>
    </row>
    <row r="56" ht="24" customHeight="1" s="151">
      <c r="A56" s="53" t="inlineStr">
        <is>
          <t>TCD - Daily Safety Focus:</t>
        </is>
      </c>
      <c r="B56" s="141" t="inlineStr">
        <is>
          <t>PositIve Comms</t>
        </is>
      </c>
      <c r="C56" s="159" t="n"/>
      <c r="D56" s="159" t="n"/>
      <c r="E56" s="159" t="n"/>
      <c r="F56" s="159" t="n"/>
      <c r="G56" s="159" t="n"/>
      <c r="H56" s="159" t="n"/>
      <c r="I56" s="160" t="n"/>
    </row>
    <row r="57" ht="18" customHeight="1" s="151">
      <c r="A57" s="54" t="inlineStr">
        <is>
          <t xml:space="preserve">Hazards Reported: </t>
        </is>
      </c>
      <c r="B57" s="55" t="inlineStr">
        <is>
          <t>Nil</t>
        </is>
      </c>
      <c r="C57" s="141" t="n"/>
      <c r="D57" s="159" t="n"/>
      <c r="E57" s="159" t="n"/>
      <c r="F57" s="159" t="n"/>
      <c r="G57" s="159" t="n"/>
      <c r="H57" s="159" t="n"/>
      <c r="I57" s="160" t="n"/>
    </row>
    <row r="58" ht="18" customHeight="1" s="151">
      <c r="A58" s="54" t="inlineStr">
        <is>
          <t>Incident Free Days</t>
        </is>
      </c>
      <c r="B58" s="55" t="n">
        <v>13</v>
      </c>
      <c r="C58" s="140" t="n"/>
      <c r="D58" s="159" t="n"/>
      <c r="E58" s="159" t="n"/>
      <c r="F58" s="159" t="n"/>
      <c r="G58" s="159" t="n"/>
      <c r="H58" s="159" t="n"/>
      <c r="I58" s="118" t="n"/>
    </row>
    <row r="59" ht="18" customHeight="1" s="151">
      <c r="A59" s="56" t="inlineStr">
        <is>
          <t>Other Notes</t>
        </is>
      </c>
      <c r="B59" s="142" t="n"/>
      <c r="C59" s="124" t="n"/>
      <c r="D59" s="124" t="n"/>
      <c r="E59" s="124" t="n"/>
      <c r="F59" s="124" t="n"/>
      <c r="G59" s="124" t="n"/>
      <c r="H59" s="124" t="n"/>
      <c r="I59" s="125" t="n"/>
    </row>
    <row r="60" ht="20.25" customHeight="1" s="151">
      <c r="A60" s="120" t="inlineStr">
        <is>
          <t xml:space="preserve">INCIDENTS &amp; REPORTS </t>
        </is>
      </c>
      <c r="B60" s="159" t="n"/>
      <c r="C60" s="159" t="n"/>
      <c r="D60" s="159" t="n"/>
      <c r="E60" s="159" t="n"/>
      <c r="F60" s="159" t="n"/>
      <c r="G60" s="159" t="n"/>
      <c r="H60" s="159" t="n"/>
      <c r="I60" s="160" t="n"/>
    </row>
    <row r="61" ht="25" customHeight="1" s="151">
      <c r="A61" s="57" t="n"/>
      <c r="B61" s="127" t="inlineStr">
        <is>
          <t>QTY</t>
        </is>
      </c>
      <c r="C61" s="130" t="inlineStr">
        <is>
          <t>Comments</t>
        </is>
      </c>
      <c r="D61" s="159" t="n"/>
      <c r="E61" s="159" t="n"/>
      <c r="F61" s="159" t="n"/>
      <c r="G61" s="159" t="n"/>
      <c r="H61" s="159" t="n"/>
      <c r="I61" s="160" t="n"/>
    </row>
    <row r="62" ht="25" customHeight="1" s="151">
      <c r="A62" s="58" t="inlineStr">
        <is>
          <t>INCIDENT</t>
        </is>
      </c>
      <c r="B62" s="127" t="n">
        <v>0</v>
      </c>
      <c r="C62" s="129" t="inlineStr">
        <is>
          <t>NA</t>
        </is>
      </c>
      <c r="D62" s="159" t="n"/>
      <c r="E62" s="159" t="n"/>
      <c r="F62" s="159" t="n"/>
      <c r="G62" s="159" t="n"/>
      <c r="H62" s="159" t="n"/>
      <c r="I62" s="160" t="n"/>
    </row>
    <row r="63" ht="25" customHeight="1" s="151">
      <c r="A63" s="59" t="inlineStr">
        <is>
          <t>IR</t>
        </is>
      </c>
      <c r="B63" s="60" t="n">
        <v>0</v>
      </c>
      <c r="C63" s="145" t="inlineStr">
        <is>
          <t>NA</t>
        </is>
      </c>
      <c r="D63" s="124" t="n"/>
      <c r="E63" s="124" t="n"/>
      <c r="F63" s="124" t="n"/>
      <c r="G63" s="124" t="n"/>
      <c r="H63" s="124" t="n"/>
      <c r="I63" s="125" t="n"/>
    </row>
    <row r="64" ht="25" customHeight="1" s="151">
      <c r="A64" s="61" t="inlineStr">
        <is>
          <t>NCR</t>
        </is>
      </c>
      <c r="B64" s="62" t="n">
        <v>0</v>
      </c>
      <c r="C64" s="146" t="inlineStr">
        <is>
          <t>NA</t>
        </is>
      </c>
      <c r="D64" s="147" t="n"/>
      <c r="E64" s="147" t="n"/>
      <c r="F64" s="147" t="n"/>
      <c r="G64" s="147" t="n"/>
      <c r="H64" s="147" t="n"/>
      <c r="I64" s="148" t="n"/>
    </row>
    <row r="65" ht="20.25" customHeight="1" s="151">
      <c r="A65" s="137" t="inlineStr">
        <is>
          <t>COMMUNICATIONS</t>
        </is>
      </c>
      <c r="B65" s="138" t="n"/>
      <c r="C65" s="138" t="n"/>
      <c r="D65" s="138" t="n"/>
      <c r="E65" s="138" t="n"/>
      <c r="F65" s="138" t="n"/>
      <c r="G65" s="138" t="n"/>
      <c r="H65" s="138" t="n"/>
      <c r="I65" s="139" t="n"/>
    </row>
    <row r="66" ht="25" customHeight="1" s="151">
      <c r="A66" s="149" t="inlineStr">
        <is>
          <t>TGS MB1119-05 Scheme D impletmented</t>
        </is>
      </c>
      <c r="B66" s="159" t="n"/>
      <c r="C66" s="159" t="n"/>
      <c r="D66" s="159" t="n"/>
      <c r="E66" s="159" t="n"/>
      <c r="F66" s="159" t="n"/>
      <c r="G66" s="159" t="n"/>
      <c r="H66" s="159" t="n"/>
      <c r="I66" s="160" t="n"/>
    </row>
    <row r="67" ht="25" customHeight="1" s="151">
      <c r="A67" s="149" t="n"/>
      <c r="B67" s="159" t="n"/>
      <c r="C67" s="159" t="n"/>
      <c r="D67" s="159" t="n"/>
      <c r="E67" s="159" t="n"/>
      <c r="F67" s="159" t="n"/>
      <c r="G67" s="159" t="n"/>
      <c r="H67" s="159" t="n"/>
      <c r="I67" s="160" t="n"/>
    </row>
    <row r="68" ht="25" customHeight="1" s="151" thickBot="1">
      <c r="A68" s="123" t="inlineStr">
        <is>
          <t>PRODUCTION (CONSTRUCTION STATUS &amp; PROGRESS)</t>
        </is>
      </c>
      <c r="B68" s="124" t="n"/>
      <c r="C68" s="124" t="n"/>
      <c r="D68" s="124" t="n"/>
      <c r="E68" s="124" t="n"/>
      <c r="F68" s="124" t="n"/>
      <c r="G68" s="124" t="n"/>
      <c r="H68" s="124" t="n"/>
      <c r="I68" s="125" t="n"/>
    </row>
    <row r="69" ht="25" customHeight="1" s="151">
      <c r="A69" s="84" t="inlineStr">
        <is>
          <t>Installation of x2 25mm and x2 50mm sleeves into garden beds</t>
        </is>
      </c>
      <c r="B69" s="85" t="n"/>
      <c r="C69" s="86" t="n"/>
      <c r="D69" s="86" t="inlineStr">
        <is>
          <t xml:space="preserve">Survey Ascon of entire road surface </t>
        </is>
      </c>
      <c r="E69" s="86" t="n"/>
      <c r="F69" s="85" t="n"/>
      <c r="G69" s="85" t="n"/>
      <c r="H69" s="85" t="n"/>
      <c r="I69" s="87" t="n"/>
    </row>
    <row r="70" ht="25" customHeight="1" s="151" thickBot="1">
      <c r="A70" s="79" t="inlineStr">
        <is>
          <t>Irrigation garden bed backfilling @Lot-106 heading south</t>
        </is>
      </c>
      <c r="B70" s="80" t="n"/>
      <c r="C70" s="81" t="n"/>
      <c r="D70" s="82" t="inlineStr">
        <is>
          <t>Final trimming/Balancing @Lot 106-Chambers Way-Forrest</t>
        </is>
      </c>
      <c r="E70" s="80" t="n"/>
      <c r="F70" s="80" t="n"/>
      <c r="G70" s="80" t="n"/>
      <c r="H70" s="80" t="n"/>
      <c r="I70" s="83" t="n"/>
    </row>
    <row r="71" ht="26.15" customHeight="1" s="151" thickBot="1">
      <c r="A71" s="150" t="inlineStr">
        <is>
          <t>Photos</t>
        </is>
      </c>
      <c r="I71" s="113" t="n"/>
    </row>
    <row r="72" ht="23.15" customHeight="1" s="151">
      <c r="A72" s="66" t="n"/>
      <c r="B72" s="67" t="n"/>
      <c r="C72" s="67" t="n"/>
      <c r="D72" s="67" t="n"/>
      <c r="E72" s="67" t="n"/>
      <c r="F72" s="67" t="n"/>
      <c r="G72" s="67" t="n"/>
      <c r="H72" s="67" t="n"/>
      <c r="I72" s="68" t="n"/>
    </row>
    <row r="73" ht="23.15" customHeight="1" s="151">
      <c r="A73" s="69" t="n"/>
      <c r="B73" s="70" t="n"/>
      <c r="C73" s="70" t="n"/>
      <c r="D73" s="70" t="n"/>
      <c r="E73" s="70" t="n"/>
      <c r="F73" s="70" t="n"/>
      <c r="G73" s="70" t="n"/>
      <c r="H73" s="70" t="n"/>
      <c r="I73" s="71" t="n"/>
    </row>
    <row r="74" ht="15" customHeight="1" s="151">
      <c r="A74" s="69" t="n"/>
      <c r="B74" s="70" t="n"/>
      <c r="C74" s="70" t="n"/>
      <c r="D74" s="70" t="n"/>
      <c r="E74" s="70" t="n"/>
      <c r="F74" s="70" t="n"/>
      <c r="G74" s="70" t="n"/>
      <c r="H74" s="70" t="n"/>
      <c r="I74" s="71" t="n"/>
    </row>
    <row r="75" ht="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H94" s="70" t="n"/>
      <c r="I94" s="71" t="n"/>
    </row>
    <row r="95" ht="25" customFormat="1" customHeight="1" s="10">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72" t="n"/>
      <c r="B110" s="73" t="n"/>
      <c r="C110" s="73" t="n"/>
      <c r="D110" s="73" t="n"/>
      <c r="E110" s="73" t="n"/>
      <c r="F110" s="73" t="n"/>
      <c r="G110" s="73" t="n"/>
      <c r="H110" s="73" t="n"/>
      <c r="I110" s="74"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2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8"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c r="J135" s="75"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6" customHeight="1" s="151">
      <c r="A142" s="69" t="n"/>
      <c r="B142" s="70" t="n"/>
      <c r="C142" s="70" t="n"/>
      <c r="D142" s="70" t="n"/>
      <c r="E142" s="70" t="n"/>
      <c r="F142" s="70" t="n"/>
      <c r="G142" s="70" t="n"/>
      <c r="H142" s="70" t="n"/>
      <c r="I142" s="71" t="n"/>
    </row>
    <row r="143" ht="30.75" customHeight="1" s="151">
      <c r="A143" s="143" t="n"/>
      <c r="E143" s="144" t="n"/>
      <c r="I143" s="113" t="n"/>
    </row>
    <row r="144">
      <c r="A144" s="7" t="n"/>
      <c r="I144" s="8" t="n"/>
    </row>
    <row r="145">
      <c r="A145" s="7" t="n"/>
      <c r="I145" s="8"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ht="16" customHeight="1" s="151">
      <c r="A197" s="4" t="n"/>
      <c r="B197" s="5" t="n"/>
      <c r="C197" s="5" t="n"/>
      <c r="D197" s="5" t="n"/>
      <c r="E197" s="5" t="n"/>
      <c r="F197" s="5" t="n"/>
      <c r="G197" s="5" t="n"/>
      <c r="H197" s="5" t="n"/>
      <c r="I197" s="6" t="n"/>
    </row>
    <row r="198">
      <c r="A198" s="7" t="n"/>
      <c r="I198" s="8" t="n"/>
    </row>
    <row r="199">
      <c r="A199" s="7" t="n"/>
      <c r="I199" s="8" t="n"/>
    </row>
    <row r="200">
      <c r="A200" s="7" t="n"/>
      <c r="I200" s="8" t="n"/>
    </row>
    <row r="201">
      <c r="A201" s="7" t="n"/>
      <c r="I201" s="8" t="n"/>
    </row>
    <row r="202">
      <c r="A202" s="7" t="n"/>
      <c r="I202" s="8" t="n"/>
    </row>
    <row r="203">
      <c r="A203" s="7" t="n"/>
      <c r="I203" s="8" t="n"/>
    </row>
    <row r="204" ht="16" customHeight="1" s="151">
      <c r="A204" s="4" t="n"/>
      <c r="B204" s="5" t="n"/>
      <c r="C204" s="5" t="n"/>
      <c r="D204" s="5" t="n"/>
      <c r="E204" s="5" t="n"/>
      <c r="F204" s="5" t="n"/>
      <c r="G204" s="5" t="n"/>
      <c r="H204" s="5" t="n"/>
      <c r="I204" s="6" t="n"/>
    </row>
  </sheetData>
  <mergeCells count="40">
    <mergeCell ref="A65:I65"/>
    <mergeCell ref="C61:I61"/>
    <mergeCell ref="D13:F13"/>
    <mergeCell ref="G13:I13"/>
    <mergeCell ref="B8:D8"/>
    <mergeCell ref="A66:I66"/>
    <mergeCell ref="B46:C46"/>
    <mergeCell ref="B59:I59"/>
    <mergeCell ref="A12:I12"/>
    <mergeCell ref="C57:I57"/>
    <mergeCell ref="D47:I47"/>
    <mergeCell ref="B56:I56"/>
    <mergeCell ref="A71:I71"/>
    <mergeCell ref="A5:I5"/>
    <mergeCell ref="A143:D143"/>
    <mergeCell ref="E143:I143"/>
    <mergeCell ref="B9:D9"/>
    <mergeCell ref="C62:I62"/>
    <mergeCell ref="B6:D6"/>
    <mergeCell ref="C58:I58"/>
    <mergeCell ref="B44:C44"/>
    <mergeCell ref="A13:C13"/>
    <mergeCell ref="A68:I68"/>
    <mergeCell ref="A10:I10"/>
    <mergeCell ref="C64:I64"/>
    <mergeCell ref="A1:I4"/>
    <mergeCell ref="A47:B47"/>
    <mergeCell ref="A67:I67"/>
    <mergeCell ref="D44:I44"/>
    <mergeCell ref="B7:D7"/>
    <mergeCell ref="C63:I63"/>
    <mergeCell ref="A48:I48"/>
    <mergeCell ref="A50:I53"/>
    <mergeCell ref="A11:I11"/>
    <mergeCell ref="B55:I55"/>
    <mergeCell ref="A60:I60"/>
    <mergeCell ref="D46:I46"/>
    <mergeCell ref="B45:C45"/>
    <mergeCell ref="D45:I45"/>
    <mergeCell ref="A54:I54"/>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0" min="0" max="8" man="1"/>
  </rowBreaks>
</worksheet>
</file>

<file path=xl/worksheets/sheet4.xml><?xml version="1.0" encoding="utf-8"?>
<worksheet xmlns="http://schemas.openxmlformats.org/spreadsheetml/2006/main">
  <sheetPr>
    <outlinePr summaryBelow="1" summaryRight="1"/>
    <pageSetUpPr fitToPage="1"/>
  </sheetPr>
  <dimension ref="A1:J207"/>
  <sheetViews>
    <sheetView view="pageBreakPreview" topLeftCell="A54" zoomScale="40" zoomScaleNormal="55" zoomScaleSheetLayoutView="40" workbookViewId="0">
      <selection activeCell="A16" sqref="A16"/>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45904</v>
      </c>
    </row>
    <row r="7" ht="23.15" customHeight="1" s="151">
      <c r="A7" s="11" t="inlineStr">
        <is>
          <t>Project Location:</t>
        </is>
      </c>
      <c r="B7" s="119" t="inlineStr">
        <is>
          <t>Geraldton</t>
        </is>
      </c>
      <c r="E7" s="119" t="n"/>
      <c r="F7" s="13" t="n"/>
      <c r="G7" s="13" t="n"/>
      <c r="H7" s="16" t="inlineStr">
        <is>
          <t>Day:</t>
        </is>
      </c>
      <c r="I7" s="17" t="inlineStr">
        <is>
          <t>Thursday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99</v>
      </c>
      <c r="C9" s="107" t="n"/>
      <c r="D9" s="107" t="n"/>
      <c r="E9" s="106" t="n"/>
      <c r="F9" s="20" t="n"/>
      <c r="G9" s="20" t="n"/>
      <c r="H9" s="16" t="inlineStr">
        <is>
          <t>Finish:</t>
        </is>
      </c>
      <c r="I9" s="18" t="n">
        <v>0.7083333333333334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21 degrees  Wind:  33km/h W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v>11</v>
      </c>
      <c r="G15" s="29" t="inlineStr">
        <is>
          <t>Khegan Brockman</t>
        </is>
      </c>
      <c r="H15" s="26" t="inlineStr">
        <is>
          <t>Labourer</t>
        </is>
      </c>
      <c r="I15" s="30" t="n">
        <v>10</v>
      </c>
    </row>
    <row r="16" ht="23.15" customHeight="1" s="151">
      <c r="A16" s="25" t="inlineStr">
        <is>
          <t>GRIFFITHS, Daniel</t>
        </is>
      </c>
      <c r="B16" s="26" t="inlineStr">
        <is>
          <t>Project Manager</t>
        </is>
      </c>
      <c r="C16" s="31" t="n">
        <v>11</v>
      </c>
      <c r="D16" s="29" t="inlineStr">
        <is>
          <t>Hanly,Thomas</t>
        </is>
      </c>
      <c r="E16" s="26" t="inlineStr">
        <is>
          <t>Operator</t>
        </is>
      </c>
      <c r="F16" s="26" t="n">
        <v>11</v>
      </c>
      <c r="G16" s="29" t="inlineStr">
        <is>
          <t>Daniel McAuffile</t>
        </is>
      </c>
      <c r="H16" s="26" t="inlineStr">
        <is>
          <t>Operator</t>
        </is>
      </c>
      <c r="I16" s="30" t="n">
        <v>10</v>
      </c>
    </row>
    <row r="17" ht="23.15" customHeight="1" s="151">
      <c r="A17" s="25" t="inlineStr">
        <is>
          <t>O"SHEA, John</t>
        </is>
      </c>
      <c r="B17" s="26" t="inlineStr">
        <is>
          <t>Senior Project Engineer</t>
        </is>
      </c>
      <c r="C17" s="31" t="n">
        <v>11</v>
      </c>
      <c r="D17" s="32" t="n"/>
      <c r="E17" s="32" t="n"/>
      <c r="F17" s="26" t="n"/>
      <c r="G17" s="29" t="inlineStr">
        <is>
          <t>Jachai Griffiths</t>
        </is>
      </c>
      <c r="H17" s="26" t="inlineStr">
        <is>
          <t>Operator</t>
        </is>
      </c>
      <c r="I17" s="30" t="n"/>
    </row>
    <row r="18" ht="23.15" customHeight="1" s="151">
      <c r="A18" s="25" t="inlineStr">
        <is>
          <t>GRIFFITHS, Ashley</t>
        </is>
      </c>
      <c r="B18" s="26" t="inlineStr">
        <is>
          <t>Supervisor</t>
        </is>
      </c>
      <c r="C18" s="31" t="n"/>
      <c r="D18" s="28" t="n"/>
      <c r="E18" s="28" t="n"/>
      <c r="F18" s="26" t="n"/>
      <c r="G18" s="29" t="inlineStr">
        <is>
          <t>O'Brian, Jamie</t>
        </is>
      </c>
      <c r="H18" s="26" t="inlineStr">
        <is>
          <t>Operator</t>
        </is>
      </c>
      <c r="I18" s="30" t="n">
        <v>10</v>
      </c>
    </row>
    <row r="19" ht="23.15" customHeight="1" s="151">
      <c r="A19" s="25" t="inlineStr">
        <is>
          <t>LOW, June</t>
        </is>
      </c>
      <c r="B19" s="26" t="inlineStr">
        <is>
          <t>HSET</t>
        </is>
      </c>
      <c r="C19" s="31" t="n"/>
      <c r="D19" s="28" t="n"/>
      <c r="E19" s="28" t="n"/>
      <c r="F19" s="26" t="n"/>
      <c r="G19" s="29" t="inlineStr">
        <is>
          <t>O'Reilly,James</t>
        </is>
      </c>
      <c r="H19" s="26" t="inlineStr">
        <is>
          <t>Operator</t>
        </is>
      </c>
      <c r="I19" s="30" t="n"/>
    </row>
    <row r="20" ht="23.15" customHeight="1" s="151">
      <c r="A20" s="25" t="inlineStr">
        <is>
          <t>SKINNER,Jamie</t>
        </is>
      </c>
      <c r="B20" s="26" t="inlineStr">
        <is>
          <t>Supervisor</t>
        </is>
      </c>
      <c r="C20" s="31" t="n">
        <v>11</v>
      </c>
      <c r="D20" s="28" t="n"/>
      <c r="E20" s="28" t="n"/>
      <c r="F20" s="26" t="n"/>
      <c r="G20" s="29" t="inlineStr">
        <is>
          <t>Dixon, Warren</t>
        </is>
      </c>
      <c r="H20" s="26" t="inlineStr">
        <is>
          <t>Irrigation Installer</t>
        </is>
      </c>
      <c r="I20" s="30" t="n"/>
    </row>
    <row r="21" ht="23.15" customHeight="1" s="151">
      <c r="A21" s="25" t="n"/>
      <c r="B21" s="26" t="n"/>
      <c r="C21" s="31" t="n"/>
      <c r="D21" s="28" t="n"/>
      <c r="E21" s="28" t="n"/>
      <c r="F21" s="26" t="n"/>
      <c r="G21" s="29" t="inlineStr">
        <is>
          <t>Mosley,Joshua</t>
        </is>
      </c>
      <c r="H21" s="26" t="inlineStr">
        <is>
          <t>Surveyor</t>
        </is>
      </c>
      <c r="I21" s="30" t="n">
        <v>4</v>
      </c>
    </row>
    <row r="22" ht="23.15" customHeight="1" s="151">
      <c r="A22" s="25" t="n"/>
      <c r="B22" s="26" t="n"/>
      <c r="C22" s="31" t="n"/>
      <c r="D22" s="28" t="n"/>
      <c r="E22" s="28" t="n"/>
      <c r="F22" s="26" t="n"/>
      <c r="G22" s="29" t="inlineStr">
        <is>
          <t>Sealing Crew</t>
        </is>
      </c>
      <c r="H22" s="26" t="inlineStr">
        <is>
          <t>Catwest</t>
        </is>
      </c>
      <c r="I22" s="30" t="n">
        <v>6</v>
      </c>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77" t="n"/>
      <c r="H25" s="77" t="n"/>
      <c r="I25" s="36" t="n"/>
    </row>
    <row r="26" ht="23.15" customHeight="1" s="151">
      <c r="A26" s="131" t="inlineStr">
        <is>
          <t xml:space="preserve">Total Indirect Personnel onsite: </t>
        </is>
      </c>
      <c r="B26" s="34">
        <f>COUNT(C15:C26)</f>
        <v/>
      </c>
      <c r="C26" s="28" t="n"/>
      <c r="D26" s="28" t="n"/>
      <c r="E26" s="28" t="n"/>
      <c r="F26" s="26" t="n"/>
      <c r="G26" s="78" t="n"/>
      <c r="H26" s="77" t="n"/>
      <c r="I26" s="30" t="n"/>
    </row>
    <row r="27" ht="23.15" customHeight="1" s="151">
      <c r="A27" s="131" t="inlineStr">
        <is>
          <t xml:space="preserve">Total Indirect Personnel hours: </t>
        </is>
      </c>
      <c r="B27" s="34">
        <f>SUM(C15:C25)</f>
        <v/>
      </c>
      <c r="C27" s="31" t="n"/>
      <c r="D27" s="28" t="n"/>
      <c r="E27" s="28" t="n"/>
      <c r="F27" s="26" t="n"/>
      <c r="G27" s="35" t="inlineStr">
        <is>
          <t>Total Subcontractor on-site:</t>
        </is>
      </c>
      <c r="H27" s="36">
        <f>COUNT(I15:I25)</f>
        <v/>
      </c>
      <c r="I27" s="30" t="n"/>
    </row>
    <row r="28" ht="23.15" customHeight="1" s="151">
      <c r="A28" s="131" t="inlineStr">
        <is>
          <t xml:space="preserve">Total Direct Personnel onsite:  </t>
        </is>
      </c>
      <c r="B28" s="34">
        <f>COUNTIF(F15:F29,"&gt;0")</f>
        <v/>
      </c>
      <c r="C28" s="34" t="n"/>
      <c r="D28" s="28" t="n"/>
      <c r="E28" s="28" t="n"/>
      <c r="F28" s="37" t="n"/>
      <c r="G28" s="35" t="inlineStr">
        <is>
          <t>Total Subcontractor hours:</t>
        </is>
      </c>
      <c r="H28" s="36">
        <f>SUM(I15:I25)</f>
        <v/>
      </c>
      <c r="I28" s="130" t="n"/>
    </row>
    <row r="29" ht="23.15" customHeight="1" s="151">
      <c r="A29" s="131" t="inlineStr">
        <is>
          <t xml:space="preserve">Total Direct Personnel hours: </t>
        </is>
      </c>
      <c r="B29" s="34">
        <f>SUM(F15:F29)</f>
        <v/>
      </c>
      <c r="C29" s="34" t="n"/>
      <c r="D29" s="34" t="n"/>
      <c r="E29" s="34" t="n"/>
      <c r="F29" s="34" t="n"/>
      <c r="G29" s="34" t="n"/>
      <c r="H29" s="34" t="n"/>
      <c r="I29" s="130" t="n"/>
    </row>
    <row r="30" ht="25" customHeight="1" s="151">
      <c r="A30" s="39" t="inlineStr">
        <is>
          <t>PLANT &amp; EQUIPMENT</t>
        </is>
      </c>
      <c r="B30" s="40" t="n"/>
      <c r="C30" s="40" t="n"/>
      <c r="D30" s="40" t="n"/>
      <c r="E30" s="40" t="n"/>
      <c r="F30" s="40" t="n"/>
      <c r="G30" s="40" t="n"/>
      <c r="H30" s="40" t="n"/>
      <c r="I30" s="41" t="n"/>
    </row>
    <row r="31" ht="24" customHeight="1" s="151">
      <c r="A31" s="126" t="inlineStr">
        <is>
          <t>Plant</t>
        </is>
      </c>
      <c r="B31" s="127" t="inlineStr">
        <is>
          <t>ID</t>
        </is>
      </c>
      <c r="C31" s="127" t="inlineStr">
        <is>
          <t>Hours</t>
        </is>
      </c>
      <c r="D31" s="127" t="inlineStr">
        <is>
          <t xml:space="preserve"> Vehicles</t>
        </is>
      </c>
      <c r="E31" s="127" t="inlineStr">
        <is>
          <t>ID</t>
        </is>
      </c>
      <c r="F31" s="127" t="inlineStr">
        <is>
          <t>QTY</t>
        </is>
      </c>
      <c r="G31" s="42" t="inlineStr">
        <is>
          <t>Site Facilities</t>
        </is>
      </c>
      <c r="H31" s="42" t="inlineStr">
        <is>
          <t>ID</t>
        </is>
      </c>
      <c r="I31" s="43" t="inlineStr">
        <is>
          <t>Qty</t>
        </is>
      </c>
    </row>
    <row r="32" ht="23.15" customHeight="1" s="151">
      <c r="A32" s="26" t="inlineStr">
        <is>
          <t>Komatsu WA320</t>
        </is>
      </c>
      <c r="B32" s="26" t="inlineStr">
        <is>
          <t>FWL18</t>
        </is>
      </c>
      <c r="C32" s="26" t="n">
        <v>5</v>
      </c>
      <c r="D32" s="31" t="inlineStr">
        <is>
          <t>Hilux</t>
        </is>
      </c>
      <c r="E32" s="31" t="inlineStr">
        <is>
          <t>DLV90</t>
        </is>
      </c>
      <c r="F32" s="31" t="n">
        <v>1</v>
      </c>
      <c r="G32" s="31" t="inlineStr">
        <is>
          <t>Office 40ft</t>
        </is>
      </c>
      <c r="H32" s="31" t="n">
        <v>9255540</v>
      </c>
      <c r="I32" s="30" t="n">
        <v>1</v>
      </c>
    </row>
    <row r="33" ht="23.15" customHeight="1" s="151">
      <c r="A33" s="26" t="inlineStr">
        <is>
          <t>Wacker Neuson DPU</t>
        </is>
      </c>
      <c r="B33" s="26" t="inlineStr">
        <is>
          <t>DPC15</t>
        </is>
      </c>
      <c r="C33" s="26" t="n"/>
      <c r="D33" s="31" t="inlineStr">
        <is>
          <t>Hilux</t>
        </is>
      </c>
      <c r="E33" s="31" t="inlineStr">
        <is>
          <t>1DAH:400</t>
        </is>
      </c>
      <c r="F33" s="31" t="n">
        <v>1</v>
      </c>
      <c r="G33" s="31" t="inlineStr">
        <is>
          <t>Sea Container 20ft</t>
        </is>
      </c>
      <c r="H33" s="26" t="n">
        <v>951200</v>
      </c>
      <c r="I33" s="30" t="n">
        <v>1</v>
      </c>
    </row>
    <row r="34" ht="23.15" customHeight="1" s="151">
      <c r="A34" s="31" t="inlineStr">
        <is>
          <t>Watercart</t>
        </is>
      </c>
      <c r="B34" s="31" t="inlineStr">
        <is>
          <t>WC04</t>
        </is>
      </c>
      <c r="C34" s="26" t="n">
        <v>10</v>
      </c>
      <c r="D34" s="31" t="n"/>
      <c r="E34" s="26" t="n"/>
      <c r="F34" s="31" t="n"/>
      <c r="G34" s="31" t="inlineStr">
        <is>
          <t>Site Sentry Tower</t>
        </is>
      </c>
      <c r="H34" s="31" t="n"/>
      <c r="I34" s="30" t="n">
        <v>2</v>
      </c>
    </row>
    <row r="35" ht="23.15" customHeight="1" s="151">
      <c r="A35" s="31" t="inlineStr">
        <is>
          <t>8T Excavator</t>
        </is>
      </c>
      <c r="B35" s="45" t="inlineStr">
        <is>
          <t>AMG 014</t>
        </is>
      </c>
      <c r="C35" s="26" t="n"/>
      <c r="D35" s="31" t="n"/>
      <c r="E35" s="31" t="n"/>
      <c r="F35" s="31" t="n"/>
      <c r="G35" s="31" t="inlineStr">
        <is>
          <t>Skip Bin</t>
        </is>
      </c>
      <c r="H35" s="31" t="n"/>
      <c r="I35" s="30" t="n">
        <v>1</v>
      </c>
    </row>
    <row r="36" ht="23.15" customHeight="1" s="151">
      <c r="A36" s="31" t="inlineStr">
        <is>
          <t>Mini Tipper</t>
        </is>
      </c>
      <c r="B36" s="31" t="inlineStr">
        <is>
          <t>SLS05</t>
        </is>
      </c>
      <c r="C36" s="31" t="n"/>
      <c r="D36" s="31" t="n"/>
      <c r="E36" s="31" t="n"/>
      <c r="F36" s="31" t="n"/>
      <c r="G36" s="31" t="inlineStr">
        <is>
          <t>Hydrocarbon Bund</t>
        </is>
      </c>
      <c r="H36" s="31" t="n"/>
      <c r="I36" s="30" t="n">
        <v>1</v>
      </c>
    </row>
    <row r="37" ht="23.15" customHeight="1" s="151">
      <c r="A37" s="31" t="inlineStr">
        <is>
          <t>1 t Excavator</t>
        </is>
      </c>
      <c r="B37" s="31" t="inlineStr">
        <is>
          <t>SLS03</t>
        </is>
      </c>
      <c r="C37" s="31" t="n"/>
      <c r="D37" s="31" t="n"/>
      <c r="E37" s="31" t="n"/>
      <c r="F37" s="31" t="n"/>
      <c r="G37" s="31" t="inlineStr">
        <is>
          <t>Temp Fence</t>
        </is>
      </c>
      <c r="H37" s="26" t="n"/>
      <c r="I37" s="30" t="n">
        <v>1</v>
      </c>
    </row>
    <row r="38" ht="24" customHeight="1" s="151">
      <c r="A38" s="31" t="inlineStr">
        <is>
          <t>14t Excavator with GPS</t>
        </is>
      </c>
      <c r="B38" s="31" t="inlineStr">
        <is>
          <t>EX153</t>
        </is>
      </c>
      <c r="C38" s="31" t="n">
        <v>8</v>
      </c>
      <c r="D38" s="31" t="n"/>
      <c r="E38" s="31" t="n"/>
      <c r="F38" s="31" t="n"/>
      <c r="G38" s="2" t="n"/>
      <c r="H38" s="2" t="n"/>
      <c r="I38" s="3" t="n"/>
    </row>
    <row r="39" ht="24" customHeight="1" s="151">
      <c r="A39" s="31" t="inlineStr">
        <is>
          <t>5t Excavator</t>
        </is>
      </c>
      <c r="B39" s="31" t="inlineStr">
        <is>
          <t>A118</t>
        </is>
      </c>
      <c r="C39" s="31" t="n"/>
      <c r="D39" s="31" t="n"/>
      <c r="E39" s="31" t="n"/>
      <c r="F39" s="31" t="n"/>
      <c r="G39" s="2" t="n"/>
      <c r="H39" s="2" t="n"/>
      <c r="I39" s="3" t="n"/>
    </row>
    <row r="40" ht="24" customHeight="1" s="151">
      <c r="A40" s="31" t="inlineStr">
        <is>
          <t>Padfoot/ Smooth Drum Roller</t>
        </is>
      </c>
      <c r="B40" s="31" t="inlineStr">
        <is>
          <t>RR 03</t>
        </is>
      </c>
      <c r="C40" s="26" t="n">
        <v>5</v>
      </c>
      <c r="D40" s="31" t="n"/>
      <c r="E40" s="31" t="n"/>
      <c r="F40" s="31" t="n"/>
      <c r="G40" s="2" t="n"/>
      <c r="H40" s="2" t="n"/>
      <c r="I40" s="3" t="n"/>
    </row>
    <row r="41" ht="24" customHeight="1" s="151">
      <c r="A41" s="31" t="inlineStr">
        <is>
          <t>Multi Roller</t>
        </is>
      </c>
      <c r="B41" s="31" t="n">
        <v>256</v>
      </c>
      <c r="C41" s="26" t="n">
        <v>8</v>
      </c>
      <c r="D41" s="31" t="n"/>
      <c r="E41" s="31" t="n"/>
      <c r="F41" s="31" t="n"/>
      <c r="G41" s="2" t="n"/>
      <c r="H41" s="2" t="n"/>
      <c r="I41" s="3" t="n"/>
    </row>
    <row r="42" ht="24" customHeight="1" s="151">
      <c r="A42" s="31" t="inlineStr">
        <is>
          <t>Positrak SSL</t>
        </is>
      </c>
      <c r="B42" s="31" t="inlineStr">
        <is>
          <t>SSL08</t>
        </is>
      </c>
      <c r="C42" s="26" t="n">
        <v>5</v>
      </c>
      <c r="D42" s="31" t="n"/>
      <c r="E42" s="31" t="n"/>
      <c r="F42" s="31" t="n"/>
      <c r="G42" s="2" t="n"/>
      <c r="H42" s="2" t="n"/>
      <c r="I42" s="3" t="n"/>
    </row>
    <row r="43" ht="24" customHeight="1" s="151">
      <c r="A43" s="31" t="inlineStr">
        <is>
          <t>Grader</t>
        </is>
      </c>
      <c r="B43" s="31" t="inlineStr">
        <is>
          <t>SLS01</t>
        </is>
      </c>
      <c r="C43" s="26" t="n"/>
      <c r="D43" s="31" t="n"/>
      <c r="E43" s="31" t="n"/>
      <c r="F43" s="31" t="n"/>
      <c r="G43" s="2" t="n"/>
      <c r="H43" s="2" t="n"/>
      <c r="I43" s="3" t="n"/>
    </row>
    <row r="44" ht="24" customHeight="1" s="151">
      <c r="A44" s="44" t="n"/>
      <c r="B44" s="31" t="n"/>
      <c r="C44" s="26" t="n"/>
      <c r="D44" s="2" t="n"/>
      <c r="E44" s="2" t="n"/>
      <c r="F44" s="2" t="n"/>
      <c r="G44" s="2" t="n"/>
      <c r="H44" s="2" t="n"/>
      <c r="I44" s="3" t="n"/>
    </row>
    <row r="45" ht="18" customHeight="1" s="151">
      <c r="A45" s="46" t="n">
        <v>0</v>
      </c>
      <c r="B45" s="128" t="inlineStr">
        <is>
          <t xml:space="preserve">Repairs Required </t>
        </is>
      </c>
      <c r="C45" s="118" t="n"/>
      <c r="D45" s="129" t="inlineStr">
        <is>
          <t>N/A</t>
        </is>
      </c>
      <c r="E45" s="159" t="n"/>
      <c r="F45" s="159" t="n"/>
      <c r="G45" s="159" t="n"/>
      <c r="H45" s="159" t="n"/>
      <c r="I45" s="160" t="n"/>
    </row>
    <row r="46" ht="18" customHeight="1" s="151">
      <c r="A46" s="47" t="n">
        <v>0</v>
      </c>
      <c r="B46" s="128" t="inlineStr">
        <is>
          <t>Scheduled Service</t>
        </is>
      </c>
      <c r="C46" s="118" t="n"/>
      <c r="D46" s="129" t="inlineStr">
        <is>
          <t>N/A</t>
        </is>
      </c>
      <c r="E46" s="159" t="n"/>
      <c r="F46" s="159" t="n"/>
      <c r="G46" s="159" t="n"/>
      <c r="H46" s="159" t="n"/>
      <c r="I46" s="160" t="n"/>
    </row>
    <row r="47" ht="18" customHeight="1" s="151">
      <c r="A47" s="48" t="n">
        <v>0</v>
      </c>
      <c r="B47" s="128" t="n"/>
      <c r="C47" s="118" t="n"/>
      <c r="D47" s="129" t="inlineStr">
        <is>
          <t>N/A</t>
        </is>
      </c>
      <c r="E47" s="159" t="n"/>
      <c r="F47" s="159" t="n"/>
      <c r="G47" s="159" t="n"/>
      <c r="H47" s="159" t="n"/>
      <c r="I47" s="160" t="n"/>
    </row>
    <row r="48" ht="23.15" customHeight="1" s="151">
      <c r="A48" s="131" t="inlineStr">
        <is>
          <t xml:space="preserve">Total Plant and Equipment Hours: </t>
        </is>
      </c>
      <c r="B48" s="118" t="n"/>
      <c r="C48" s="49">
        <f>SUM(C32:C44)</f>
        <v/>
      </c>
      <c r="D48" s="132" t="n"/>
      <c r="E48" s="159" t="n"/>
      <c r="F48" s="159" t="n"/>
      <c r="G48" s="159" t="n"/>
      <c r="H48" s="159" t="n"/>
      <c r="I48" s="160" t="n"/>
    </row>
    <row r="49" ht="25" customHeight="1" s="151">
      <c r="A49" s="120" t="inlineStr">
        <is>
          <t>DELAYS-OPPORTUNITY</t>
        </is>
      </c>
      <c r="B49" s="159" t="n"/>
      <c r="C49" s="159" t="n"/>
      <c r="D49" s="159" t="n"/>
      <c r="E49" s="159" t="n"/>
      <c r="F49" s="159" t="n"/>
      <c r="G49" s="159" t="n"/>
      <c r="H49" s="159" t="n"/>
      <c r="I49" s="160" t="n"/>
    </row>
    <row r="50" ht="20.15" customHeight="1" s="151">
      <c r="A50" s="50" t="n"/>
      <c r="B50" s="51" t="n"/>
      <c r="C50" s="51" t="n"/>
      <c r="D50" s="51" t="n"/>
      <c r="E50" s="51" t="n"/>
      <c r="F50" s="51" t="n"/>
      <c r="G50" s="51" t="n"/>
      <c r="H50" s="51" t="n"/>
      <c r="I50" s="52" t="n"/>
    </row>
    <row r="51" ht="15" customHeight="1" s="151" thickBot="1">
      <c r="A51" s="133" t="inlineStr">
        <is>
          <t>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t>
        </is>
      </c>
      <c r="B51" s="124" t="n"/>
      <c r="C51" s="124" t="n"/>
      <c r="D51" s="124" t="n"/>
      <c r="E51" s="124" t="n"/>
      <c r="F51" s="124" t="n"/>
      <c r="G51" s="124" t="n"/>
      <c r="H51" s="124" t="n"/>
      <c r="I51" s="125" t="n"/>
    </row>
    <row r="52">
      <c r="A52" s="111" t="n"/>
      <c r="I52" s="113" t="n"/>
    </row>
    <row r="53" ht="49.5" customHeight="1" s="151">
      <c r="A53" s="111" t="n"/>
      <c r="I53" s="113" t="n"/>
    </row>
    <row r="54" ht="80.15000000000001" customHeight="1" s="151" thickBot="1">
      <c r="A54" s="134" t="n"/>
      <c r="B54" s="135" t="n"/>
      <c r="C54" s="135" t="n"/>
      <c r="D54" s="135" t="n"/>
      <c r="E54" s="135" t="n"/>
      <c r="F54" s="135" t="n"/>
      <c r="G54" s="135" t="n"/>
      <c r="H54" s="135" t="n"/>
      <c r="I54" s="136" t="n"/>
    </row>
    <row r="55" ht="25" customHeight="1" s="151">
      <c r="A55" s="137" t="inlineStr">
        <is>
          <t>HSEQ MESSAGES</t>
        </is>
      </c>
      <c r="B55" s="138" t="n"/>
      <c r="C55" s="138" t="n"/>
      <c r="D55" s="138" t="n"/>
      <c r="E55" s="138" t="n"/>
      <c r="F55" s="138" t="n"/>
      <c r="G55" s="138" t="n"/>
      <c r="H55" s="138" t="n"/>
      <c r="I55" s="139" t="n"/>
    </row>
    <row r="56" ht="18" customHeight="1" s="151">
      <c r="A56" s="53" t="inlineStr">
        <is>
          <t>TCD - Monthly Safety Focus:</t>
        </is>
      </c>
      <c r="B56" s="140" t="inlineStr">
        <is>
          <t>Underground Services</t>
        </is>
      </c>
      <c r="C56" s="159" t="n"/>
      <c r="D56" s="159" t="n"/>
      <c r="E56" s="159" t="n"/>
      <c r="F56" s="159" t="n"/>
      <c r="G56" s="159" t="n"/>
      <c r="H56" s="159" t="n"/>
      <c r="I56" s="118" t="n"/>
    </row>
    <row r="57" ht="24" customHeight="1" s="151">
      <c r="A57" s="53" t="inlineStr">
        <is>
          <t>TCD - Daily Safety Focus:</t>
        </is>
      </c>
      <c r="B57" s="141" t="inlineStr">
        <is>
          <t>SIMOPS</t>
        </is>
      </c>
      <c r="C57" s="159" t="n"/>
      <c r="D57" s="159" t="n"/>
      <c r="E57" s="159" t="n"/>
      <c r="F57" s="159" t="n"/>
      <c r="G57" s="159" t="n"/>
      <c r="H57" s="159" t="n"/>
      <c r="I57" s="160" t="n"/>
    </row>
    <row r="58" ht="18" customHeight="1" s="151">
      <c r="A58" s="54" t="inlineStr">
        <is>
          <t xml:space="preserve">Hazards Reported: </t>
        </is>
      </c>
      <c r="B58" s="55" t="inlineStr">
        <is>
          <t>Nil</t>
        </is>
      </c>
      <c r="C58" s="141" t="n"/>
      <c r="D58" s="159" t="n"/>
      <c r="E58" s="159" t="n"/>
      <c r="F58" s="159" t="n"/>
      <c r="G58" s="159" t="n"/>
      <c r="H58" s="159" t="n"/>
      <c r="I58" s="160" t="n"/>
    </row>
    <row r="59" ht="18" customHeight="1" s="151">
      <c r="A59" s="54" t="inlineStr">
        <is>
          <t>Incident Free Days</t>
        </is>
      </c>
      <c r="B59" s="55" t="n">
        <v>14</v>
      </c>
      <c r="C59" s="140" t="n"/>
      <c r="D59" s="159" t="n"/>
      <c r="E59" s="159" t="n"/>
      <c r="F59" s="159" t="n"/>
      <c r="G59" s="159" t="n"/>
      <c r="H59" s="159" t="n"/>
      <c r="I59" s="118" t="n"/>
    </row>
    <row r="60" ht="18" customHeight="1" s="151">
      <c r="A60" s="56" t="inlineStr">
        <is>
          <t>Other Notes</t>
        </is>
      </c>
      <c r="B60" s="142" t="n"/>
      <c r="C60" s="124" t="n"/>
      <c r="D60" s="124" t="n"/>
      <c r="E60" s="124" t="n"/>
      <c r="F60" s="124" t="n"/>
      <c r="G60" s="124" t="n"/>
      <c r="H60" s="124" t="n"/>
      <c r="I60" s="125" t="n"/>
    </row>
    <row r="61" ht="20.25" customHeight="1" s="151">
      <c r="A61" s="120" t="inlineStr">
        <is>
          <t xml:space="preserve">INCIDENTS &amp; REPORTS </t>
        </is>
      </c>
      <c r="B61" s="159" t="n"/>
      <c r="C61" s="159" t="n"/>
      <c r="D61" s="159" t="n"/>
      <c r="E61" s="159" t="n"/>
      <c r="F61" s="159" t="n"/>
      <c r="G61" s="159" t="n"/>
      <c r="H61" s="159" t="n"/>
      <c r="I61" s="160" t="n"/>
    </row>
    <row r="62" ht="25" customHeight="1" s="151">
      <c r="A62" s="57" t="n"/>
      <c r="B62" s="127" t="inlineStr">
        <is>
          <t>QTY</t>
        </is>
      </c>
      <c r="C62" s="130" t="inlineStr">
        <is>
          <t>Comments</t>
        </is>
      </c>
      <c r="D62" s="159" t="n"/>
      <c r="E62" s="159" t="n"/>
      <c r="F62" s="159" t="n"/>
      <c r="G62" s="159" t="n"/>
      <c r="H62" s="159" t="n"/>
      <c r="I62" s="160" t="n"/>
    </row>
    <row r="63" ht="25" customHeight="1" s="151">
      <c r="A63" s="58" t="inlineStr">
        <is>
          <t>INCIDENT</t>
        </is>
      </c>
      <c r="B63" s="127" t="n">
        <v>0</v>
      </c>
      <c r="C63" s="129" t="inlineStr">
        <is>
          <t>NA</t>
        </is>
      </c>
      <c r="D63" s="159" t="n"/>
      <c r="E63" s="159" t="n"/>
      <c r="F63" s="159" t="n"/>
      <c r="G63" s="159" t="n"/>
      <c r="H63" s="159" t="n"/>
      <c r="I63" s="160" t="n"/>
    </row>
    <row r="64" ht="25" customHeight="1" s="151">
      <c r="A64" s="59" t="inlineStr">
        <is>
          <t>IR</t>
        </is>
      </c>
      <c r="B64" s="60" t="n">
        <v>0</v>
      </c>
      <c r="C64" s="145" t="inlineStr">
        <is>
          <t>NA</t>
        </is>
      </c>
      <c r="D64" s="124" t="n"/>
      <c r="E64" s="124" t="n"/>
      <c r="F64" s="124" t="n"/>
      <c r="G64" s="124" t="n"/>
      <c r="H64" s="124" t="n"/>
      <c r="I64" s="125" t="n"/>
    </row>
    <row r="65" ht="25" customHeight="1" s="151" thickBot="1">
      <c r="A65" s="61" t="inlineStr">
        <is>
          <t>NCR</t>
        </is>
      </c>
      <c r="B65" s="62" t="n">
        <v>0</v>
      </c>
      <c r="C65" s="146" t="inlineStr">
        <is>
          <t>NA</t>
        </is>
      </c>
      <c r="D65" s="147" t="n"/>
      <c r="E65" s="147" t="n"/>
      <c r="F65" s="147" t="n"/>
      <c r="G65" s="147" t="n"/>
      <c r="H65" s="147" t="n"/>
      <c r="I65" s="148" t="n"/>
    </row>
    <row r="66" ht="20.25" customHeight="1" s="151">
      <c r="A66" s="137" t="inlineStr">
        <is>
          <t>COMMUNICATIONS</t>
        </is>
      </c>
      <c r="B66" s="138" t="n"/>
      <c r="C66" s="138" t="n"/>
      <c r="D66" s="138" t="n"/>
      <c r="E66" s="138" t="n"/>
      <c r="F66" s="138" t="n"/>
      <c r="G66" s="138" t="n"/>
      <c r="H66" s="138" t="n"/>
      <c r="I66" s="139" t="n"/>
    </row>
    <row r="67" ht="25" customHeight="1" s="151">
      <c r="A67" s="149" t="inlineStr">
        <is>
          <t>TGS MB1119-05 Scheme D impletmented</t>
        </is>
      </c>
      <c r="B67" s="159" t="n"/>
      <c r="C67" s="159" t="n"/>
      <c r="D67" s="159" t="n"/>
      <c r="E67" s="159" t="n"/>
      <c r="F67" s="159" t="n"/>
      <c r="G67" s="159" t="n"/>
      <c r="H67" s="159" t="n"/>
      <c r="I67" s="160" t="n"/>
    </row>
    <row r="68" ht="25" customHeight="1" s="151">
      <c r="A68" s="149" t="n"/>
      <c r="B68" s="159" t="n"/>
      <c r="C68" s="159" t="n"/>
      <c r="D68" s="159" t="n"/>
      <c r="E68" s="159" t="n"/>
      <c r="F68" s="159" t="n"/>
      <c r="G68" s="159" t="n"/>
      <c r="H68" s="159" t="n"/>
      <c r="I68" s="160" t="n"/>
    </row>
    <row r="69" ht="25" customHeight="1" s="151">
      <c r="A69" s="120" t="inlineStr">
        <is>
          <t>PRODUCTION (CONSTRUCTION STATUS &amp; PROGRESS)</t>
        </is>
      </c>
      <c r="B69" s="159" t="n"/>
      <c r="C69" s="159" t="n"/>
      <c r="D69" s="159" t="n"/>
      <c r="E69" s="159" t="n"/>
      <c r="F69" s="159" t="n"/>
      <c r="G69" s="159" t="n"/>
      <c r="H69" s="159" t="n"/>
      <c r="I69" s="160" t="n"/>
    </row>
    <row r="70" ht="25" customHeight="1" s="151">
      <c r="A70" s="63" t="inlineStr">
        <is>
          <t>Proof roll inspection with COGG</t>
        </is>
      </c>
      <c r="B70" s="64" t="n"/>
      <c r="C70" s="9" t="inlineStr">
        <is>
          <t xml:space="preserve">Laterial install into garden beds@ Bayly street end </t>
        </is>
      </c>
      <c r="D70" s="9" t="n"/>
      <c r="E70" s="9" t="n"/>
      <c r="F70" s="64" t="n"/>
      <c r="G70" s="64" t="n"/>
      <c r="H70" s="64" t="n"/>
      <c r="I70" s="65" t="n"/>
    </row>
    <row r="71" ht="25" customHeight="1" s="151">
      <c r="A71" s="63" t="inlineStr">
        <is>
          <t>Spray seal and 7mm chip installed and rolled</t>
        </is>
      </c>
      <c r="B71" s="64" t="n"/>
      <c r="C71" s="9" t="n"/>
      <c r="D71" s="9" t="n"/>
      <c r="E71" s="64" t="n"/>
      <c r="F71" s="64" t="n"/>
      <c r="G71" s="64" t="n"/>
      <c r="H71" s="64" t="n"/>
      <c r="I71" s="65" t="n"/>
    </row>
    <row r="72" ht="25" customHeight="1" s="151">
      <c r="A72" s="63" t="inlineStr">
        <is>
          <t>Northern lots batter trimming 1:6 batter</t>
        </is>
      </c>
      <c r="B72" s="64" t="n"/>
      <c r="C72" s="9" t="n"/>
      <c r="D72" s="64" t="n"/>
      <c r="E72" s="64" t="n"/>
      <c r="F72" s="64" t="n"/>
      <c r="G72" s="64" t="n"/>
      <c r="H72" s="64" t="n"/>
      <c r="I72" s="65" t="n"/>
    </row>
    <row r="73" ht="25" customHeight="1" s="151">
      <c r="A73" s="63" t="inlineStr">
        <is>
          <t>Sub-grade box-out@ Bayly street end</t>
        </is>
      </c>
      <c r="B73" s="64" t="n"/>
      <c r="C73" s="9" t="n"/>
      <c r="D73" s="64" t="n"/>
      <c r="E73" s="64" t="n"/>
      <c r="F73" s="64" t="n"/>
      <c r="G73" s="64" t="n"/>
      <c r="H73" s="64" t="n"/>
      <c r="I73" s="65" t="n"/>
    </row>
    <row r="74" ht="26.15" customHeight="1" s="151" thickBot="1">
      <c r="A74" s="123" t="inlineStr">
        <is>
          <t>Photos</t>
        </is>
      </c>
      <c r="B74" s="124" t="n"/>
      <c r="C74" s="124" t="n"/>
      <c r="D74" s="124" t="n"/>
      <c r="E74" s="124" t="n"/>
      <c r="F74" s="124" t="n"/>
      <c r="G74" s="124" t="n"/>
      <c r="H74" s="124" t="n"/>
      <c r="I74" s="125" t="n"/>
    </row>
    <row r="75" ht="23.15" customHeight="1" s="151">
      <c r="A75" s="66" t="n"/>
      <c r="B75" s="67" t="n"/>
      <c r="C75" s="67" t="n"/>
      <c r="D75" s="67" t="n"/>
      <c r="E75" s="67" t="n"/>
      <c r="F75" s="67" t="n"/>
      <c r="G75" s="67" t="n"/>
      <c r="H75" s="67" t="n"/>
      <c r="I75" s="68" t="n"/>
    </row>
    <row r="76" ht="23.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H97" s="70" t="n"/>
      <c r="I97" s="71" t="n"/>
    </row>
    <row r="98" ht="25" customFormat="1" customHeight="1" s="10">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thickBot="1">
      <c r="A113" s="72" t="n"/>
      <c r="B113" s="73" t="n"/>
      <c r="C113" s="73" t="n"/>
      <c r="D113" s="73" t="n"/>
      <c r="E113" s="73" t="n"/>
      <c r="F113" s="73" t="n"/>
      <c r="G113" s="73" t="n"/>
      <c r="H113" s="73" t="n"/>
      <c r="I113" s="74"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28"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thickBot="1">
      <c r="A138" s="69" t="n"/>
      <c r="B138" s="70" t="n"/>
      <c r="C138" s="70" t="n"/>
      <c r="D138" s="70" t="n"/>
      <c r="E138" s="70" t="n"/>
      <c r="F138" s="70" t="n"/>
      <c r="G138" s="70" t="n"/>
      <c r="H138" s="70" t="n"/>
      <c r="I138" s="71" t="n"/>
      <c r="J138" s="75"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6" customHeight="1" s="151">
      <c r="A145" s="69" t="n"/>
      <c r="B145" s="70" t="n"/>
      <c r="C145" s="70" t="n"/>
      <c r="D145" s="70" t="n"/>
      <c r="E145" s="70" t="n"/>
      <c r="F145" s="70" t="n"/>
      <c r="G145" s="70" t="n"/>
      <c r="H145" s="70" t="n"/>
      <c r="I145" s="71" t="n"/>
    </row>
    <row r="146" ht="30.75" customHeight="1" s="151">
      <c r="A146" s="143" t="n"/>
      <c r="E146" s="144" t="n"/>
      <c r="I146" s="113"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ht="16" customHeight="1" s="151" thickBot="1">
      <c r="A200" s="4" t="n"/>
      <c r="B200" s="5" t="n"/>
      <c r="C200" s="5" t="n"/>
      <c r="D200" s="5" t="n"/>
      <c r="E200" s="5" t="n"/>
      <c r="F200" s="5" t="n"/>
      <c r="G200" s="5" t="n"/>
      <c r="H200" s="5" t="n"/>
      <c r="I200" s="6" t="n"/>
    </row>
    <row r="201">
      <c r="A201" s="7" t="n"/>
      <c r="I201" s="8" t="n"/>
    </row>
    <row r="202">
      <c r="A202" s="7" t="n"/>
      <c r="I202" s="8" t="n"/>
    </row>
    <row r="203">
      <c r="A203" s="7" t="n"/>
      <c r="I203" s="8" t="n"/>
    </row>
    <row r="204">
      <c r="A204" s="7" t="n"/>
      <c r="I204" s="8" t="n"/>
    </row>
    <row r="205">
      <c r="A205" s="7" t="n"/>
      <c r="I205" s="8" t="n"/>
    </row>
    <row r="206">
      <c r="A206" s="7" t="n"/>
      <c r="I206" s="8" t="n"/>
    </row>
    <row r="207" ht="16" customHeight="1" s="151" thickBot="1">
      <c r="A207" s="4" t="n"/>
      <c r="B207" s="5" t="n"/>
      <c r="C207" s="5" t="n"/>
      <c r="D207" s="5" t="n"/>
      <c r="E207" s="5" t="n"/>
      <c r="F207" s="5" t="n"/>
      <c r="G207" s="5" t="n"/>
      <c r="H207" s="5" t="n"/>
      <c r="I207" s="6" t="n"/>
    </row>
  </sheetData>
  <mergeCells count="40">
    <mergeCell ref="A48:B48"/>
    <mergeCell ref="B47:C47"/>
    <mergeCell ref="D13:F13"/>
    <mergeCell ref="G13:I13"/>
    <mergeCell ref="B8:D8"/>
    <mergeCell ref="A66:I66"/>
    <mergeCell ref="B46:C46"/>
    <mergeCell ref="D48:I48"/>
    <mergeCell ref="A74:I74"/>
    <mergeCell ref="A55:I55"/>
    <mergeCell ref="A12:I12"/>
    <mergeCell ref="D47:I47"/>
    <mergeCell ref="B56:I56"/>
    <mergeCell ref="A69:I69"/>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A49:I49"/>
    <mergeCell ref="D46:I46"/>
    <mergeCell ref="C59:I59"/>
    <mergeCell ref="B45:C45"/>
    <mergeCell ref="D45:I45"/>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5.xml><?xml version="1.0" encoding="utf-8"?>
<worksheet xmlns="http://schemas.openxmlformats.org/spreadsheetml/2006/main">
  <sheetPr>
    <outlinePr summaryBelow="1" summaryRight="1"/>
    <pageSetUpPr fitToPage="1"/>
  </sheetPr>
  <dimension ref="A1:J206"/>
  <sheetViews>
    <sheetView view="pageBreakPreview" zoomScale="40" zoomScaleNormal="55" zoomScaleSheetLayoutView="40" workbookViewId="0">
      <selection activeCell="B59" sqref="B59"/>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45905</v>
      </c>
    </row>
    <row r="7" ht="23.15" customHeight="1" s="151">
      <c r="A7" s="11" t="inlineStr">
        <is>
          <t>Project Location:</t>
        </is>
      </c>
      <c r="B7" s="119" t="inlineStr">
        <is>
          <t>Geraldton</t>
        </is>
      </c>
      <c r="E7" s="119" t="n"/>
      <c r="F7" s="13" t="n"/>
      <c r="G7" s="13" t="n"/>
      <c r="H7" s="16" t="inlineStr">
        <is>
          <t>Day:</t>
        </is>
      </c>
      <c r="I7" s="17" t="inlineStr">
        <is>
          <t>Friday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100</v>
      </c>
      <c r="C9" s="107" t="n"/>
      <c r="D9" s="107" t="n"/>
      <c r="E9" s="106" t="n"/>
      <c r="F9" s="20" t="n"/>
      <c r="G9" s="20" t="n"/>
      <c r="H9" s="16" t="inlineStr">
        <is>
          <t>Finish:</t>
        </is>
      </c>
      <c r="I9" s="18" t="n">
        <v>0.7083333333333334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19 degrees  Wind:  74km/h WE Precip: 4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v>11</v>
      </c>
      <c r="G15" s="29" t="inlineStr">
        <is>
          <t>Khegan Brockman</t>
        </is>
      </c>
      <c r="H15" s="26" t="inlineStr">
        <is>
          <t>Labourer</t>
        </is>
      </c>
      <c r="I15" s="30" t="n">
        <v>5</v>
      </c>
    </row>
    <row r="16" ht="23.15" customHeight="1" s="151">
      <c r="A16" s="25" t="inlineStr">
        <is>
          <t>GRIFFITHS, Daniel</t>
        </is>
      </c>
      <c r="B16" s="26" t="inlineStr">
        <is>
          <t>Project Manager</t>
        </is>
      </c>
      <c r="C16" s="31" t="n">
        <v>11</v>
      </c>
      <c r="D16" s="29" t="inlineStr">
        <is>
          <t>Hanly,Thomas</t>
        </is>
      </c>
      <c r="E16" s="26" t="inlineStr">
        <is>
          <t>Operator</t>
        </is>
      </c>
      <c r="F16" s="26" t="n"/>
      <c r="G16" s="29" t="inlineStr">
        <is>
          <t>Daniel McAuffile</t>
        </is>
      </c>
      <c r="H16" s="26" t="inlineStr">
        <is>
          <t>Operator</t>
        </is>
      </c>
      <c r="I16" s="30" t="n">
        <v>5</v>
      </c>
    </row>
    <row r="17" ht="23.15" customHeight="1" s="151">
      <c r="A17" s="25" t="inlineStr">
        <is>
          <t>O"SHEA, John</t>
        </is>
      </c>
      <c r="B17" s="26" t="inlineStr">
        <is>
          <t>Senior Project Engineer</t>
        </is>
      </c>
      <c r="C17" s="31" t="n"/>
      <c r="D17" s="32" t="n"/>
      <c r="E17" s="32" t="n"/>
      <c r="F17" s="26" t="n"/>
      <c r="G17" s="29" t="inlineStr">
        <is>
          <t>Jachai Griffiths</t>
        </is>
      </c>
      <c r="H17" s="26" t="inlineStr">
        <is>
          <t>Operator</t>
        </is>
      </c>
      <c r="I17" s="30" t="n"/>
    </row>
    <row r="18" ht="23.15" customHeight="1" s="151">
      <c r="A18" s="25" t="inlineStr">
        <is>
          <t>GRIFFITHS, Ashley</t>
        </is>
      </c>
      <c r="B18" s="26" t="inlineStr">
        <is>
          <t>Supervisor</t>
        </is>
      </c>
      <c r="C18" s="31" t="n"/>
      <c r="D18" s="28" t="n"/>
      <c r="E18" s="28" t="n"/>
      <c r="F18" s="26" t="n"/>
      <c r="G18" s="29" t="inlineStr">
        <is>
          <t>O'Brian, Jamie</t>
        </is>
      </c>
      <c r="H18" s="26" t="inlineStr">
        <is>
          <t>Operator</t>
        </is>
      </c>
      <c r="I18" s="30" t="n">
        <v>5</v>
      </c>
    </row>
    <row r="19" ht="23.15" customHeight="1" s="151">
      <c r="A19" s="25" t="inlineStr">
        <is>
          <t>LOW, June</t>
        </is>
      </c>
      <c r="B19" s="26" t="inlineStr">
        <is>
          <t>HSET</t>
        </is>
      </c>
      <c r="C19" s="31" t="n"/>
      <c r="D19" s="28" t="n"/>
      <c r="E19" s="28" t="n"/>
      <c r="F19" s="26" t="n"/>
      <c r="G19" s="29" t="inlineStr">
        <is>
          <t>O'Reilly,James</t>
        </is>
      </c>
      <c r="H19" s="26" t="inlineStr">
        <is>
          <t>Operator</t>
        </is>
      </c>
      <c r="I19" s="30" t="n"/>
    </row>
    <row r="20" ht="23.15" customHeight="1" s="151">
      <c r="A20" s="25" t="inlineStr">
        <is>
          <t>SKINNER,Jamie</t>
        </is>
      </c>
      <c r="B20" s="26" t="inlineStr">
        <is>
          <t>Supervisor</t>
        </is>
      </c>
      <c r="C20" s="31" t="n">
        <v>11.5</v>
      </c>
      <c r="D20" s="28" t="n"/>
      <c r="E20" s="28" t="n"/>
      <c r="F20" s="26" t="n"/>
      <c r="G20" s="29" t="inlineStr">
        <is>
          <t>Dixon, Warren</t>
        </is>
      </c>
      <c r="H20" s="26" t="inlineStr">
        <is>
          <t>Irrigation Installer</t>
        </is>
      </c>
      <c r="I20" s="30" t="n"/>
    </row>
    <row r="21" ht="23.15" customHeight="1" s="151">
      <c r="A21" s="25" t="n"/>
      <c r="B21" s="26" t="n"/>
      <c r="C21" s="31" t="n"/>
      <c r="D21" s="28" t="n"/>
      <c r="E21" s="28" t="n"/>
      <c r="F21" s="26" t="n"/>
      <c r="G21" s="29" t="inlineStr">
        <is>
          <t>Mosley,Joshua</t>
        </is>
      </c>
      <c r="H21" s="26" t="inlineStr">
        <is>
          <t>Surveyor</t>
        </is>
      </c>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77" t="n"/>
      <c r="H25" s="77" t="n"/>
      <c r="I25" s="36" t="n"/>
    </row>
    <row r="26" ht="23.15" customHeight="1" s="151">
      <c r="A26" s="131" t="inlineStr">
        <is>
          <t xml:space="preserve">Total Indirect Personnel onsite: </t>
        </is>
      </c>
      <c r="B26" s="34">
        <f>COUNT(C15:C26)</f>
        <v/>
      </c>
      <c r="C26" s="28" t="n"/>
      <c r="D26" s="28" t="n"/>
      <c r="E26" s="28" t="n"/>
      <c r="F26" s="26" t="n"/>
      <c r="G26" s="78" t="n"/>
      <c r="H26" s="77" t="n"/>
      <c r="I26" s="30" t="n"/>
    </row>
    <row r="27" ht="23.15" customHeight="1" s="151">
      <c r="A27" s="131" t="inlineStr">
        <is>
          <t xml:space="preserve">Total Indirect Personnel hours: </t>
        </is>
      </c>
      <c r="B27" s="34">
        <f>SUM(C15:C25)</f>
        <v/>
      </c>
      <c r="C27" s="31" t="n"/>
      <c r="D27" s="28" t="n"/>
      <c r="E27" s="28" t="n"/>
      <c r="F27" s="26" t="n"/>
      <c r="G27" s="35" t="inlineStr">
        <is>
          <t>Total Subcontractor on-site:</t>
        </is>
      </c>
      <c r="H27" s="36">
        <f>COUNT(I15:I25)</f>
        <v/>
      </c>
      <c r="I27" s="30" t="n"/>
    </row>
    <row r="28" ht="23.15" customHeight="1" s="151">
      <c r="A28" s="131" t="inlineStr">
        <is>
          <t xml:space="preserve">Total Direct Personnel onsite:  </t>
        </is>
      </c>
      <c r="B28" s="34">
        <f>COUNTIF(F15:F29,"&gt;0")</f>
        <v/>
      </c>
      <c r="C28" s="34" t="n"/>
      <c r="D28" s="28" t="n"/>
      <c r="E28" s="28" t="n"/>
      <c r="F28" s="37" t="n"/>
      <c r="G28" s="35" t="inlineStr">
        <is>
          <t>Total Subcontractor hours:</t>
        </is>
      </c>
      <c r="H28" s="36">
        <f>SUM(I15:I25)</f>
        <v/>
      </c>
      <c r="I28" s="130" t="n"/>
    </row>
    <row r="29" ht="23.15" customHeight="1" s="151">
      <c r="A29" s="131" t="inlineStr">
        <is>
          <t xml:space="preserve">Total Direct Personnel hours: </t>
        </is>
      </c>
      <c r="B29" s="34">
        <f>SUM(F15:F29)</f>
        <v/>
      </c>
      <c r="C29" s="34" t="n"/>
      <c r="D29" s="34" t="n"/>
      <c r="E29" s="34" t="n"/>
      <c r="F29" s="34" t="n"/>
      <c r="G29" s="34" t="n"/>
      <c r="H29" s="34" t="n"/>
      <c r="I29" s="130" t="n"/>
    </row>
    <row r="30" ht="25" customHeight="1" s="151">
      <c r="A30" s="39" t="inlineStr">
        <is>
          <t>PLANT &amp; EQUIPMENT</t>
        </is>
      </c>
      <c r="B30" s="40" t="n"/>
      <c r="C30" s="40" t="n"/>
      <c r="D30" s="40" t="n"/>
      <c r="E30" s="40" t="n"/>
      <c r="F30" s="40" t="n"/>
      <c r="G30" s="40" t="n"/>
      <c r="H30" s="40" t="n"/>
      <c r="I30" s="41" t="n"/>
    </row>
    <row r="31" ht="24" customHeight="1" s="151">
      <c r="A31" s="126" t="inlineStr">
        <is>
          <t>Plant</t>
        </is>
      </c>
      <c r="B31" s="127" t="inlineStr">
        <is>
          <t>ID</t>
        </is>
      </c>
      <c r="C31" s="127" t="inlineStr">
        <is>
          <t>Hours</t>
        </is>
      </c>
      <c r="D31" s="127" t="inlineStr">
        <is>
          <t xml:space="preserve"> Vehicles</t>
        </is>
      </c>
      <c r="E31" s="127" t="inlineStr">
        <is>
          <t>ID</t>
        </is>
      </c>
      <c r="F31" s="127" t="inlineStr">
        <is>
          <t>QTY</t>
        </is>
      </c>
      <c r="G31" s="42" t="inlineStr">
        <is>
          <t>Site Facilities</t>
        </is>
      </c>
      <c r="H31" s="42" t="inlineStr">
        <is>
          <t>ID</t>
        </is>
      </c>
      <c r="I31" s="43" t="inlineStr">
        <is>
          <t>Qty</t>
        </is>
      </c>
    </row>
    <row r="32" ht="23.15" customHeight="1" s="151">
      <c r="A32" s="25" t="inlineStr">
        <is>
          <t>Komatsu WA320</t>
        </is>
      </c>
      <c r="B32" s="26" t="inlineStr">
        <is>
          <t>FWL18</t>
        </is>
      </c>
      <c r="C32" s="26" t="n">
        <v>5</v>
      </c>
      <c r="D32" s="31" t="inlineStr">
        <is>
          <t>Hilux</t>
        </is>
      </c>
      <c r="E32" s="31" t="inlineStr">
        <is>
          <t>DLV90</t>
        </is>
      </c>
      <c r="F32" s="31" t="n">
        <v>1</v>
      </c>
      <c r="G32" s="31" t="inlineStr">
        <is>
          <t>Office 40ft</t>
        </is>
      </c>
      <c r="H32" s="31" t="n">
        <v>9255540</v>
      </c>
      <c r="I32" s="30" t="n">
        <v>1</v>
      </c>
    </row>
    <row r="33" ht="23.15" customHeight="1" s="151">
      <c r="A33" s="25" t="inlineStr">
        <is>
          <t>Wacker Neuson DPU</t>
        </is>
      </c>
      <c r="B33" s="26" t="inlineStr">
        <is>
          <t>DPC15</t>
        </is>
      </c>
      <c r="C33" s="26" t="n"/>
      <c r="D33" s="31" t="inlineStr">
        <is>
          <t>Hilux</t>
        </is>
      </c>
      <c r="E33" s="31" t="inlineStr">
        <is>
          <t>1DAH:400</t>
        </is>
      </c>
      <c r="F33" s="31" t="n">
        <v>1</v>
      </c>
      <c r="G33" s="31" t="inlineStr">
        <is>
          <t>Sea Container 20ft</t>
        </is>
      </c>
      <c r="H33" s="26" t="n">
        <v>951200</v>
      </c>
      <c r="I33" s="30" t="n">
        <v>1</v>
      </c>
    </row>
    <row r="34" ht="23.15" customHeight="1" s="151">
      <c r="A34" s="44" t="inlineStr">
        <is>
          <t>Watercart</t>
        </is>
      </c>
      <c r="B34" s="31" t="inlineStr">
        <is>
          <t>WC04</t>
        </is>
      </c>
      <c r="C34" s="26" t="n"/>
      <c r="D34" s="31" t="n"/>
      <c r="E34" s="26" t="n"/>
      <c r="F34" s="31" t="n"/>
      <c r="G34" s="31" t="inlineStr">
        <is>
          <t>Site Sentry Tower</t>
        </is>
      </c>
      <c r="H34" s="31" t="n"/>
      <c r="I34" s="30" t="n">
        <v>2</v>
      </c>
    </row>
    <row r="35" ht="23.15" customHeight="1" s="151">
      <c r="A35" s="44" t="inlineStr">
        <is>
          <t>8T Excavator</t>
        </is>
      </c>
      <c r="B35" s="45" t="inlineStr">
        <is>
          <t>AMG 014</t>
        </is>
      </c>
      <c r="C35" s="26" t="n"/>
      <c r="D35" s="31" t="n"/>
      <c r="E35" s="31" t="n"/>
      <c r="F35" s="31" t="n"/>
      <c r="G35" s="31" t="inlineStr">
        <is>
          <t>Skip Bin</t>
        </is>
      </c>
      <c r="H35" s="31" t="n"/>
      <c r="I35" s="30" t="n">
        <v>1</v>
      </c>
    </row>
    <row r="36" ht="23.15" customHeight="1" s="151">
      <c r="A36" s="31" t="inlineStr">
        <is>
          <t>Mini Tipper</t>
        </is>
      </c>
      <c r="B36" s="31" t="inlineStr">
        <is>
          <t>SLS05</t>
        </is>
      </c>
      <c r="C36" s="31" t="n"/>
      <c r="D36" s="31" t="n"/>
      <c r="E36" s="31" t="n"/>
      <c r="F36" s="31" t="n"/>
      <c r="G36" s="31" t="inlineStr">
        <is>
          <t>Hydrocarbon Bund</t>
        </is>
      </c>
      <c r="H36" s="31" t="n"/>
      <c r="I36" s="30" t="n">
        <v>1</v>
      </c>
    </row>
    <row r="37" ht="23.15" customHeight="1" s="151">
      <c r="A37" s="76" t="inlineStr">
        <is>
          <t>1 t Excavator</t>
        </is>
      </c>
      <c r="B37" s="31" t="inlineStr">
        <is>
          <t>SLS03</t>
        </is>
      </c>
      <c r="C37" s="31" t="n"/>
      <c r="D37" s="31" t="n"/>
      <c r="E37" s="31" t="n"/>
      <c r="F37" s="31" t="n"/>
      <c r="G37" s="31" t="inlineStr">
        <is>
          <t>Temp Fence</t>
        </is>
      </c>
      <c r="H37" s="26" t="n"/>
      <c r="I37" s="30" t="n">
        <v>1</v>
      </c>
    </row>
    <row r="38" ht="24" customHeight="1" s="151">
      <c r="A38" s="76" t="inlineStr">
        <is>
          <t>14t Excavator with GPS</t>
        </is>
      </c>
      <c r="B38" s="31" t="inlineStr">
        <is>
          <t>EX153</t>
        </is>
      </c>
      <c r="C38" s="31" t="n">
        <v>5</v>
      </c>
      <c r="D38" s="31" t="n"/>
      <c r="E38" s="31" t="n"/>
      <c r="F38" s="31" t="n"/>
      <c r="G38" s="2" t="n"/>
      <c r="H38" s="2" t="n"/>
      <c r="I38" s="3" t="n"/>
    </row>
    <row r="39" ht="24" customHeight="1" s="151">
      <c r="A39" s="76" t="inlineStr">
        <is>
          <t>5t Excavator</t>
        </is>
      </c>
      <c r="B39" s="31" t="inlineStr">
        <is>
          <t>A118</t>
        </is>
      </c>
      <c r="C39" s="31" t="n"/>
      <c r="D39" s="31" t="n"/>
      <c r="E39" s="31" t="n"/>
      <c r="F39" s="31" t="n"/>
      <c r="G39" s="2" t="n"/>
      <c r="H39" s="2" t="n"/>
      <c r="I39" s="3" t="n"/>
    </row>
    <row r="40" ht="24" customHeight="1" s="151">
      <c r="A40" s="44" t="inlineStr">
        <is>
          <t>Padfoot/ Smooth Drum Roller</t>
        </is>
      </c>
      <c r="B40" s="31" t="inlineStr">
        <is>
          <t>RR 03</t>
        </is>
      </c>
      <c r="C40" s="26" t="n"/>
      <c r="D40" s="31" t="n"/>
      <c r="E40" s="31" t="n"/>
      <c r="F40" s="31" t="n"/>
      <c r="G40" s="2" t="n"/>
      <c r="H40" s="2" t="n"/>
      <c r="I40" s="3" t="n"/>
    </row>
    <row r="41" ht="24" customHeight="1" s="151">
      <c r="A41" s="44" t="inlineStr">
        <is>
          <t>Multi Roller</t>
        </is>
      </c>
      <c r="B41" s="31" t="n">
        <v>256</v>
      </c>
      <c r="C41" s="26" t="n"/>
      <c r="D41" s="31" t="n"/>
      <c r="E41" s="31" t="n"/>
      <c r="F41" s="31" t="n"/>
      <c r="G41" s="2" t="n"/>
      <c r="H41" s="2" t="n"/>
      <c r="I41" s="3" t="n"/>
    </row>
    <row r="42" ht="24" customHeight="1" s="151">
      <c r="A42" s="44" t="inlineStr">
        <is>
          <t>Positrak SSL</t>
        </is>
      </c>
      <c r="B42" s="31" t="inlineStr">
        <is>
          <t>SSL08</t>
        </is>
      </c>
      <c r="C42" s="26" t="n">
        <v>5</v>
      </c>
      <c r="D42" s="31" t="n"/>
      <c r="E42" s="31" t="n"/>
      <c r="F42" s="31" t="n"/>
      <c r="G42" s="2" t="n"/>
      <c r="H42" s="2" t="n"/>
      <c r="I42" s="3" t="n"/>
    </row>
    <row r="43" ht="24" customHeight="1" s="151">
      <c r="A43" s="44" t="inlineStr">
        <is>
          <t>Grader</t>
        </is>
      </c>
      <c r="B43" s="31" t="inlineStr">
        <is>
          <t>SLS01</t>
        </is>
      </c>
      <c r="C43" s="26" t="n"/>
      <c r="D43" s="31" t="n"/>
      <c r="E43" s="31" t="n"/>
      <c r="F43" s="31" t="n"/>
      <c r="G43" s="2" t="n"/>
      <c r="H43" s="2" t="n"/>
      <c r="I43" s="3" t="n"/>
    </row>
    <row r="44" ht="24" customHeight="1" s="151">
      <c r="A44" s="44" t="n"/>
      <c r="B44" s="31" t="n"/>
      <c r="C44" s="26" t="n"/>
      <c r="D44" s="2" t="n"/>
      <c r="E44" s="2" t="n"/>
      <c r="F44" s="2" t="n"/>
      <c r="G44" s="2" t="n"/>
      <c r="H44" s="2" t="n"/>
      <c r="I44" s="3" t="n"/>
    </row>
    <row r="45" ht="18" customHeight="1" s="151">
      <c r="A45" s="46" t="n">
        <v>0</v>
      </c>
      <c r="B45" s="128" t="inlineStr">
        <is>
          <t xml:space="preserve">Repairs Required </t>
        </is>
      </c>
      <c r="C45" s="118" t="n"/>
      <c r="D45" s="129" t="inlineStr">
        <is>
          <t>N/A</t>
        </is>
      </c>
      <c r="E45" s="159" t="n"/>
      <c r="F45" s="159" t="n"/>
      <c r="G45" s="159" t="n"/>
      <c r="H45" s="159" t="n"/>
      <c r="I45" s="160" t="n"/>
    </row>
    <row r="46" ht="18" customHeight="1" s="151">
      <c r="A46" s="47" t="n">
        <v>0</v>
      </c>
      <c r="B46" s="128" t="inlineStr">
        <is>
          <t>Scheduled Service</t>
        </is>
      </c>
      <c r="C46" s="118" t="n"/>
      <c r="D46" s="129" t="inlineStr">
        <is>
          <t>N/A</t>
        </is>
      </c>
      <c r="E46" s="159" t="n"/>
      <c r="F46" s="159" t="n"/>
      <c r="G46" s="159" t="n"/>
      <c r="H46" s="159" t="n"/>
      <c r="I46" s="160" t="n"/>
    </row>
    <row r="47" ht="18" customHeight="1" s="151">
      <c r="A47" s="48" t="n">
        <v>0</v>
      </c>
      <c r="B47" s="128" t="n"/>
      <c r="C47" s="118" t="n"/>
      <c r="D47" s="129" t="inlineStr">
        <is>
          <t>N/A</t>
        </is>
      </c>
      <c r="E47" s="159" t="n"/>
      <c r="F47" s="159" t="n"/>
      <c r="G47" s="159" t="n"/>
      <c r="H47" s="159" t="n"/>
      <c r="I47" s="160" t="n"/>
    </row>
    <row r="48" ht="23.15" customHeight="1" s="151">
      <c r="A48" s="131" t="inlineStr">
        <is>
          <t xml:space="preserve">Total Plant and Equipment Hours: </t>
        </is>
      </c>
      <c r="B48" s="118" t="n"/>
      <c r="C48" s="49">
        <f>SUM(C32:C44)</f>
        <v/>
      </c>
      <c r="D48" s="132" t="n"/>
      <c r="E48" s="159" t="n"/>
      <c r="F48" s="159" t="n"/>
      <c r="G48" s="159" t="n"/>
      <c r="H48" s="159" t="n"/>
      <c r="I48" s="160" t="n"/>
    </row>
    <row r="49" ht="25" customHeight="1" s="151">
      <c r="A49" s="120" t="inlineStr">
        <is>
          <t>DELAYS-OPPORTUNITY</t>
        </is>
      </c>
      <c r="B49" s="159" t="n"/>
      <c r="C49" s="159" t="n"/>
      <c r="D49" s="159" t="n"/>
      <c r="E49" s="159" t="n"/>
      <c r="F49" s="159" t="n"/>
      <c r="G49" s="159" t="n"/>
      <c r="H49" s="159" t="n"/>
      <c r="I49" s="160" t="n"/>
    </row>
    <row r="50" ht="20.15" customHeight="1" s="151">
      <c r="A50" s="50" t="n"/>
      <c r="B50" s="51" t="n"/>
      <c r="C50" s="51" t="n"/>
      <c r="D50" s="51" t="n"/>
      <c r="E50" s="51" t="n"/>
      <c r="F50" s="51" t="n"/>
      <c r="G50" s="51" t="n"/>
      <c r="H50" s="51" t="n"/>
      <c r="I50" s="52" t="n"/>
    </row>
    <row r="51" ht="15" customHeight="1" s="151" thickBot="1">
      <c r="A51" s="133" t="inlineStr">
        <is>
          <t>New Detail Provided on Centrelink Carpark                                                            .Heavy rain event
Kerbing Plan reissued by TCD
Awaiting Direction on Service Clash Forrest Street
Awaiting Confirmation on Batters Treatment 
Awaiting finalised fencing details
Awaiting COGG confirmation on "Ballast Pile"
Instructions Provided for Laneway Sewer, Drainage and Light Pole Removal</t>
        </is>
      </c>
      <c r="B51" s="124" t="n"/>
      <c r="C51" s="124" t="n"/>
      <c r="D51" s="124" t="n"/>
      <c r="E51" s="124" t="n"/>
      <c r="F51" s="124" t="n"/>
      <c r="G51" s="124" t="n"/>
      <c r="H51" s="124" t="n"/>
      <c r="I51" s="125" t="n"/>
    </row>
    <row r="52">
      <c r="A52" s="111" t="n"/>
      <c r="I52" s="113" t="n"/>
    </row>
    <row r="53" ht="49.5" customHeight="1" s="151">
      <c r="A53" s="111" t="n"/>
      <c r="I53" s="113" t="n"/>
    </row>
    <row r="54" ht="80.15000000000001" customHeight="1" s="151" thickBot="1">
      <c r="A54" s="134" t="n"/>
      <c r="B54" s="135" t="n"/>
      <c r="C54" s="135" t="n"/>
      <c r="D54" s="135" t="n"/>
      <c r="E54" s="135" t="n"/>
      <c r="F54" s="135" t="n"/>
      <c r="G54" s="135" t="n"/>
      <c r="H54" s="135" t="n"/>
      <c r="I54" s="136" t="n"/>
    </row>
    <row r="55" ht="25" customHeight="1" s="151">
      <c r="A55" s="137" t="inlineStr">
        <is>
          <t>HSEQ MESSAGES</t>
        </is>
      </c>
      <c r="B55" s="138" t="n"/>
      <c r="C55" s="138" t="n"/>
      <c r="D55" s="138" t="n"/>
      <c r="E55" s="138" t="n"/>
      <c r="F55" s="138" t="n"/>
      <c r="G55" s="138" t="n"/>
      <c r="H55" s="138" t="n"/>
      <c r="I55" s="139" t="n"/>
    </row>
    <row r="56" ht="18" customHeight="1" s="151">
      <c r="A56" s="53" t="inlineStr">
        <is>
          <t>TCD - Monthly Safety Focus:</t>
        </is>
      </c>
      <c r="B56" s="140" t="inlineStr">
        <is>
          <t>Underground Services</t>
        </is>
      </c>
      <c r="C56" s="159" t="n"/>
      <c r="D56" s="159" t="n"/>
      <c r="E56" s="159" t="n"/>
      <c r="F56" s="159" t="n"/>
      <c r="G56" s="159" t="n"/>
      <c r="H56" s="159" t="n"/>
      <c r="I56" s="118" t="n"/>
    </row>
    <row r="57" ht="24" customHeight="1" s="151">
      <c r="A57" s="53" t="inlineStr">
        <is>
          <t>TCD - Daily Safety Focus:</t>
        </is>
      </c>
      <c r="B57" s="141" t="inlineStr">
        <is>
          <t>Well done and getting bitumen down!</t>
        </is>
      </c>
      <c r="C57" s="159" t="n"/>
      <c r="D57" s="159" t="n"/>
      <c r="E57" s="159" t="n"/>
      <c r="F57" s="159" t="n"/>
      <c r="G57" s="159" t="n"/>
      <c r="H57" s="159" t="n"/>
      <c r="I57" s="160" t="n"/>
    </row>
    <row r="58" ht="18" customHeight="1" s="151">
      <c r="A58" s="54" t="inlineStr">
        <is>
          <t xml:space="preserve">Hazards Reported: </t>
        </is>
      </c>
      <c r="B58" s="55" t="inlineStr">
        <is>
          <t>Nil</t>
        </is>
      </c>
      <c r="C58" s="141" t="n"/>
      <c r="D58" s="159" t="n"/>
      <c r="E58" s="159" t="n"/>
      <c r="F58" s="159" t="n"/>
      <c r="G58" s="159" t="n"/>
      <c r="H58" s="159" t="n"/>
      <c r="I58" s="160" t="n"/>
    </row>
    <row r="59" ht="18" customHeight="1" s="151">
      <c r="A59" s="54" t="inlineStr">
        <is>
          <t>Incident Free Days</t>
        </is>
      </c>
      <c r="B59" s="55" t="n">
        <v>15</v>
      </c>
      <c r="C59" s="140" t="n"/>
      <c r="D59" s="159" t="n"/>
      <c r="E59" s="159" t="n"/>
      <c r="F59" s="159" t="n"/>
      <c r="G59" s="159" t="n"/>
      <c r="H59" s="159" t="n"/>
      <c r="I59" s="118" t="n"/>
    </row>
    <row r="60" ht="18" customHeight="1" s="151">
      <c r="A60" s="56" t="inlineStr">
        <is>
          <t>Other Notes</t>
        </is>
      </c>
      <c r="B60" s="142" t="n"/>
      <c r="C60" s="124" t="n"/>
      <c r="D60" s="124" t="n"/>
      <c r="E60" s="124" t="n"/>
      <c r="F60" s="124" t="n"/>
      <c r="G60" s="124" t="n"/>
      <c r="H60" s="124" t="n"/>
      <c r="I60" s="125" t="n"/>
    </row>
    <row r="61" ht="20.25" customHeight="1" s="151">
      <c r="A61" s="120" t="inlineStr">
        <is>
          <t xml:space="preserve">INCIDENTS &amp; REPORTS </t>
        </is>
      </c>
      <c r="B61" s="159" t="n"/>
      <c r="C61" s="159" t="n"/>
      <c r="D61" s="159" t="n"/>
      <c r="E61" s="159" t="n"/>
      <c r="F61" s="159" t="n"/>
      <c r="G61" s="159" t="n"/>
      <c r="H61" s="159" t="n"/>
      <c r="I61" s="160" t="n"/>
    </row>
    <row r="62" ht="25" customHeight="1" s="151">
      <c r="A62" s="57" t="n"/>
      <c r="B62" s="127" t="inlineStr">
        <is>
          <t>QTY</t>
        </is>
      </c>
      <c r="C62" s="130" t="inlineStr">
        <is>
          <t>Comments</t>
        </is>
      </c>
      <c r="D62" s="159" t="n"/>
      <c r="E62" s="159" t="n"/>
      <c r="F62" s="159" t="n"/>
      <c r="G62" s="159" t="n"/>
      <c r="H62" s="159" t="n"/>
      <c r="I62" s="160" t="n"/>
    </row>
    <row r="63" ht="25" customHeight="1" s="151">
      <c r="A63" s="58" t="inlineStr">
        <is>
          <t>INCIDENT</t>
        </is>
      </c>
      <c r="B63" s="127" t="n">
        <v>0</v>
      </c>
      <c r="C63" s="129" t="inlineStr">
        <is>
          <t>NA</t>
        </is>
      </c>
      <c r="D63" s="159" t="n"/>
      <c r="E63" s="159" t="n"/>
      <c r="F63" s="159" t="n"/>
      <c r="G63" s="159" t="n"/>
      <c r="H63" s="159" t="n"/>
      <c r="I63" s="160" t="n"/>
    </row>
    <row r="64" ht="25" customHeight="1" s="151">
      <c r="A64" s="59" t="inlineStr">
        <is>
          <t>IR</t>
        </is>
      </c>
      <c r="B64" s="60" t="n">
        <v>0</v>
      </c>
      <c r="C64" s="145" t="inlineStr">
        <is>
          <t>NA</t>
        </is>
      </c>
      <c r="D64" s="124" t="n"/>
      <c r="E64" s="124" t="n"/>
      <c r="F64" s="124" t="n"/>
      <c r="G64" s="124" t="n"/>
      <c r="H64" s="124" t="n"/>
      <c r="I64" s="125" t="n"/>
    </row>
    <row r="65" ht="25" customHeight="1" s="151" thickBot="1">
      <c r="A65" s="61" t="inlineStr">
        <is>
          <t>NCR</t>
        </is>
      </c>
      <c r="B65" s="62" t="n">
        <v>0</v>
      </c>
      <c r="C65" s="146" t="inlineStr">
        <is>
          <t>NA</t>
        </is>
      </c>
      <c r="D65" s="147" t="n"/>
      <c r="E65" s="147" t="n"/>
      <c r="F65" s="147" t="n"/>
      <c r="G65" s="147" t="n"/>
      <c r="H65" s="147" t="n"/>
      <c r="I65" s="148" t="n"/>
    </row>
    <row r="66" ht="20.25" customHeight="1" s="151">
      <c r="A66" s="137" t="inlineStr">
        <is>
          <t>COMMUNICATIONS</t>
        </is>
      </c>
      <c r="B66" s="138" t="n"/>
      <c r="C66" s="138" t="n"/>
      <c r="D66" s="138" t="n"/>
      <c r="E66" s="138" t="n"/>
      <c r="F66" s="138" t="n"/>
      <c r="G66" s="138" t="n"/>
      <c r="H66" s="138" t="n"/>
      <c r="I66" s="139" t="n"/>
    </row>
    <row r="67" ht="25" customHeight="1" s="151">
      <c r="A67" s="149" t="inlineStr">
        <is>
          <t>TGS MB1119-05 Scheme D impletmented</t>
        </is>
      </c>
      <c r="B67" s="159" t="n"/>
      <c r="C67" s="159" t="n"/>
      <c r="D67" s="159" t="n"/>
      <c r="E67" s="159" t="n"/>
      <c r="F67" s="159" t="n"/>
      <c r="G67" s="159" t="n"/>
      <c r="H67" s="159" t="n"/>
      <c r="I67" s="160" t="n"/>
    </row>
    <row r="68" ht="25" customHeight="1" s="151">
      <c r="A68" s="149" t="n"/>
      <c r="B68" s="159" t="n"/>
      <c r="C68" s="159" t="n"/>
      <c r="D68" s="159" t="n"/>
      <c r="E68" s="159" t="n"/>
      <c r="F68" s="159" t="n"/>
      <c r="G68" s="159" t="n"/>
      <c r="H68" s="159" t="n"/>
      <c r="I68" s="160" t="n"/>
    </row>
    <row r="69" ht="25" customHeight="1" s="151">
      <c r="A69" s="120" t="inlineStr">
        <is>
          <t>PRODUCTION (CONSTRUCTION STATUS &amp; PROGRESS)</t>
        </is>
      </c>
      <c r="B69" s="159" t="n"/>
      <c r="C69" s="159" t="n"/>
      <c r="D69" s="159" t="n"/>
      <c r="E69" s="159" t="n"/>
      <c r="F69" s="159" t="n"/>
      <c r="G69" s="159" t="n"/>
      <c r="H69" s="159" t="n"/>
      <c r="I69" s="160" t="n"/>
    </row>
    <row r="70" ht="25" customHeight="1" s="151">
      <c r="A70" s="63" t="inlineStr">
        <is>
          <t xml:space="preserve">.Laterial install into garden beds@ Forrest st end </t>
        </is>
      </c>
      <c r="B70" s="64" t="n"/>
      <c r="C70" s="9" t="n"/>
      <c r="D70" s="9" t="n"/>
      <c r="E70" s="9" t="n"/>
      <c r="F70" s="64" t="n"/>
      <c r="G70" s="64" t="n"/>
      <c r="H70" s="64" t="n"/>
      <c r="I70" s="65" t="n"/>
    </row>
    <row r="71" ht="25" customHeight="1" s="151">
      <c r="A71" s="63" t="inlineStr">
        <is>
          <t>.Removal of pavers for shut works@ Foreshore</t>
        </is>
      </c>
      <c r="B71" s="64" t="n"/>
      <c r="C71" s="9" t="n"/>
      <c r="D71" s="9" t="n"/>
      <c r="E71" s="64" t="n"/>
      <c r="F71" s="64" t="n"/>
      <c r="G71" s="64" t="n"/>
      <c r="H71" s="64" t="n"/>
      <c r="I71" s="65" t="n"/>
    </row>
    <row r="72" ht="25" customHeight="1" s="151">
      <c r="A72" s="63" t="n"/>
      <c r="B72" s="64" t="n"/>
      <c r="C72" s="9" t="n"/>
      <c r="D72" s="64" t="n"/>
      <c r="E72" s="64" t="n"/>
      <c r="F72" s="64" t="n"/>
      <c r="G72" s="64" t="n"/>
      <c r="H72" s="64" t="n"/>
      <c r="I72" s="65" t="n"/>
    </row>
    <row r="73" ht="26.15" customHeight="1" s="151" thickBot="1">
      <c r="A73" s="123" t="inlineStr">
        <is>
          <t>Photos</t>
        </is>
      </c>
      <c r="B73" s="124" t="n"/>
      <c r="C73" s="124" t="n"/>
      <c r="D73" s="124" t="n"/>
      <c r="E73" s="124" t="n"/>
      <c r="F73" s="124" t="n"/>
      <c r="G73" s="124" t="n"/>
      <c r="H73" s="124" t="n"/>
      <c r="I73" s="125" t="n"/>
    </row>
    <row r="74" ht="23.15" customHeight="1" s="151">
      <c r="A74" s="66" t="n"/>
      <c r="B74" s="67" t="n"/>
      <c r="C74" s="67" t="n"/>
      <c r="D74" s="67" t="n"/>
      <c r="E74" s="67" t="n"/>
      <c r="F74" s="67" t="n"/>
      <c r="G74" s="67" t="n"/>
      <c r="H74" s="67" t="n"/>
      <c r="I74" s="68" t="n"/>
    </row>
    <row r="75" ht="23.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H96" s="70" t="n"/>
      <c r="I96" s="71" t="n"/>
    </row>
    <row r="97" ht="25" customFormat="1" customHeight="1" s="10">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thickBot="1">
      <c r="A112" s="72" t="n"/>
      <c r="B112" s="73" t="n"/>
      <c r="C112" s="73" t="n"/>
      <c r="D112" s="73" t="n"/>
      <c r="E112" s="73" t="n"/>
      <c r="F112" s="73" t="n"/>
      <c r="G112" s="73" t="n"/>
      <c r="H112" s="73" t="n"/>
      <c r="I112" s="74"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2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28"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thickBot="1">
      <c r="A137" s="69" t="n"/>
      <c r="B137" s="70" t="n"/>
      <c r="C137" s="70" t="n"/>
      <c r="D137" s="70" t="n"/>
      <c r="E137" s="70" t="n"/>
      <c r="F137" s="70" t="n"/>
      <c r="G137" s="70" t="n"/>
      <c r="H137" s="70" t="n"/>
      <c r="I137" s="71" t="n"/>
      <c r="J137" s="75"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6" customHeight="1" s="151">
      <c r="A144" s="69" t="n"/>
      <c r="B144" s="70" t="n"/>
      <c r="C144" s="70" t="n"/>
      <c r="D144" s="70" t="n"/>
      <c r="E144" s="70" t="n"/>
      <c r="F144" s="70" t="n"/>
      <c r="G144" s="70" t="n"/>
      <c r="H144" s="70" t="n"/>
      <c r="I144" s="71" t="n"/>
    </row>
    <row r="145" ht="30.75" customHeight="1" s="151">
      <c r="A145" s="143" t="n"/>
      <c r="E145" s="144" t="n"/>
      <c r="I145" s="113"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ht="16" customHeight="1" s="151" thickBot="1">
      <c r="A199" s="4" t="n"/>
      <c r="B199" s="5" t="n"/>
      <c r="C199" s="5" t="n"/>
      <c r="D199" s="5" t="n"/>
      <c r="E199" s="5" t="n"/>
      <c r="F199" s="5" t="n"/>
      <c r="G199" s="5" t="n"/>
      <c r="H199" s="5" t="n"/>
      <c r="I199" s="6" t="n"/>
    </row>
    <row r="200">
      <c r="A200" s="7" t="n"/>
      <c r="I200" s="8" t="n"/>
    </row>
    <row r="201">
      <c r="A201" s="7" t="n"/>
      <c r="I201" s="8" t="n"/>
    </row>
    <row r="202">
      <c r="A202" s="7" t="n"/>
      <c r="I202" s="8" t="n"/>
    </row>
    <row r="203">
      <c r="A203" s="7" t="n"/>
      <c r="I203" s="8" t="n"/>
    </row>
    <row r="204">
      <c r="A204" s="7" t="n"/>
      <c r="I204" s="8" t="n"/>
    </row>
    <row r="205">
      <c r="A205" s="7" t="n"/>
      <c r="I205" s="8" t="n"/>
    </row>
    <row r="206" ht="16" customHeight="1" s="151" thickBot="1">
      <c r="A206" s="4" t="n"/>
      <c r="B206" s="5" t="n"/>
      <c r="C206" s="5" t="n"/>
      <c r="D206" s="5" t="n"/>
      <c r="E206" s="5" t="n"/>
      <c r="F206" s="5" t="n"/>
      <c r="G206" s="5" t="n"/>
      <c r="H206" s="5" t="n"/>
      <c r="I206" s="6" t="n"/>
    </row>
  </sheetData>
  <mergeCells count="40">
    <mergeCell ref="A48:B48"/>
    <mergeCell ref="B47:C47"/>
    <mergeCell ref="D13:F13"/>
    <mergeCell ref="G13:I13"/>
    <mergeCell ref="B8:D8"/>
    <mergeCell ref="A66:I66"/>
    <mergeCell ref="B46:C46"/>
    <mergeCell ref="D48:I48"/>
    <mergeCell ref="A55:I55"/>
    <mergeCell ref="A12:I12"/>
    <mergeCell ref="D47:I47"/>
    <mergeCell ref="B56:I56"/>
    <mergeCell ref="A5:I5"/>
    <mergeCell ref="A51:I54"/>
    <mergeCell ref="B9:D9"/>
    <mergeCell ref="B60:I60"/>
    <mergeCell ref="C62:I62"/>
    <mergeCell ref="B57:I57"/>
    <mergeCell ref="B6:D6"/>
    <mergeCell ref="C58:I58"/>
    <mergeCell ref="A13:C13"/>
    <mergeCell ref="A68:I68"/>
    <mergeCell ref="A10:I10"/>
    <mergeCell ref="A1:I4"/>
    <mergeCell ref="C64:I64"/>
    <mergeCell ref="A67:I67"/>
    <mergeCell ref="B7:D7"/>
    <mergeCell ref="C63:I63"/>
    <mergeCell ref="C65:I65"/>
    <mergeCell ref="A73:I73"/>
    <mergeCell ref="A11:I11"/>
    <mergeCell ref="A49:I49"/>
    <mergeCell ref="D46:I46"/>
    <mergeCell ref="A145:D145"/>
    <mergeCell ref="C59:I59"/>
    <mergeCell ref="B45:C45"/>
    <mergeCell ref="D45:I45"/>
    <mergeCell ref="A61:I61"/>
    <mergeCell ref="A69:I69"/>
    <mergeCell ref="E145:I145"/>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2" min="0" max="8" man="1"/>
  </rowBreaks>
</worksheet>
</file>

<file path=xl/worksheets/sheet6.xml><?xml version="1.0" encoding="utf-8"?>
<worksheet xmlns="http://schemas.openxmlformats.org/spreadsheetml/2006/main">
  <sheetPr>
    <outlinePr summaryBelow="1" summaryRight="1"/>
    <pageSetUpPr fitToPage="1"/>
  </sheetPr>
  <dimension ref="A1:J207"/>
  <sheetViews>
    <sheetView view="pageBreakPreview" topLeftCell="A33" zoomScale="40" zoomScaleNormal="55" zoomScaleSheetLayoutView="40" workbookViewId="0">
      <selection activeCell="D47" sqref="D47:I47"/>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45908</v>
      </c>
    </row>
    <row r="7" ht="23.15" customHeight="1" s="151">
      <c r="A7" s="11" t="inlineStr">
        <is>
          <t>Project Location:</t>
        </is>
      </c>
      <c r="B7" s="119" t="inlineStr">
        <is>
          <t>Geraldton</t>
        </is>
      </c>
      <c r="E7" s="119" t="n"/>
      <c r="F7" s="13" t="n"/>
      <c r="G7" s="13" t="n"/>
      <c r="H7" s="16" t="inlineStr">
        <is>
          <t>Day:</t>
        </is>
      </c>
      <c r="I7" s="17" t="inlineStr">
        <is>
          <t>Monday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101</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17 degrees  Wind:  74km/h WE Precip: 6.2 mm (29.6mm over the weekend)</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c r="G15" s="29" t="inlineStr">
        <is>
          <t>Khegan Brockman</t>
        </is>
      </c>
      <c r="H15" s="26" t="inlineStr">
        <is>
          <t>Labourer</t>
        </is>
      </c>
      <c r="I15" s="30" t="n">
        <v>10</v>
      </c>
    </row>
    <row r="16" ht="23.15" customHeight="1" s="151">
      <c r="A16" s="25" t="inlineStr">
        <is>
          <t>GRIFFITHS, Daniel</t>
        </is>
      </c>
      <c r="B16" s="26" t="inlineStr">
        <is>
          <t>Project Manager</t>
        </is>
      </c>
      <c r="C16" s="31" t="n">
        <v>11.5</v>
      </c>
      <c r="D16" s="29"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c r="D17" s="32" t="n"/>
      <c r="E17" s="32" t="n"/>
      <c r="F17" s="26" t="n"/>
      <c r="G17" s="29" t="inlineStr">
        <is>
          <t>Jachai Griffiths</t>
        </is>
      </c>
      <c r="H17" s="26" t="inlineStr">
        <is>
          <t>Operator</t>
        </is>
      </c>
      <c r="I17" s="30" t="n"/>
    </row>
    <row r="18" ht="23.15" customHeight="1" s="151">
      <c r="A18" s="25" t="inlineStr">
        <is>
          <t>GRIFFITHS, Ashley</t>
        </is>
      </c>
      <c r="B18" s="26" t="inlineStr">
        <is>
          <t>Supervisor</t>
        </is>
      </c>
      <c r="C18" s="31" t="n"/>
      <c r="D18" s="28" t="n"/>
      <c r="E18" s="28" t="n"/>
      <c r="F18" s="26" t="n"/>
      <c r="G18" s="29" t="inlineStr">
        <is>
          <t>O'Brian, Jamie</t>
        </is>
      </c>
      <c r="H18" s="26" t="inlineStr">
        <is>
          <t>Operator</t>
        </is>
      </c>
      <c r="I18" s="30" t="n">
        <v>10</v>
      </c>
    </row>
    <row r="19" ht="23.15" customHeight="1" s="151">
      <c r="A19" s="25" t="inlineStr">
        <is>
          <t>SKINNER,Jamie</t>
        </is>
      </c>
      <c r="B19" s="26" t="inlineStr">
        <is>
          <t>Supervisor</t>
        </is>
      </c>
      <c r="C19" s="31" t="n">
        <v>11.5</v>
      </c>
      <c r="D19" s="28" t="n"/>
      <c r="E19" s="28" t="n"/>
      <c r="F19" s="26" t="n"/>
      <c r="G19" s="29" t="inlineStr">
        <is>
          <t>O'Reilly,James</t>
        </is>
      </c>
      <c r="H19" s="26" t="inlineStr">
        <is>
          <t>Operator</t>
        </is>
      </c>
      <c r="I19" s="30" t="n"/>
    </row>
    <row r="20" ht="23.15" customHeight="1" s="151">
      <c r="A20" s="25" t="n"/>
      <c r="B20" s="26" t="n"/>
      <c r="C20" s="31" t="n"/>
      <c r="D20" s="28" t="n"/>
      <c r="E20" s="28" t="n"/>
      <c r="F20" s="26" t="n"/>
      <c r="G20" s="29" t="inlineStr">
        <is>
          <t>Dixon, Warren</t>
        </is>
      </c>
      <c r="H20" s="26" t="inlineStr">
        <is>
          <t>Irrigation Installer</t>
        </is>
      </c>
      <c r="I20" s="30" t="n"/>
    </row>
    <row r="21" ht="23.15" customHeight="1" s="151">
      <c r="A21" s="25" t="n"/>
      <c r="B21" s="26" t="n"/>
      <c r="C21" s="31" t="n"/>
      <c r="D21" s="28" t="n"/>
      <c r="E21" s="28" t="n"/>
      <c r="F21" s="26" t="n"/>
      <c r="G21" s="29" t="inlineStr">
        <is>
          <t>Mosley,Joshua</t>
        </is>
      </c>
      <c r="H21" s="26" t="inlineStr">
        <is>
          <t>Surveyor</t>
        </is>
      </c>
      <c r="I21" s="30" t="n">
        <v>4</v>
      </c>
    </row>
    <row r="22" ht="23.15" customHeight="1" s="151">
      <c r="A22" s="25" t="n"/>
      <c r="B22" s="26" t="n"/>
      <c r="C22" s="31" t="n"/>
      <c r="D22" s="28" t="n"/>
      <c r="E22" s="28" t="n"/>
      <c r="F22" s="26" t="n"/>
      <c r="G22" s="29" t="inlineStr">
        <is>
          <t>Vermeer, Paul</t>
        </is>
      </c>
      <c r="H22" s="26" t="inlineStr">
        <is>
          <t>Labourer</t>
        </is>
      </c>
      <c r="I22" s="30" t="n">
        <v>10</v>
      </c>
    </row>
    <row r="23" ht="23.15" customHeight="1" s="151">
      <c r="A23" s="25" t="n"/>
      <c r="B23" s="26" t="n"/>
      <c r="C23" s="31" t="n"/>
      <c r="D23" s="28" t="n"/>
      <c r="E23" s="28" t="n"/>
      <c r="F23" s="26" t="n"/>
      <c r="G23" s="29" t="inlineStr">
        <is>
          <t>Patroni, Rodney</t>
        </is>
      </c>
      <c r="H23" s="26" t="inlineStr">
        <is>
          <t>Labourer</t>
        </is>
      </c>
      <c r="I23" s="30" t="n">
        <v>10</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77" t="n"/>
      <c r="H25" s="77" t="n"/>
      <c r="I25" s="36" t="n"/>
    </row>
    <row r="26" ht="23.15" customHeight="1" s="151">
      <c r="A26" s="131" t="inlineStr">
        <is>
          <t xml:space="preserve">Total Indirect Personnel onsite: </t>
        </is>
      </c>
      <c r="B26" s="34">
        <f>COUNT(C15:C26)</f>
        <v/>
      </c>
      <c r="C26" s="28" t="n"/>
      <c r="D26" s="28" t="n"/>
      <c r="E26" s="28" t="n"/>
      <c r="F26" s="26" t="n"/>
      <c r="G26" s="78" t="n"/>
      <c r="H26" s="77" t="n"/>
      <c r="I26" s="30" t="n"/>
    </row>
    <row r="27" ht="23.15" customHeight="1" s="151">
      <c r="A27" s="131" t="inlineStr">
        <is>
          <t xml:space="preserve">Total Indirect Personnel hours: </t>
        </is>
      </c>
      <c r="B27" s="34">
        <f>SUM(C15:C25)</f>
        <v/>
      </c>
      <c r="C27" s="31" t="n"/>
      <c r="D27" s="28" t="n"/>
      <c r="E27" s="28" t="n"/>
      <c r="F27" s="26" t="n"/>
      <c r="G27" s="35" t="inlineStr">
        <is>
          <t>Total Subcontractor on-site:</t>
        </is>
      </c>
      <c r="H27" s="36">
        <f>COUNT(I15:I25)</f>
        <v/>
      </c>
      <c r="I27" s="30" t="n"/>
    </row>
    <row r="28" ht="23.15" customHeight="1" s="151">
      <c r="A28" s="131" t="inlineStr">
        <is>
          <t xml:space="preserve">Total Direct Personnel onsite:  </t>
        </is>
      </c>
      <c r="B28" s="34">
        <f>COUNTIF(F15:F29,"&gt;0")</f>
        <v/>
      </c>
      <c r="C28" s="34" t="n"/>
      <c r="D28" s="28" t="n"/>
      <c r="E28" s="28" t="n"/>
      <c r="F28" s="37" t="n"/>
      <c r="G28" s="35" t="inlineStr">
        <is>
          <t>Total Subcontractor hours:</t>
        </is>
      </c>
      <c r="H28" s="36">
        <f>SUM(I15:I25)</f>
        <v/>
      </c>
      <c r="I28" s="130" t="n"/>
    </row>
    <row r="29" ht="23.15" customHeight="1" s="151">
      <c r="A29" s="131" t="inlineStr">
        <is>
          <t xml:space="preserve">Total Direct Personnel hours: </t>
        </is>
      </c>
      <c r="B29" s="34">
        <f>SUM(F15:F29)</f>
        <v/>
      </c>
      <c r="C29" s="34" t="n"/>
      <c r="D29" s="34" t="n"/>
      <c r="E29" s="34" t="n"/>
      <c r="F29" s="34" t="n"/>
      <c r="G29" s="34" t="n"/>
      <c r="H29" s="34" t="n"/>
      <c r="I29" s="130" t="n"/>
    </row>
    <row r="30" ht="25" customHeight="1" s="151">
      <c r="A30" s="39" t="inlineStr">
        <is>
          <t>PLANT &amp; EQUIPMENT</t>
        </is>
      </c>
      <c r="B30" s="40" t="n"/>
      <c r="C30" s="40" t="n"/>
      <c r="D30" s="40" t="n"/>
      <c r="E30" s="40" t="n"/>
      <c r="F30" s="40" t="n"/>
      <c r="G30" s="40" t="n"/>
      <c r="H30" s="40" t="n"/>
      <c r="I30" s="41" t="n"/>
    </row>
    <row r="31" ht="24" customHeight="1" s="151">
      <c r="A31" s="126" t="inlineStr">
        <is>
          <t>Plant</t>
        </is>
      </c>
      <c r="B31" s="127" t="inlineStr">
        <is>
          <t>ID</t>
        </is>
      </c>
      <c r="C31" s="127" t="inlineStr">
        <is>
          <t>Hours</t>
        </is>
      </c>
      <c r="D31" s="127" t="inlineStr">
        <is>
          <t xml:space="preserve"> Vehicles</t>
        </is>
      </c>
      <c r="E31" s="127" t="inlineStr">
        <is>
          <t>ID</t>
        </is>
      </c>
      <c r="F31" s="127" t="inlineStr">
        <is>
          <t>QTY</t>
        </is>
      </c>
      <c r="G31" s="42" t="inlineStr">
        <is>
          <t>Site Facilities</t>
        </is>
      </c>
      <c r="H31" s="42" t="inlineStr">
        <is>
          <t>ID</t>
        </is>
      </c>
      <c r="I31" s="43" t="inlineStr">
        <is>
          <t>Qty</t>
        </is>
      </c>
    </row>
    <row r="32" ht="23.15" customHeight="1" s="151">
      <c r="A32" s="25" t="inlineStr">
        <is>
          <t>Komatsu WA320</t>
        </is>
      </c>
      <c r="B32" s="26" t="inlineStr">
        <is>
          <t>FWL18</t>
        </is>
      </c>
      <c r="C32" s="26" t="n">
        <v>5</v>
      </c>
      <c r="D32" s="31" t="inlineStr">
        <is>
          <t>Hilux</t>
        </is>
      </c>
      <c r="E32" s="31" t="inlineStr">
        <is>
          <t>DLV90</t>
        </is>
      </c>
      <c r="F32" s="31" t="n">
        <v>1</v>
      </c>
      <c r="G32" s="31" t="inlineStr">
        <is>
          <t>Office 40ft</t>
        </is>
      </c>
      <c r="H32" s="31" t="n">
        <v>9255540</v>
      </c>
      <c r="I32" s="30" t="n">
        <v>1</v>
      </c>
    </row>
    <row r="33" ht="23.15" customHeight="1" s="151">
      <c r="A33" s="25" t="inlineStr">
        <is>
          <t>Wacker Neuson DPU</t>
        </is>
      </c>
      <c r="B33" s="26" t="inlineStr">
        <is>
          <t>DPC15</t>
        </is>
      </c>
      <c r="C33" s="26" t="n"/>
      <c r="D33" s="31" t="inlineStr">
        <is>
          <t>Hilux</t>
        </is>
      </c>
      <c r="E33" s="31" t="inlineStr">
        <is>
          <t>1DAH:400</t>
        </is>
      </c>
      <c r="F33" s="31" t="n">
        <v>1</v>
      </c>
      <c r="G33" s="31" t="inlineStr">
        <is>
          <t>Sea Container 20ft</t>
        </is>
      </c>
      <c r="H33" s="26" t="n">
        <v>951200</v>
      </c>
      <c r="I33" s="30" t="n">
        <v>1</v>
      </c>
    </row>
    <row r="34" ht="23.15" customHeight="1" s="151">
      <c r="A34" s="44" t="inlineStr">
        <is>
          <t>Watercart</t>
        </is>
      </c>
      <c r="B34" s="31" t="inlineStr">
        <is>
          <t>WC04</t>
        </is>
      </c>
      <c r="C34" s="26" t="n"/>
      <c r="D34" s="31" t="n"/>
      <c r="E34" s="26" t="n"/>
      <c r="F34" s="31" t="n"/>
      <c r="G34" s="31" t="inlineStr">
        <is>
          <t>Site Sentry Tower</t>
        </is>
      </c>
      <c r="H34" s="31" t="n"/>
      <c r="I34" s="30" t="n">
        <v>2</v>
      </c>
    </row>
    <row r="35" ht="23.15" customHeight="1" s="151">
      <c r="A35" s="44" t="inlineStr">
        <is>
          <t>8T Excavator</t>
        </is>
      </c>
      <c r="B35" s="45" t="inlineStr">
        <is>
          <t>AMG 014</t>
        </is>
      </c>
      <c r="C35" s="26" t="n"/>
      <c r="D35" s="31" t="n"/>
      <c r="E35" s="31" t="n"/>
      <c r="F35" s="31" t="n"/>
      <c r="G35" s="31" t="inlineStr">
        <is>
          <t>Skip Bin</t>
        </is>
      </c>
      <c r="H35" s="31" t="n"/>
      <c r="I35" s="30" t="n">
        <v>1</v>
      </c>
    </row>
    <row r="36" ht="23.15" customHeight="1" s="151">
      <c r="A36" s="31" t="inlineStr">
        <is>
          <t>Mini Tipper</t>
        </is>
      </c>
      <c r="B36" s="31" t="inlineStr">
        <is>
          <t>SLS05</t>
        </is>
      </c>
      <c r="C36" s="31" t="n"/>
      <c r="D36" s="31" t="n"/>
      <c r="E36" s="31" t="n"/>
      <c r="F36" s="31" t="n"/>
      <c r="G36" s="31" t="inlineStr">
        <is>
          <t>Hydrocarbon Bund</t>
        </is>
      </c>
      <c r="H36" s="31" t="n"/>
      <c r="I36" s="30" t="n">
        <v>1</v>
      </c>
    </row>
    <row r="37" ht="23.15" customHeight="1" s="151">
      <c r="A37" s="76" t="inlineStr">
        <is>
          <t>1 t Excavator</t>
        </is>
      </c>
      <c r="B37" s="31" t="inlineStr">
        <is>
          <t>SLS03</t>
        </is>
      </c>
      <c r="C37" s="31" t="n"/>
      <c r="D37" s="31" t="n"/>
      <c r="E37" s="31" t="n"/>
      <c r="F37" s="31" t="n"/>
      <c r="G37" s="31" t="inlineStr">
        <is>
          <t>Temp Fence</t>
        </is>
      </c>
      <c r="H37" s="26" t="n"/>
      <c r="I37" s="30" t="n">
        <v>1</v>
      </c>
    </row>
    <row r="38" ht="24" customHeight="1" s="151">
      <c r="A38" s="76" t="inlineStr">
        <is>
          <t>14t Excavator with GPS</t>
        </is>
      </c>
      <c r="B38" s="31" t="inlineStr">
        <is>
          <t>EX153</t>
        </is>
      </c>
      <c r="C38" s="31" t="n">
        <v>5</v>
      </c>
      <c r="D38" s="31" t="n"/>
      <c r="E38" s="31" t="n"/>
      <c r="F38" s="31" t="n"/>
      <c r="G38" s="2" t="n"/>
      <c r="H38" s="2" t="n"/>
      <c r="I38" s="3" t="n"/>
    </row>
    <row r="39" ht="24" customHeight="1" s="151">
      <c r="A39" s="76" t="inlineStr">
        <is>
          <t>5t Excavator</t>
        </is>
      </c>
      <c r="B39" s="31" t="inlineStr">
        <is>
          <t>A118</t>
        </is>
      </c>
      <c r="C39" s="31" t="n">
        <v>5</v>
      </c>
      <c r="D39" s="31" t="n"/>
      <c r="E39" s="31" t="n"/>
      <c r="F39" s="31" t="n"/>
      <c r="G39" s="2" t="n"/>
      <c r="H39" s="2" t="n"/>
      <c r="I39" s="3" t="n"/>
    </row>
    <row r="40" ht="24" customHeight="1" s="151">
      <c r="A40" s="44" t="inlineStr">
        <is>
          <t>Padfoot/ Smooth Drum Roller</t>
        </is>
      </c>
      <c r="B40" s="31" t="inlineStr">
        <is>
          <t>RR 03</t>
        </is>
      </c>
      <c r="C40" s="26" t="n"/>
      <c r="D40" s="31" t="n"/>
      <c r="E40" s="31" t="n"/>
      <c r="F40" s="31" t="n"/>
      <c r="G40" s="2" t="n"/>
      <c r="H40" s="2" t="n"/>
      <c r="I40" s="3" t="n"/>
    </row>
    <row r="41" ht="24" customHeight="1" s="151">
      <c r="A41" s="44" t="inlineStr">
        <is>
          <t>Multi Roller</t>
        </is>
      </c>
      <c r="B41" s="31" t="n">
        <v>256</v>
      </c>
      <c r="C41" s="26" t="n"/>
      <c r="D41" s="31" t="n"/>
      <c r="E41" s="31" t="n"/>
      <c r="F41" s="31" t="n"/>
      <c r="G41" s="2" t="n"/>
      <c r="H41" s="2" t="n"/>
      <c r="I41" s="3" t="n"/>
    </row>
    <row r="42" ht="24" customHeight="1" s="151">
      <c r="A42" s="44" t="inlineStr">
        <is>
          <t>Positrak SSL</t>
        </is>
      </c>
      <c r="B42" s="31" t="inlineStr">
        <is>
          <t>SSL08</t>
        </is>
      </c>
      <c r="C42" s="26" t="n">
        <v>5</v>
      </c>
      <c r="D42" s="31" t="n"/>
      <c r="E42" s="31" t="n"/>
      <c r="F42" s="31" t="n"/>
      <c r="G42" s="2" t="n"/>
      <c r="H42" s="2" t="n"/>
      <c r="I42" s="3" t="n"/>
    </row>
    <row r="43" ht="24" customHeight="1" s="151">
      <c r="A43" s="44" t="inlineStr">
        <is>
          <t>Grader</t>
        </is>
      </c>
      <c r="B43" s="31" t="inlineStr">
        <is>
          <t>SLS01</t>
        </is>
      </c>
      <c r="C43" s="26" t="n"/>
      <c r="D43" s="31" t="n"/>
      <c r="E43" s="31" t="n"/>
      <c r="F43" s="31" t="n"/>
      <c r="G43" s="2" t="n"/>
      <c r="H43" s="2" t="n"/>
      <c r="I43" s="3" t="n"/>
    </row>
    <row r="44" ht="24" customHeight="1" s="151">
      <c r="A44" s="44" t="n"/>
      <c r="B44" s="31" t="n"/>
      <c r="C44" s="26" t="n"/>
      <c r="D44" s="2" t="n"/>
      <c r="E44" s="2" t="n"/>
      <c r="F44" s="2" t="n"/>
      <c r="G44" s="2" t="n"/>
      <c r="H44" s="2" t="n"/>
      <c r="I44" s="3" t="n"/>
    </row>
    <row r="45" ht="18" customHeight="1" s="151">
      <c r="A45" s="46" t="n">
        <v>0</v>
      </c>
      <c r="B45" s="128" t="inlineStr">
        <is>
          <t xml:space="preserve">Repairs Required </t>
        </is>
      </c>
      <c r="C45" s="118" t="n"/>
      <c r="D45" s="129" t="inlineStr">
        <is>
          <t>N/A</t>
        </is>
      </c>
      <c r="E45" s="159" t="n"/>
      <c r="F45" s="159" t="n"/>
      <c r="G45" s="159" t="n"/>
      <c r="H45" s="159" t="n"/>
      <c r="I45" s="160" t="n"/>
    </row>
    <row r="46" ht="18" customHeight="1" s="151">
      <c r="A46" s="47" t="n">
        <v>0</v>
      </c>
      <c r="B46" s="128" t="inlineStr">
        <is>
          <t>Scheduled Service</t>
        </is>
      </c>
      <c r="C46" s="118" t="n"/>
      <c r="D46" s="129" t="inlineStr">
        <is>
          <t>N/A</t>
        </is>
      </c>
      <c r="E46" s="159" t="n"/>
      <c r="F46" s="159" t="n"/>
      <c r="G46" s="159" t="n"/>
      <c r="H46" s="159" t="n"/>
      <c r="I46" s="160" t="n"/>
    </row>
    <row r="47" ht="18" customHeight="1" s="151">
      <c r="A47" s="48" t="n">
        <v>0</v>
      </c>
      <c r="B47" s="128" t="n"/>
      <c r="C47" s="118" t="n"/>
      <c r="D47" s="129" t="inlineStr">
        <is>
          <t>N/A</t>
        </is>
      </c>
      <c r="E47" s="159" t="n"/>
      <c r="F47" s="159" t="n"/>
      <c r="G47" s="159" t="n"/>
      <c r="H47" s="159" t="n"/>
      <c r="I47" s="160" t="n"/>
    </row>
    <row r="48" ht="23.15" customHeight="1" s="151">
      <c r="A48" s="131" t="inlineStr">
        <is>
          <t xml:space="preserve">Total Plant and Equipment Hours: </t>
        </is>
      </c>
      <c r="B48" s="118" t="n"/>
      <c r="C48" s="49">
        <f>SUM(C32:C44)</f>
        <v/>
      </c>
      <c r="D48" s="132" t="n"/>
      <c r="E48" s="159" t="n"/>
      <c r="F48" s="159" t="n"/>
      <c r="G48" s="159" t="n"/>
      <c r="H48" s="159" t="n"/>
      <c r="I48" s="160" t="n"/>
    </row>
    <row r="49" ht="25" customHeight="1" s="151">
      <c r="A49" s="120" t="inlineStr">
        <is>
          <t>DELAYS-OPPORTUNITY</t>
        </is>
      </c>
      <c r="B49" s="159" t="n"/>
      <c r="C49" s="159" t="n"/>
      <c r="D49" s="159" t="n"/>
      <c r="E49" s="159" t="n"/>
      <c r="F49" s="159" t="n"/>
      <c r="G49" s="159" t="n"/>
      <c r="H49" s="159" t="n"/>
      <c r="I49" s="160" t="n"/>
    </row>
    <row r="50" ht="20.15" customHeight="1" s="151">
      <c r="A50" s="50" t="n"/>
      <c r="B50" s="51" t="n"/>
      <c r="C50" s="51" t="n"/>
      <c r="D50" s="51" t="n"/>
      <c r="E50" s="51" t="n"/>
      <c r="F50" s="51" t="n"/>
      <c r="G50" s="51" t="n"/>
      <c r="H50" s="51" t="n"/>
      <c r="I50" s="52" t="n"/>
    </row>
    <row r="51" ht="15" customHeight="1" s="151">
      <c r="A51" s="133" t="inlineStr">
        <is>
          <t>New Detail Provided on Centrelink Carpark                                                            
Kerbing Plan reissued by TCD                                                                                .
Awaiting Direction on Service Clash Forrest Street
Awaiting Confirmation on Batters Treatment 
Awaiting finalised fencing details
Awaiting COGG confirmation on "Ballast Pile"
Instructions Provided for Laneway Sewer, Drainage and Light Pole Removal
Demo and new kerb design not aligning awaiting Porters response</t>
        </is>
      </c>
      <c r="B51" s="124" t="n"/>
      <c r="C51" s="124" t="n"/>
      <c r="D51" s="124" t="n"/>
      <c r="E51" s="124" t="n"/>
      <c r="F51" s="124" t="n"/>
      <c r="G51" s="124" t="n"/>
      <c r="H51" s="124" t="n"/>
      <c r="I51" s="125" t="n"/>
    </row>
    <row r="52">
      <c r="A52" s="111" t="n"/>
      <c r="I52" s="113" t="n"/>
    </row>
    <row r="53" ht="49.5" customHeight="1" s="151">
      <c r="A53" s="111" t="n"/>
      <c r="I53" s="113" t="n"/>
    </row>
    <row r="54" ht="87.65000000000001" customHeight="1" s="151">
      <c r="A54" s="134" t="n"/>
      <c r="B54" s="135" t="n"/>
      <c r="C54" s="135" t="n"/>
      <c r="D54" s="135" t="n"/>
      <c r="E54" s="135" t="n"/>
      <c r="F54" s="135" t="n"/>
      <c r="G54" s="135" t="n"/>
      <c r="H54" s="135" t="n"/>
      <c r="I54" s="136" t="n"/>
    </row>
    <row r="55" ht="25" customHeight="1" s="151">
      <c r="A55" s="137" t="inlineStr">
        <is>
          <t>HSEQ MESSAGES</t>
        </is>
      </c>
      <c r="B55" s="138" t="n"/>
      <c r="C55" s="138" t="n"/>
      <c r="D55" s="138" t="n"/>
      <c r="E55" s="138" t="n"/>
      <c r="F55" s="138" t="n"/>
      <c r="G55" s="138" t="n"/>
      <c r="H55" s="138" t="n"/>
      <c r="I55" s="139" t="n"/>
    </row>
    <row r="56" ht="18" customHeight="1" s="151">
      <c r="A56" s="53" t="inlineStr">
        <is>
          <t>TCD - Monthly Safety Focus:</t>
        </is>
      </c>
      <c r="B56" s="140" t="inlineStr">
        <is>
          <t>Underground Services</t>
        </is>
      </c>
      <c r="C56" s="159" t="n"/>
      <c r="D56" s="159" t="n"/>
      <c r="E56" s="159" t="n"/>
      <c r="F56" s="159" t="n"/>
      <c r="G56" s="159" t="n"/>
      <c r="H56" s="159" t="n"/>
      <c r="I56" s="118" t="n"/>
    </row>
    <row r="57" ht="24" customHeight="1" s="151">
      <c r="A57" s="53" t="inlineStr">
        <is>
          <t>TCD - Daily Safety Focus:</t>
        </is>
      </c>
      <c r="B57" s="141" t="inlineStr">
        <is>
          <t>Area awareness</t>
        </is>
      </c>
      <c r="C57" s="159" t="n"/>
      <c r="D57" s="159" t="n"/>
      <c r="E57" s="159" t="n"/>
      <c r="F57" s="159" t="n"/>
      <c r="G57" s="159" t="n"/>
      <c r="H57" s="159" t="n"/>
      <c r="I57" s="160" t="n"/>
    </row>
    <row r="58" ht="18" customHeight="1" s="151">
      <c r="A58" s="54" t="inlineStr">
        <is>
          <t xml:space="preserve">Hazards Reported: </t>
        </is>
      </c>
      <c r="B58" s="55" t="inlineStr">
        <is>
          <t>Nil</t>
        </is>
      </c>
      <c r="C58" s="141" t="n"/>
      <c r="D58" s="159" t="n"/>
      <c r="E58" s="159" t="n"/>
      <c r="F58" s="159" t="n"/>
      <c r="G58" s="159" t="n"/>
      <c r="H58" s="159" t="n"/>
      <c r="I58" s="160" t="n"/>
    </row>
    <row r="59" ht="18" customHeight="1" s="151">
      <c r="A59" s="54" t="inlineStr">
        <is>
          <t>Incident Free Days</t>
        </is>
      </c>
      <c r="B59" s="55" t="n">
        <v>16</v>
      </c>
      <c r="C59" s="140" t="n"/>
      <c r="D59" s="159" t="n"/>
      <c r="E59" s="159" t="n"/>
      <c r="F59" s="159" t="n"/>
      <c r="G59" s="159" t="n"/>
      <c r="H59" s="159" t="n"/>
      <c r="I59" s="118" t="n"/>
    </row>
    <row r="60" ht="18" customHeight="1" s="151">
      <c r="A60" s="56" t="inlineStr">
        <is>
          <t>Other Notes</t>
        </is>
      </c>
      <c r="B60" s="142" t="n"/>
      <c r="C60" s="124" t="n"/>
      <c r="D60" s="124" t="n"/>
      <c r="E60" s="124" t="n"/>
      <c r="F60" s="124" t="n"/>
      <c r="G60" s="124" t="n"/>
      <c r="H60" s="124" t="n"/>
      <c r="I60" s="125" t="n"/>
    </row>
    <row r="61" ht="20.25" customHeight="1" s="151">
      <c r="A61" s="120" t="inlineStr">
        <is>
          <t xml:space="preserve">INCIDENTS &amp; REPORTS </t>
        </is>
      </c>
      <c r="B61" s="159" t="n"/>
      <c r="C61" s="159" t="n"/>
      <c r="D61" s="159" t="n"/>
      <c r="E61" s="159" t="n"/>
      <c r="F61" s="159" t="n"/>
      <c r="G61" s="159" t="n"/>
      <c r="H61" s="159" t="n"/>
      <c r="I61" s="160" t="n"/>
    </row>
    <row r="62" ht="25" customHeight="1" s="151">
      <c r="A62" s="57" t="n"/>
      <c r="B62" s="127" t="inlineStr">
        <is>
          <t>QTY</t>
        </is>
      </c>
      <c r="C62" s="130" t="inlineStr">
        <is>
          <t>Comments</t>
        </is>
      </c>
      <c r="D62" s="159" t="n"/>
      <c r="E62" s="159" t="n"/>
      <c r="F62" s="159" t="n"/>
      <c r="G62" s="159" t="n"/>
      <c r="H62" s="159" t="n"/>
      <c r="I62" s="160" t="n"/>
    </row>
    <row r="63" ht="25" customHeight="1" s="151">
      <c r="A63" s="58" t="inlineStr">
        <is>
          <t>INCIDENT</t>
        </is>
      </c>
      <c r="B63" s="127" t="n">
        <v>0</v>
      </c>
      <c r="C63" s="129" t="inlineStr">
        <is>
          <t>NA</t>
        </is>
      </c>
      <c r="D63" s="159" t="n"/>
      <c r="E63" s="159" t="n"/>
      <c r="F63" s="159" t="n"/>
      <c r="G63" s="159" t="n"/>
      <c r="H63" s="159" t="n"/>
      <c r="I63" s="160" t="n"/>
    </row>
    <row r="64" ht="25" customHeight="1" s="151">
      <c r="A64" s="59" t="inlineStr">
        <is>
          <t>IR</t>
        </is>
      </c>
      <c r="B64" s="60" t="n">
        <v>0</v>
      </c>
      <c r="C64" s="145" t="inlineStr">
        <is>
          <t>NA</t>
        </is>
      </c>
      <c r="D64" s="124" t="n"/>
      <c r="E64" s="124" t="n"/>
      <c r="F64" s="124" t="n"/>
      <c r="G64" s="124" t="n"/>
      <c r="H64" s="124" t="n"/>
      <c r="I64" s="125" t="n"/>
    </row>
    <row r="65" ht="25" customHeight="1" s="151">
      <c r="A65" s="61" t="inlineStr">
        <is>
          <t>NCR</t>
        </is>
      </c>
      <c r="B65" s="62" t="n">
        <v>0</v>
      </c>
      <c r="C65" s="146" t="inlineStr">
        <is>
          <t>NA</t>
        </is>
      </c>
      <c r="D65" s="147" t="n"/>
      <c r="E65" s="147" t="n"/>
      <c r="F65" s="147" t="n"/>
      <c r="G65" s="147" t="n"/>
      <c r="H65" s="147" t="n"/>
      <c r="I65" s="148" t="n"/>
    </row>
    <row r="66" ht="20.25" customHeight="1" s="151">
      <c r="A66" s="137" t="inlineStr">
        <is>
          <t>COMMUNICATIONS</t>
        </is>
      </c>
      <c r="B66" s="138" t="n"/>
      <c r="C66" s="138" t="n"/>
      <c r="D66" s="138" t="n"/>
      <c r="E66" s="138" t="n"/>
      <c r="F66" s="138" t="n"/>
      <c r="G66" s="138" t="n"/>
      <c r="H66" s="138" t="n"/>
      <c r="I66" s="139" t="n"/>
    </row>
    <row r="67" ht="25" customHeight="1" s="151">
      <c r="A67" s="149" t="inlineStr">
        <is>
          <t>TGS MB1119-05 Scheme D implemented</t>
        </is>
      </c>
      <c r="B67" s="159" t="n"/>
      <c r="C67" s="159" t="n"/>
      <c r="D67" s="159" t="n"/>
      <c r="E67" s="159" t="n"/>
      <c r="F67" s="159" t="n"/>
      <c r="G67" s="159" t="n"/>
      <c r="H67" s="159" t="n"/>
      <c r="I67" s="160" t="n"/>
    </row>
    <row r="68" ht="25" customHeight="1" s="151">
      <c r="A68" s="149" t="inlineStr">
        <is>
          <t>TGS MB1119-07B implemented (Closure Notification Upcoming)</t>
        </is>
      </c>
      <c r="B68" s="159" t="n"/>
      <c r="C68" s="159" t="n"/>
      <c r="D68" s="159" t="n"/>
      <c r="E68" s="159" t="n"/>
      <c r="F68" s="159" t="n"/>
      <c r="G68" s="159" t="n"/>
      <c r="H68" s="159" t="n"/>
      <c r="I68" s="160" t="n"/>
    </row>
    <row r="69" ht="25" customHeight="1" s="151">
      <c r="A69" s="149" t="inlineStr">
        <is>
          <t>Letter Drops to Local Businesses notification of works</t>
        </is>
      </c>
      <c r="B69" s="159" t="n"/>
      <c r="C69" s="159" t="n"/>
      <c r="D69" s="159" t="n"/>
      <c r="E69" s="159" t="n"/>
      <c r="F69" s="159" t="n"/>
      <c r="G69" s="159" t="n"/>
      <c r="H69" s="159" t="n"/>
      <c r="I69" s="160" t="n"/>
    </row>
    <row r="70" ht="25" customHeight="1" s="151">
      <c r="A70" s="120" t="inlineStr">
        <is>
          <t>PRODUCTION (CONSTRUCTION STATUS &amp; PROGRESS)</t>
        </is>
      </c>
      <c r="B70" s="159" t="n"/>
      <c r="C70" s="159" t="n"/>
      <c r="D70" s="159" t="n"/>
      <c r="E70" s="159" t="n"/>
      <c r="F70" s="159" t="n"/>
      <c r="G70" s="159" t="n"/>
      <c r="H70" s="159" t="n"/>
      <c r="I70" s="160" t="n"/>
    </row>
    <row r="71" ht="25" customHeight="1" s="151">
      <c r="A71" s="63" t="inlineStr">
        <is>
          <t xml:space="preserve">Laterial install into garden beds@ Forrest st - Chambers and Bayly st </t>
        </is>
      </c>
      <c r="B71" s="64" t="n"/>
      <c r="C71" s="9" t="n"/>
      <c r="D71" s="9" t="n"/>
      <c r="E71" s="9" t="n"/>
      <c r="F71" s="64" t="n"/>
      <c r="G71" s="64" t="n"/>
      <c r="H71" s="64" t="n"/>
      <c r="I71" s="65" t="n"/>
    </row>
    <row r="72" ht="25" customHeight="1" s="151">
      <c r="A72" s="63" t="inlineStr">
        <is>
          <t xml:space="preserve">Storm-water pit lid setting </t>
        </is>
      </c>
      <c r="B72" s="64" t="n"/>
      <c r="C72" s="9" t="n"/>
      <c r="D72" s="9" t="n"/>
      <c r="E72" s="64" t="n"/>
      <c r="F72" s="64" t="n"/>
      <c r="G72" s="64" t="n"/>
      <c r="H72" s="64" t="n"/>
      <c r="I72" s="65" t="n"/>
    </row>
    <row r="73" ht="25" customHeight="1" s="151">
      <c r="A73" s="63" t="inlineStr">
        <is>
          <t xml:space="preserve">Pavers Pre-start meeting </t>
        </is>
      </c>
      <c r="B73" s="64" t="n"/>
      <c r="C73" s="9" t="n"/>
      <c r="D73" s="64" t="n"/>
      <c r="E73" s="64" t="n"/>
      <c r="F73" s="64" t="n"/>
      <c r="G73" s="64" t="n"/>
      <c r="H73" s="64" t="n"/>
      <c r="I73" s="65" t="n"/>
    </row>
    <row r="74" ht="26.15" customHeight="1" s="151">
      <c r="A74" s="123" t="inlineStr">
        <is>
          <t>Photos</t>
        </is>
      </c>
      <c r="B74" s="124" t="n"/>
      <c r="C74" s="124" t="n"/>
      <c r="D74" s="124" t="n"/>
      <c r="E74" s="124" t="n"/>
      <c r="F74" s="124" t="n"/>
      <c r="G74" s="124" t="n"/>
      <c r="H74" s="124" t="n"/>
      <c r="I74" s="125" t="n"/>
    </row>
    <row r="75" ht="23.15" customHeight="1" s="151">
      <c r="A75" s="66" t="n"/>
      <c r="B75" s="67" t="n"/>
      <c r="C75" s="67" t="n"/>
      <c r="D75" s="67" t="n"/>
      <c r="E75" s="67" t="n"/>
      <c r="F75" s="67" t="n"/>
      <c r="G75" s="67" t="n"/>
      <c r="H75" s="67" t="n"/>
      <c r="I75" s="68" t="n"/>
    </row>
    <row r="76" ht="23.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H97" s="70" t="n"/>
      <c r="I97" s="71" t="n"/>
    </row>
    <row r="98" ht="25" customFormat="1" customHeight="1" s="10">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72" t="n"/>
      <c r="B113" s="73" t="n"/>
      <c r="C113" s="73" t="n"/>
      <c r="D113" s="73" t="n"/>
      <c r="E113" s="73" t="n"/>
      <c r="F113" s="73" t="n"/>
      <c r="G113" s="73" t="n"/>
      <c r="H113" s="73" t="n"/>
      <c r="I113" s="74"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28"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c r="J138" s="75"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6" customHeight="1" s="151">
      <c r="A145" s="69" t="n"/>
      <c r="B145" s="70" t="n"/>
      <c r="C145" s="70" t="n"/>
      <c r="D145" s="70" t="n"/>
      <c r="E145" s="70" t="n"/>
      <c r="F145" s="70" t="n"/>
      <c r="G145" s="70" t="n"/>
      <c r="H145" s="70" t="n"/>
      <c r="I145" s="71" t="n"/>
    </row>
    <row r="146" ht="30.75" customHeight="1" s="151">
      <c r="A146" s="143" t="n"/>
      <c r="E146" s="144" t="n"/>
      <c r="I146" s="113"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ht="16" customHeight="1" s="151">
      <c r="A200" s="4" t="n"/>
      <c r="B200" s="5" t="n"/>
      <c r="C200" s="5" t="n"/>
      <c r="D200" s="5" t="n"/>
      <c r="E200" s="5" t="n"/>
      <c r="F200" s="5" t="n"/>
      <c r="G200" s="5" t="n"/>
      <c r="H200" s="5" t="n"/>
      <c r="I200" s="6" t="n"/>
    </row>
    <row r="201">
      <c r="A201" s="7" t="n"/>
      <c r="I201" s="8" t="n"/>
    </row>
    <row r="202">
      <c r="A202" s="7" t="n"/>
      <c r="I202" s="8" t="n"/>
    </row>
    <row r="203">
      <c r="A203" s="7" t="n"/>
      <c r="I203" s="8" t="n"/>
    </row>
    <row r="204">
      <c r="A204" s="7" t="n"/>
      <c r="I204" s="8" t="n"/>
    </row>
    <row r="205">
      <c r="A205" s="7" t="n"/>
      <c r="I205" s="8" t="n"/>
    </row>
    <row r="206">
      <c r="A206" s="7" t="n"/>
      <c r="I206" s="8" t="n"/>
    </row>
    <row r="207" ht="16" customHeight="1" s="151">
      <c r="A207" s="4" t="n"/>
      <c r="B207" s="5" t="n"/>
      <c r="C207" s="5" t="n"/>
      <c r="D207" s="5" t="n"/>
      <c r="E207" s="5" t="n"/>
      <c r="F207" s="5" t="n"/>
      <c r="G207" s="5" t="n"/>
      <c r="H207" s="5" t="n"/>
      <c r="I207" s="6" t="n"/>
    </row>
  </sheetData>
  <mergeCells count="40">
    <mergeCell ref="A48:B48"/>
    <mergeCell ref="B47:C47"/>
    <mergeCell ref="D13:F13"/>
    <mergeCell ref="G13:I13"/>
    <mergeCell ref="B8:D8"/>
    <mergeCell ref="A66:I66"/>
    <mergeCell ref="B46:C46"/>
    <mergeCell ref="D48:I48"/>
    <mergeCell ref="A74:I74"/>
    <mergeCell ref="A55:I55"/>
    <mergeCell ref="A12:I12"/>
    <mergeCell ref="D47:I47"/>
    <mergeCell ref="B56:I56"/>
    <mergeCell ref="A5:I5"/>
    <mergeCell ref="A51:I54"/>
    <mergeCell ref="B9:D9"/>
    <mergeCell ref="B60:I60"/>
    <mergeCell ref="C62:I62"/>
    <mergeCell ref="B57:I57"/>
    <mergeCell ref="B6:D6"/>
    <mergeCell ref="C58:I58"/>
    <mergeCell ref="A13:C13"/>
    <mergeCell ref="A146:D146"/>
    <mergeCell ref="A68:I68"/>
    <mergeCell ref="A10:I10"/>
    <mergeCell ref="A1:I4"/>
    <mergeCell ref="C64:I64"/>
    <mergeCell ref="A67:I67"/>
    <mergeCell ref="B7:D7"/>
    <mergeCell ref="C63:I63"/>
    <mergeCell ref="C65:I65"/>
    <mergeCell ref="A11:I11"/>
    <mergeCell ref="A49:I49"/>
    <mergeCell ref="D46:I46"/>
    <mergeCell ref="C59:I59"/>
    <mergeCell ref="B45:C45"/>
    <mergeCell ref="D45:I45"/>
    <mergeCell ref="A70:I70"/>
    <mergeCell ref="A61:I61"/>
    <mergeCell ref="E146:I14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7.xml><?xml version="1.0" encoding="utf-8"?>
<worksheet xmlns="http://schemas.openxmlformats.org/spreadsheetml/2006/main">
  <sheetPr>
    <outlinePr summaryBelow="1" summaryRight="1"/>
    <pageSetUpPr fitToPage="1"/>
  </sheetPr>
  <dimension ref="A1:J207"/>
  <sheetViews>
    <sheetView view="pageBreakPreview" topLeftCell="A23"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45909</v>
      </c>
    </row>
    <row r="7" ht="23.15" customHeight="1" s="151">
      <c r="A7" s="11" t="inlineStr">
        <is>
          <t>Project Location:</t>
        </is>
      </c>
      <c r="B7" s="119" t="inlineStr">
        <is>
          <t>Geraldton</t>
        </is>
      </c>
      <c r="E7" s="119" t="n"/>
      <c r="F7" s="13" t="n"/>
      <c r="G7" s="13" t="n"/>
      <c r="H7" s="16" t="inlineStr">
        <is>
          <t>Day:</t>
        </is>
      </c>
      <c r="I7" s="17" t="inlineStr">
        <is>
          <t>Tuesday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102</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17 degrees  Wind:  23km/h WE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c r="G15" s="29" t="inlineStr">
        <is>
          <t>Khegan Brockman</t>
        </is>
      </c>
      <c r="H15" s="26" t="inlineStr">
        <is>
          <t>Labourer</t>
        </is>
      </c>
      <c r="I15" s="30" t="n">
        <v>10</v>
      </c>
    </row>
    <row r="16" ht="23.15" customHeight="1" s="151">
      <c r="A16" s="25" t="inlineStr">
        <is>
          <t>GRIFFITHS, Daniel</t>
        </is>
      </c>
      <c r="B16" s="26" t="inlineStr">
        <is>
          <t>Project Manager</t>
        </is>
      </c>
      <c r="C16" s="31" t="n">
        <v>11.5</v>
      </c>
      <c r="D16" s="29"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c r="D17" s="32" t="n"/>
      <c r="E17" s="32" t="n"/>
      <c r="F17" s="26" t="n"/>
      <c r="G17" s="29" t="inlineStr">
        <is>
          <t>Jachai Griffiths</t>
        </is>
      </c>
      <c r="H17" s="26" t="inlineStr">
        <is>
          <t>Operator</t>
        </is>
      </c>
      <c r="I17" s="30" t="n"/>
    </row>
    <row r="18" ht="23.15" customHeight="1" s="151">
      <c r="A18" s="25" t="inlineStr">
        <is>
          <t>GRIFFITHS, Ashley</t>
        </is>
      </c>
      <c r="B18" s="26" t="inlineStr">
        <is>
          <t>Supervisor</t>
        </is>
      </c>
      <c r="C18" s="31" t="n"/>
      <c r="D18" s="28" t="n"/>
      <c r="E18" s="28" t="n"/>
      <c r="F18" s="26" t="n"/>
      <c r="G18" s="29" t="inlineStr">
        <is>
          <t>O'Brian, Jamie</t>
        </is>
      </c>
      <c r="H18" s="26" t="inlineStr">
        <is>
          <t>Operator</t>
        </is>
      </c>
      <c r="I18" s="30" t="n">
        <v>10</v>
      </c>
    </row>
    <row r="19" ht="23.15" customHeight="1" s="151">
      <c r="A19" s="25" t="inlineStr">
        <is>
          <t>THOMPSON, Cheryl</t>
        </is>
      </c>
      <c r="B19" s="26" t="inlineStr">
        <is>
          <t>HSET</t>
        </is>
      </c>
      <c r="C19" s="31" t="n">
        <v>11.5</v>
      </c>
      <c r="D19" s="28" t="n"/>
      <c r="E19" s="28" t="n"/>
      <c r="F19" s="26" t="n"/>
      <c r="G19" s="29" t="inlineStr">
        <is>
          <t>O'Reilly,James</t>
        </is>
      </c>
      <c r="H19" s="26" t="inlineStr">
        <is>
          <t>Operator</t>
        </is>
      </c>
      <c r="I19" s="30" t="n"/>
    </row>
    <row r="20" ht="23.15" customHeight="1" s="151">
      <c r="A20" s="25" t="inlineStr">
        <is>
          <t>SKINNER,Jamie</t>
        </is>
      </c>
      <c r="B20" s="26" t="inlineStr">
        <is>
          <t>Supervisor</t>
        </is>
      </c>
      <c r="C20" s="31" t="n">
        <v>11.5</v>
      </c>
      <c r="D20" s="28" t="n"/>
      <c r="E20" s="28" t="n"/>
      <c r="F20" s="26" t="n"/>
      <c r="G20" s="29" t="inlineStr">
        <is>
          <t>Dixon, Warren</t>
        </is>
      </c>
      <c r="H20" s="26" t="inlineStr">
        <is>
          <t>Irrigation Installer</t>
        </is>
      </c>
      <c r="I20" s="30" t="n">
        <v>3</v>
      </c>
    </row>
    <row r="21" ht="23.15" customHeight="1" s="151">
      <c r="A21" s="25" t="n"/>
      <c r="B21" s="26" t="n"/>
      <c r="C21" s="31" t="n"/>
      <c r="D21" s="28" t="n"/>
      <c r="E21" s="28" t="n"/>
      <c r="F21" s="26" t="n"/>
      <c r="G21" s="29" t="inlineStr">
        <is>
          <t>Mosley,Joshua</t>
        </is>
      </c>
      <c r="H21" s="26" t="inlineStr">
        <is>
          <t>Surveyor</t>
        </is>
      </c>
      <c r="I21" s="30" t="n">
        <v>4</v>
      </c>
    </row>
    <row r="22" ht="23.15" customHeight="1" s="151">
      <c r="A22" s="25" t="n"/>
      <c r="B22" s="26" t="n"/>
      <c r="C22" s="31" t="n"/>
      <c r="D22" s="28" t="n"/>
      <c r="E22" s="28" t="n"/>
      <c r="F22" s="26" t="n"/>
      <c r="G22" s="29" t="inlineStr">
        <is>
          <t>Vermeer, Paul</t>
        </is>
      </c>
      <c r="H22" s="26" t="inlineStr">
        <is>
          <t>Labourer</t>
        </is>
      </c>
      <c r="I22" s="30" t="n">
        <v>10</v>
      </c>
    </row>
    <row r="23" ht="23.15" customHeight="1" s="151">
      <c r="A23" s="25" t="n"/>
      <c r="B23" s="26" t="n"/>
      <c r="C23" s="31" t="n"/>
      <c r="D23" s="28" t="n"/>
      <c r="E23" s="28" t="n"/>
      <c r="F23" s="26" t="n"/>
      <c r="G23" s="29" t="inlineStr">
        <is>
          <t>Patroni, Rodney</t>
        </is>
      </c>
      <c r="H23" s="26" t="inlineStr">
        <is>
          <t>Labourer</t>
        </is>
      </c>
      <c r="I23" s="30" t="n">
        <v>10</v>
      </c>
    </row>
    <row r="24" ht="23.15" customHeight="1" s="151">
      <c r="A24" s="25" t="n"/>
      <c r="B24" s="26" t="n"/>
      <c r="C24" s="31" t="n"/>
      <c r="D24" s="28" t="n"/>
      <c r="E24" s="28" t="n"/>
      <c r="F24" s="26" t="n"/>
      <c r="G24" s="29" t="inlineStr">
        <is>
          <t>Vac Truck</t>
        </is>
      </c>
      <c r="H24" s="26" t="inlineStr">
        <is>
          <t>Vac Truck</t>
        </is>
      </c>
      <c r="I24" s="30" t="n">
        <v>6</v>
      </c>
    </row>
    <row r="25" ht="23.15" customHeight="1" s="151">
      <c r="A25" s="25" t="n"/>
      <c r="B25" s="26" t="n"/>
      <c r="C25" s="31" t="n"/>
      <c r="D25" s="28" t="n"/>
      <c r="E25" s="28" t="n"/>
      <c r="F25" s="26" t="n"/>
      <c r="G25" s="77" t="n"/>
      <c r="H25" s="77" t="n"/>
      <c r="I25" s="36" t="n"/>
    </row>
    <row r="26" ht="23.15" customHeight="1" s="151">
      <c r="A26" s="131" t="inlineStr">
        <is>
          <t xml:space="preserve">Total Indirect Personnel onsite: </t>
        </is>
      </c>
      <c r="B26" s="34">
        <f>COUNT(C15:C26)</f>
        <v/>
      </c>
      <c r="C26" s="28" t="n"/>
      <c r="D26" s="28" t="n"/>
      <c r="E26" s="28" t="n"/>
      <c r="F26" s="26" t="n"/>
      <c r="G26" s="78" t="n"/>
      <c r="H26" s="77" t="n"/>
      <c r="I26" s="30" t="n"/>
    </row>
    <row r="27" ht="23.15" customHeight="1" s="151">
      <c r="A27" s="131" t="inlineStr">
        <is>
          <t xml:space="preserve">Total Indirect Personnel hours: </t>
        </is>
      </c>
      <c r="B27" s="34">
        <f>SUM(C15:C25)</f>
        <v/>
      </c>
      <c r="C27" s="31" t="n"/>
      <c r="D27" s="28" t="n"/>
      <c r="E27" s="28" t="n"/>
      <c r="F27" s="26" t="n"/>
      <c r="G27" s="35" t="inlineStr">
        <is>
          <t>Total Subcontractor on-site:</t>
        </is>
      </c>
      <c r="H27" s="36">
        <f>COUNT(I15:I25)</f>
        <v/>
      </c>
      <c r="I27" s="30" t="n"/>
    </row>
    <row r="28" ht="23.15" customHeight="1" s="151">
      <c r="A28" s="131" t="inlineStr">
        <is>
          <t xml:space="preserve">Total Direct Personnel onsite:  </t>
        </is>
      </c>
      <c r="B28" s="34">
        <f>COUNTIF(F15:F29,"&gt;0")</f>
        <v/>
      </c>
      <c r="C28" s="34" t="n"/>
      <c r="D28" s="28" t="n"/>
      <c r="E28" s="28" t="n"/>
      <c r="F28" s="37" t="n"/>
      <c r="G28" s="35" t="inlineStr">
        <is>
          <t>Total Subcontractor hours:</t>
        </is>
      </c>
      <c r="H28" s="36">
        <f>SUM(I15:I25)</f>
        <v/>
      </c>
      <c r="I28" s="130" t="n"/>
    </row>
    <row r="29" ht="23.15" customHeight="1" s="151">
      <c r="A29" s="131" t="inlineStr">
        <is>
          <t xml:space="preserve">Total Direct Personnel hours: </t>
        </is>
      </c>
      <c r="B29" s="34">
        <f>SUM(F15:F29)</f>
        <v/>
      </c>
      <c r="C29" s="34" t="n"/>
      <c r="D29" s="34" t="n"/>
      <c r="E29" s="34" t="n"/>
      <c r="F29" s="34" t="n"/>
      <c r="G29" s="34" t="n"/>
      <c r="H29" s="34" t="n"/>
      <c r="I29" s="130" t="n"/>
    </row>
    <row r="30" ht="25" customHeight="1" s="151">
      <c r="A30" s="39" t="inlineStr">
        <is>
          <t>PLANT &amp; EQUIPMENT</t>
        </is>
      </c>
      <c r="B30" s="40" t="n"/>
      <c r="C30" s="40" t="n"/>
      <c r="D30" s="40" t="n"/>
      <c r="E30" s="40" t="n"/>
      <c r="F30" s="40" t="n"/>
      <c r="G30" s="40" t="n"/>
      <c r="H30" s="40" t="n"/>
      <c r="I30" s="41" t="n"/>
    </row>
    <row r="31" ht="24" customHeight="1" s="151">
      <c r="A31" s="126" t="inlineStr">
        <is>
          <t>Plant</t>
        </is>
      </c>
      <c r="B31" s="127" t="inlineStr">
        <is>
          <t>ID</t>
        </is>
      </c>
      <c r="C31" s="127" t="inlineStr">
        <is>
          <t>Hours</t>
        </is>
      </c>
      <c r="D31" s="127" t="inlineStr">
        <is>
          <t xml:space="preserve"> Vehicles</t>
        </is>
      </c>
      <c r="E31" s="127" t="inlineStr">
        <is>
          <t>ID</t>
        </is>
      </c>
      <c r="F31" s="127" t="inlineStr">
        <is>
          <t>QTY</t>
        </is>
      </c>
      <c r="G31" s="42" t="inlineStr">
        <is>
          <t>Site Facilities</t>
        </is>
      </c>
      <c r="H31" s="42" t="inlineStr">
        <is>
          <t>ID</t>
        </is>
      </c>
      <c r="I31" s="43" t="inlineStr">
        <is>
          <t>Qty</t>
        </is>
      </c>
    </row>
    <row r="32" ht="23.15" customHeight="1" s="151">
      <c r="A32" s="25" t="inlineStr">
        <is>
          <t>Komatsu WA320</t>
        </is>
      </c>
      <c r="B32" s="26" t="inlineStr">
        <is>
          <t>FWL18</t>
        </is>
      </c>
      <c r="C32" s="26" t="n">
        <v>3</v>
      </c>
      <c r="D32" s="31" t="inlineStr">
        <is>
          <t>Hilux</t>
        </is>
      </c>
      <c r="E32" s="31" t="inlineStr">
        <is>
          <t>DLV90</t>
        </is>
      </c>
      <c r="F32" s="31" t="n">
        <v>1</v>
      </c>
      <c r="G32" s="31" t="inlineStr">
        <is>
          <t>Office 40ft</t>
        </is>
      </c>
      <c r="H32" s="31" t="n">
        <v>9255540</v>
      </c>
      <c r="I32" s="30" t="n">
        <v>1</v>
      </c>
    </row>
    <row r="33" ht="23.15" customHeight="1" s="151">
      <c r="A33" s="25" t="inlineStr">
        <is>
          <t>Wacker Neuson DPU</t>
        </is>
      </c>
      <c r="B33" s="26" t="inlineStr">
        <is>
          <t>DPC15</t>
        </is>
      </c>
      <c r="C33" s="26" t="n"/>
      <c r="D33" s="31" t="inlineStr">
        <is>
          <t>Hilux</t>
        </is>
      </c>
      <c r="E33" s="31" t="inlineStr">
        <is>
          <t>1DAH:400</t>
        </is>
      </c>
      <c r="F33" s="31" t="n">
        <v>1</v>
      </c>
      <c r="G33" s="31" t="inlineStr">
        <is>
          <t>Sea Container 20ft</t>
        </is>
      </c>
      <c r="H33" s="26" t="n">
        <v>951200</v>
      </c>
      <c r="I33" s="30" t="n">
        <v>1</v>
      </c>
    </row>
    <row r="34" ht="23.15" customHeight="1" s="151">
      <c r="A34" s="44" t="inlineStr">
        <is>
          <t>Watercart</t>
        </is>
      </c>
      <c r="B34" s="31" t="inlineStr">
        <is>
          <t>WC04</t>
        </is>
      </c>
      <c r="C34" s="26" t="n"/>
      <c r="D34" s="31" t="n"/>
      <c r="E34" s="26" t="n"/>
      <c r="F34" s="31" t="n"/>
      <c r="G34" s="31" t="inlineStr">
        <is>
          <t>Site Sentry Tower</t>
        </is>
      </c>
      <c r="H34" s="31" t="n"/>
      <c r="I34" s="30" t="n">
        <v>2</v>
      </c>
    </row>
    <row r="35" ht="23.15" customHeight="1" s="151">
      <c r="A35" s="44" t="inlineStr">
        <is>
          <t>8T Excavator</t>
        </is>
      </c>
      <c r="B35" s="45" t="inlineStr">
        <is>
          <t>AMG 014</t>
        </is>
      </c>
      <c r="C35" s="26" t="n"/>
      <c r="D35" s="31" t="n"/>
      <c r="E35" s="31" t="n"/>
      <c r="F35" s="31" t="n"/>
      <c r="G35" s="31" t="inlineStr">
        <is>
          <t>Skip Bin</t>
        </is>
      </c>
      <c r="H35" s="31" t="n"/>
      <c r="I35" s="30" t="n">
        <v>1</v>
      </c>
    </row>
    <row r="36" ht="23.15" customHeight="1" s="151">
      <c r="A36" s="31" t="inlineStr">
        <is>
          <t>Mini Tipper</t>
        </is>
      </c>
      <c r="B36" s="31" t="inlineStr">
        <is>
          <t>SLS05</t>
        </is>
      </c>
      <c r="C36" s="31" t="n"/>
      <c r="D36" s="31" t="n"/>
      <c r="E36" s="31" t="n"/>
      <c r="F36" s="31" t="n"/>
      <c r="G36" s="31" t="inlineStr">
        <is>
          <t>Hydrocarbon Bund</t>
        </is>
      </c>
      <c r="H36" s="31" t="n"/>
      <c r="I36" s="30" t="n">
        <v>1</v>
      </c>
    </row>
    <row r="37" ht="23.15" customHeight="1" s="151">
      <c r="A37" s="76" t="inlineStr">
        <is>
          <t>1 t Excavator</t>
        </is>
      </c>
      <c r="B37" s="31" t="inlineStr">
        <is>
          <t>SLS03</t>
        </is>
      </c>
      <c r="C37" s="31" t="n"/>
      <c r="D37" s="31" t="n"/>
      <c r="E37" s="31" t="n"/>
      <c r="F37" s="31" t="n"/>
      <c r="G37" s="31" t="inlineStr">
        <is>
          <t>Temp Fence</t>
        </is>
      </c>
      <c r="H37" s="26" t="n"/>
      <c r="I37" s="30" t="n">
        <v>1</v>
      </c>
    </row>
    <row r="38" ht="24" customHeight="1" s="151">
      <c r="A38" s="76" t="inlineStr">
        <is>
          <t>14t Excavator with GPS</t>
        </is>
      </c>
      <c r="B38" s="31" t="inlineStr">
        <is>
          <t>EX153</t>
        </is>
      </c>
      <c r="C38" s="31" t="n">
        <v>5</v>
      </c>
      <c r="D38" s="31" t="n"/>
      <c r="E38" s="31" t="n"/>
      <c r="F38" s="31" t="n"/>
      <c r="G38" s="2" t="n"/>
      <c r="H38" s="2" t="n"/>
      <c r="I38" s="3" t="n"/>
    </row>
    <row r="39" ht="24" customHeight="1" s="151">
      <c r="A39" s="76" t="inlineStr">
        <is>
          <t>5t Excavator</t>
        </is>
      </c>
      <c r="B39" s="31" t="inlineStr">
        <is>
          <t>A118</t>
        </is>
      </c>
      <c r="C39" s="31" t="n">
        <v>10</v>
      </c>
      <c r="D39" s="31" t="n"/>
      <c r="E39" s="31" t="n"/>
      <c r="F39" s="31" t="n"/>
      <c r="G39" s="2" t="n"/>
      <c r="H39" s="2" t="n"/>
      <c r="I39" s="3" t="n"/>
    </row>
    <row r="40" ht="24" customHeight="1" s="151">
      <c r="A40" s="44" t="inlineStr">
        <is>
          <t>Padfoot/ Smooth Drum Roller</t>
        </is>
      </c>
      <c r="B40" s="31" t="inlineStr">
        <is>
          <t>RR 03</t>
        </is>
      </c>
      <c r="C40" s="26" t="n"/>
      <c r="D40" s="31" t="n"/>
      <c r="E40" s="31" t="n"/>
      <c r="F40" s="31" t="n"/>
      <c r="G40" s="2" t="n"/>
      <c r="H40" s="2" t="n"/>
      <c r="I40" s="3" t="n"/>
    </row>
    <row r="41" ht="24" customHeight="1" s="151">
      <c r="A41" s="44" t="inlineStr">
        <is>
          <t>Multi Roller</t>
        </is>
      </c>
      <c r="B41" s="31" t="n">
        <v>256</v>
      </c>
      <c r="C41" s="26" t="n"/>
      <c r="D41" s="31" t="n"/>
      <c r="E41" s="31" t="n"/>
      <c r="F41" s="31" t="n"/>
      <c r="G41" s="2" t="n"/>
      <c r="H41" s="2" t="n"/>
      <c r="I41" s="3" t="n"/>
    </row>
    <row r="42" ht="24" customHeight="1" s="151">
      <c r="A42" s="44" t="inlineStr">
        <is>
          <t>Positrak SSL</t>
        </is>
      </c>
      <c r="B42" s="31" t="inlineStr">
        <is>
          <t>SSL08</t>
        </is>
      </c>
      <c r="C42" s="26" t="n">
        <v>8</v>
      </c>
      <c r="D42" s="31" t="n"/>
      <c r="E42" s="31" t="n"/>
      <c r="F42" s="31" t="n"/>
      <c r="G42" s="2" t="n"/>
      <c r="H42" s="2" t="n"/>
      <c r="I42" s="3" t="n"/>
    </row>
    <row r="43" ht="24" customHeight="1" s="151">
      <c r="A43" s="44" t="inlineStr">
        <is>
          <t>Grader</t>
        </is>
      </c>
      <c r="B43" s="31" t="inlineStr">
        <is>
          <t>SLS01</t>
        </is>
      </c>
      <c r="C43" s="26" t="n"/>
      <c r="D43" s="31" t="n"/>
      <c r="E43" s="31" t="n"/>
      <c r="F43" s="31" t="n"/>
      <c r="G43" s="2" t="n"/>
      <c r="H43" s="2" t="n"/>
      <c r="I43" s="3" t="n"/>
    </row>
    <row r="44" ht="24" customHeight="1" s="151">
      <c r="A44" s="44" t="n"/>
      <c r="B44" s="31" t="n"/>
      <c r="C44" s="26" t="n"/>
      <c r="D44" s="2" t="n"/>
      <c r="E44" s="2" t="n"/>
      <c r="F44" s="2" t="n"/>
      <c r="G44" s="2" t="n"/>
      <c r="H44" s="2" t="n"/>
      <c r="I44" s="3" t="n"/>
    </row>
    <row r="45" ht="18" customHeight="1" s="151">
      <c r="A45" s="46" t="n">
        <v>0</v>
      </c>
      <c r="B45" s="128" t="inlineStr">
        <is>
          <t xml:space="preserve">Repairs Required </t>
        </is>
      </c>
      <c r="C45" s="118" t="n"/>
      <c r="D45" s="129" t="inlineStr">
        <is>
          <t>N/A</t>
        </is>
      </c>
      <c r="E45" s="159" t="n"/>
      <c r="F45" s="159" t="n"/>
      <c r="G45" s="159" t="n"/>
      <c r="H45" s="159" t="n"/>
      <c r="I45" s="160" t="n"/>
    </row>
    <row r="46" ht="18" customHeight="1" s="151">
      <c r="A46" s="47" t="n">
        <v>0</v>
      </c>
      <c r="B46" s="128" t="inlineStr">
        <is>
          <t>Scheduled Service</t>
        </is>
      </c>
      <c r="C46" s="118" t="n"/>
      <c r="D46" s="129" t="inlineStr">
        <is>
          <t>N/A</t>
        </is>
      </c>
      <c r="E46" s="159" t="n"/>
      <c r="F46" s="159" t="n"/>
      <c r="G46" s="159" t="n"/>
      <c r="H46" s="159" t="n"/>
      <c r="I46" s="160" t="n"/>
    </row>
    <row r="47" ht="18" customHeight="1" s="151">
      <c r="A47" s="48" t="n">
        <v>0</v>
      </c>
      <c r="B47" s="128" t="n"/>
      <c r="C47" s="118" t="n"/>
      <c r="D47" s="129" t="inlineStr">
        <is>
          <t>N/A</t>
        </is>
      </c>
      <c r="E47" s="159" t="n"/>
      <c r="F47" s="159" t="n"/>
      <c r="G47" s="159" t="n"/>
      <c r="H47" s="159" t="n"/>
      <c r="I47" s="160" t="n"/>
    </row>
    <row r="48" ht="23.15" customHeight="1" s="151">
      <c r="A48" s="131" t="inlineStr">
        <is>
          <t xml:space="preserve">Total Plant and Equipment Hours: </t>
        </is>
      </c>
      <c r="B48" s="118" t="n"/>
      <c r="C48" s="49">
        <f>SUM(C32:C44)</f>
        <v/>
      </c>
      <c r="D48" s="132" t="n"/>
      <c r="E48" s="159" t="n"/>
      <c r="F48" s="159" t="n"/>
      <c r="G48" s="159" t="n"/>
      <c r="H48" s="159" t="n"/>
      <c r="I48" s="160" t="n"/>
    </row>
    <row r="49" ht="25" customHeight="1" s="151">
      <c r="A49" s="120" t="inlineStr">
        <is>
          <t>DELAYS-OPPORTUNITY</t>
        </is>
      </c>
      <c r="B49" s="159" t="n"/>
      <c r="C49" s="159" t="n"/>
      <c r="D49" s="159" t="n"/>
      <c r="E49" s="159" t="n"/>
      <c r="F49" s="159" t="n"/>
      <c r="G49" s="159" t="n"/>
      <c r="H49" s="159" t="n"/>
      <c r="I49" s="160" t="n"/>
    </row>
    <row r="50" ht="15" customHeight="1" s="151">
      <c r="A50" s="133" t="inlineStr">
        <is>
          <t>New Detail Provided on Centrelink Carpark                                                            
Kerbing Plan reissued by TCD                                                                                .
Awaiting Direction on Service Clash Forrest Street
Awaiting Confirmation on Batters Treatment 
Awaiting finalised fencing details
Awaiting COGG confirmation on "Ballast Pile"
Instructions Provided for Laneway Sewer, Drainage and Light Pole Removal
Demo and new kerb design not aligning awaiting Survey report
Sump Levels option provided
Confirmation of CCTV Alignment Through Crossing Provided</t>
        </is>
      </c>
      <c r="B50" s="124" t="n"/>
      <c r="C50" s="124" t="n"/>
      <c r="D50" s="124" t="n"/>
      <c r="E50" s="124" t="n"/>
      <c r="F50" s="124" t="n"/>
      <c r="G50" s="124" t="n"/>
      <c r="H50" s="124" t="n"/>
      <c r="I50" s="125" t="n"/>
    </row>
    <row r="51">
      <c r="A51" s="111" t="n"/>
      <c r="I51" s="113" t="n"/>
    </row>
    <row r="52" ht="74.5" customHeight="1" s="151">
      <c r="A52" s="111" t="n"/>
      <c r="I52" s="113" t="n"/>
    </row>
    <row r="53" ht="119.15" customHeight="1" s="151">
      <c r="A53" s="134" t="n"/>
      <c r="B53" s="135" t="n"/>
      <c r="C53" s="135" t="n"/>
      <c r="D53" s="135" t="n"/>
      <c r="E53" s="135" t="n"/>
      <c r="F53" s="135" t="n"/>
      <c r="G53" s="135" t="n"/>
      <c r="H53" s="135" t="n"/>
      <c r="I53" s="136" t="n"/>
    </row>
    <row r="54" ht="25" customHeight="1" s="151">
      <c r="A54" s="137" t="inlineStr">
        <is>
          <t>HSEQ MESSAGES</t>
        </is>
      </c>
      <c r="B54" s="138" t="n"/>
      <c r="C54" s="138" t="n"/>
      <c r="D54" s="138" t="n"/>
      <c r="E54" s="138" t="n"/>
      <c r="F54" s="138" t="n"/>
      <c r="G54" s="138" t="n"/>
      <c r="H54" s="138" t="n"/>
      <c r="I54" s="139" t="n"/>
    </row>
    <row r="55" ht="18" customHeight="1" s="151">
      <c r="A55" s="53" t="inlineStr">
        <is>
          <t>TCD - Monthly Safety Focus:</t>
        </is>
      </c>
      <c r="B55" s="140" t="inlineStr">
        <is>
          <t>Underground Services</t>
        </is>
      </c>
      <c r="C55" s="159" t="n"/>
      <c r="D55" s="159" t="n"/>
      <c r="E55" s="159" t="n"/>
      <c r="F55" s="159" t="n"/>
      <c r="G55" s="159" t="n"/>
      <c r="H55" s="159" t="n"/>
      <c r="I55" s="118" t="n"/>
    </row>
    <row r="56" ht="24" customHeight="1" s="151">
      <c r="A56" s="53" t="inlineStr">
        <is>
          <t>TCD - Daily Safety Focus:</t>
        </is>
      </c>
      <c r="B56" s="141" t="inlineStr">
        <is>
          <t>Lifting</t>
        </is>
      </c>
      <c r="C56" s="159" t="n"/>
      <c r="D56" s="159" t="n"/>
      <c r="E56" s="159" t="n"/>
      <c r="F56" s="159" t="n"/>
      <c r="G56" s="159" t="n"/>
      <c r="H56" s="159" t="n"/>
      <c r="I56" s="160" t="n"/>
    </row>
    <row r="57" ht="18" customHeight="1" s="151">
      <c r="A57" s="54" t="inlineStr">
        <is>
          <t xml:space="preserve">Hazards Reported: </t>
        </is>
      </c>
      <c r="B57" s="55" t="inlineStr">
        <is>
          <t>Nil</t>
        </is>
      </c>
      <c r="C57" s="141" t="n"/>
      <c r="D57" s="159" t="n"/>
      <c r="E57" s="159" t="n"/>
      <c r="F57" s="159" t="n"/>
      <c r="G57" s="159" t="n"/>
      <c r="H57" s="159" t="n"/>
      <c r="I57" s="160" t="n"/>
    </row>
    <row r="58" ht="18" customHeight="1" s="151">
      <c r="A58" s="54" t="inlineStr">
        <is>
          <t>Incident Free Days</t>
        </is>
      </c>
      <c r="B58" s="55" t="n">
        <v>17</v>
      </c>
      <c r="C58" s="140" t="n"/>
      <c r="D58" s="159" t="n"/>
      <c r="E58" s="159" t="n"/>
      <c r="F58" s="159" t="n"/>
      <c r="G58" s="159" t="n"/>
      <c r="H58" s="159" t="n"/>
      <c r="I58" s="118" t="n"/>
    </row>
    <row r="59" ht="18" customHeight="1" s="151">
      <c r="A59" s="56" t="inlineStr">
        <is>
          <t>Other Notes</t>
        </is>
      </c>
      <c r="B59" s="142" t="n"/>
      <c r="C59" s="124" t="n"/>
      <c r="D59" s="124" t="n"/>
      <c r="E59" s="124" t="n"/>
      <c r="F59" s="124" t="n"/>
      <c r="G59" s="124" t="n"/>
      <c r="H59" s="124" t="n"/>
      <c r="I59" s="125" t="n"/>
    </row>
    <row r="60" ht="20.25" customHeight="1" s="151">
      <c r="A60" s="120" t="inlineStr">
        <is>
          <t xml:space="preserve">INCIDENTS &amp; REPORTS </t>
        </is>
      </c>
      <c r="B60" s="159" t="n"/>
      <c r="C60" s="159" t="n"/>
      <c r="D60" s="159" t="n"/>
      <c r="E60" s="159" t="n"/>
      <c r="F60" s="159" t="n"/>
      <c r="G60" s="159" t="n"/>
      <c r="H60" s="159" t="n"/>
      <c r="I60" s="160" t="n"/>
    </row>
    <row r="61" ht="25" customHeight="1" s="151">
      <c r="A61" s="57" t="n"/>
      <c r="B61" s="127" t="inlineStr">
        <is>
          <t>QTY</t>
        </is>
      </c>
      <c r="C61" s="130" t="inlineStr">
        <is>
          <t>Comments</t>
        </is>
      </c>
      <c r="D61" s="159" t="n"/>
      <c r="E61" s="159" t="n"/>
      <c r="F61" s="159" t="n"/>
      <c r="G61" s="159" t="n"/>
      <c r="H61" s="159" t="n"/>
      <c r="I61" s="160" t="n"/>
    </row>
    <row r="62" ht="25" customHeight="1" s="151">
      <c r="A62" s="58" t="inlineStr">
        <is>
          <t>INCIDENT</t>
        </is>
      </c>
      <c r="B62" s="127" t="n">
        <v>0</v>
      </c>
      <c r="C62" s="129" t="inlineStr">
        <is>
          <t>NA</t>
        </is>
      </c>
      <c r="D62" s="159" t="n"/>
      <c r="E62" s="159" t="n"/>
      <c r="F62" s="159" t="n"/>
      <c r="G62" s="159" t="n"/>
      <c r="H62" s="159" t="n"/>
      <c r="I62" s="160" t="n"/>
    </row>
    <row r="63" ht="25" customHeight="1" s="151">
      <c r="A63" s="59" t="inlineStr">
        <is>
          <t>IR</t>
        </is>
      </c>
      <c r="B63" s="60" t="n">
        <v>0</v>
      </c>
      <c r="C63" s="145" t="inlineStr">
        <is>
          <t>NA</t>
        </is>
      </c>
      <c r="D63" s="124" t="n"/>
      <c r="E63" s="124" t="n"/>
      <c r="F63" s="124" t="n"/>
      <c r="G63" s="124" t="n"/>
      <c r="H63" s="124" t="n"/>
      <c r="I63" s="125" t="n"/>
    </row>
    <row r="64" ht="25" customHeight="1" s="151">
      <c r="A64" s="61" t="inlineStr">
        <is>
          <t>NCR</t>
        </is>
      </c>
      <c r="B64" s="62" t="n">
        <v>0</v>
      </c>
      <c r="C64" s="146" t="inlineStr">
        <is>
          <t>NA</t>
        </is>
      </c>
      <c r="D64" s="147" t="n"/>
      <c r="E64" s="147" t="n"/>
      <c r="F64" s="147" t="n"/>
      <c r="G64" s="147" t="n"/>
      <c r="H64" s="147" t="n"/>
      <c r="I64" s="148" t="n"/>
    </row>
    <row r="65" ht="20.25" customHeight="1" s="151">
      <c r="A65" s="137" t="inlineStr">
        <is>
          <t>COMMUNICATIONS</t>
        </is>
      </c>
      <c r="B65" s="138" t="n"/>
      <c r="C65" s="138" t="n"/>
      <c r="D65" s="138" t="n"/>
      <c r="E65" s="138" t="n"/>
      <c r="F65" s="138" t="n"/>
      <c r="G65" s="138" t="n"/>
      <c r="H65" s="138" t="n"/>
      <c r="I65" s="139" t="n"/>
    </row>
    <row r="66" ht="25" customHeight="1" s="151">
      <c r="A66" s="149" t="inlineStr">
        <is>
          <t>TGS MB1119-05 Scheme D implemented</t>
        </is>
      </c>
      <c r="B66" s="159" t="n"/>
      <c r="C66" s="159" t="n"/>
      <c r="D66" s="159" t="n"/>
      <c r="E66" s="159" t="n"/>
      <c r="F66" s="159" t="n"/>
      <c r="G66" s="159" t="n"/>
      <c r="H66" s="159" t="n"/>
      <c r="I66" s="160" t="n"/>
    </row>
    <row r="67" ht="25" customHeight="1" s="151">
      <c r="A67" s="149" t="inlineStr">
        <is>
          <t>TGS MB1119-07B implemented (Closure Notification Upcoming)</t>
        </is>
      </c>
      <c r="B67" s="159" t="n"/>
      <c r="C67" s="159" t="n"/>
      <c r="D67" s="159" t="n"/>
      <c r="E67" s="159" t="n"/>
      <c r="F67" s="159" t="n"/>
      <c r="G67" s="159" t="n"/>
      <c r="H67" s="159" t="n"/>
      <c r="I67" s="160" t="n"/>
    </row>
    <row r="68" ht="25" customHeight="1" s="151">
      <c r="A68" s="152" t="inlineStr">
        <is>
          <t>TCD Internal Audit Commenced</t>
        </is>
      </c>
      <c r="B68" s="159" t="n"/>
      <c r="C68" s="159" t="n"/>
      <c r="D68" s="159" t="n"/>
      <c r="E68" s="159" t="n"/>
      <c r="F68" s="159" t="n"/>
      <c r="G68" s="159" t="n"/>
      <c r="H68" s="159" t="n"/>
      <c r="I68" s="160" t="n"/>
    </row>
    <row r="69" ht="25" customHeight="1" s="151">
      <c r="A69" s="149" t="inlineStr">
        <is>
          <t>ATCO Gas Inspected Foreshore Drive Post Service Location</t>
        </is>
      </c>
      <c r="B69" s="159" t="n"/>
      <c r="C69" s="159" t="n"/>
      <c r="D69" s="159" t="n"/>
      <c r="E69" s="159" t="n"/>
      <c r="F69" s="159" t="n"/>
      <c r="G69" s="159" t="n"/>
      <c r="H69" s="159" t="n"/>
      <c r="I69" s="160" t="n"/>
    </row>
    <row r="70" ht="25" customHeight="1" s="151">
      <c r="A70" s="120" t="inlineStr">
        <is>
          <t>PRODUCTION (CONSTRUCTION STATUS &amp; PROGRESS)</t>
        </is>
      </c>
      <c r="B70" s="159" t="n"/>
      <c r="C70" s="159" t="n"/>
      <c r="D70" s="159" t="n"/>
      <c r="E70" s="159" t="n"/>
      <c r="F70" s="159" t="n"/>
      <c r="G70" s="159" t="n"/>
      <c r="H70" s="159" t="n"/>
      <c r="I70" s="160" t="n"/>
    </row>
    <row r="71" ht="25" customHeight="1" s="151">
      <c r="A71" s="63" t="inlineStr">
        <is>
          <t>Setting lids and concrete setting</t>
        </is>
      </c>
      <c r="B71" s="64" t="n"/>
      <c r="C71" s="9" t="inlineStr">
        <is>
          <t xml:space="preserve">Irrigation Backfill@Centre-link + Country builders            </t>
        </is>
      </c>
      <c r="D71" s="9" t="n"/>
      <c r="E71" s="9" t="n"/>
      <c r="F71" s="64" t="n"/>
      <c r="G71" s="64" t="n"/>
      <c r="H71" s="64" t="n"/>
      <c r="I71" s="65" t="n"/>
    </row>
    <row r="72" ht="25" customHeight="1" s="151">
      <c r="A72" s="63" t="inlineStr">
        <is>
          <t>Irrigation trenching@Centre-link section</t>
        </is>
      </c>
      <c r="B72" s="64" t="n"/>
      <c r="C72" s="9" t="n"/>
      <c r="D72" s="9" t="n"/>
      <c r="E72" s="64" t="n"/>
      <c r="F72" s="64" t="n"/>
      <c r="G72" s="64" t="n"/>
      <c r="H72" s="64" t="n"/>
      <c r="I72" s="65" t="n"/>
    </row>
    <row r="73" ht="25" customHeight="1" s="151">
      <c r="A73" s="63" t="inlineStr">
        <is>
          <t>Pot holing@Foreshore intersection</t>
        </is>
      </c>
      <c r="B73" s="64" t="n"/>
      <c r="C73" s="9" t="n"/>
      <c r="D73" s="64" t="n"/>
      <c r="E73" s="64" t="n"/>
      <c r="F73" s="64" t="n"/>
      <c r="G73" s="64" t="n"/>
      <c r="H73" s="64" t="n"/>
      <c r="I73" s="65" t="n"/>
    </row>
    <row r="74" ht="26.15" customHeight="1" s="151">
      <c r="A74" s="123" t="inlineStr">
        <is>
          <t>Photos</t>
        </is>
      </c>
      <c r="B74" s="124" t="n"/>
      <c r="C74" s="124" t="n"/>
      <c r="D74" s="124" t="n"/>
      <c r="E74" s="124" t="n"/>
      <c r="F74" s="124" t="n"/>
      <c r="G74" s="124" t="n"/>
      <c r="H74" s="124" t="n"/>
      <c r="I74" s="125" t="n"/>
    </row>
    <row r="75" ht="23.15" customHeight="1" s="151">
      <c r="A75" s="66" t="n"/>
      <c r="B75" s="67" t="n"/>
      <c r="C75" s="67" t="n"/>
      <c r="D75" s="67" t="n"/>
      <c r="E75" s="67" t="n"/>
      <c r="F75" s="67" t="n"/>
      <c r="G75" s="67" t="n"/>
      <c r="H75" s="67" t="n"/>
      <c r="I75" s="68" t="n"/>
    </row>
    <row r="76" ht="23.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H97" s="70" t="n"/>
      <c r="I97" s="71" t="n"/>
    </row>
    <row r="98" ht="25" customFormat="1" customHeight="1" s="10">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72" t="n"/>
      <c r="B113" s="73" t="n"/>
      <c r="C113" s="73" t="n"/>
      <c r="D113" s="73" t="n"/>
      <c r="E113" s="73" t="n"/>
      <c r="F113" s="73" t="n"/>
      <c r="G113" s="73" t="n"/>
      <c r="H113" s="73" t="n"/>
      <c r="I113" s="74"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28"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c r="J138" s="75"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6" customHeight="1" s="151">
      <c r="A145" s="69" t="n"/>
      <c r="B145" s="70" t="n"/>
      <c r="C145" s="70" t="n"/>
      <c r="D145" s="70" t="n"/>
      <c r="E145" s="70" t="n"/>
      <c r="F145" s="70" t="n"/>
      <c r="G145" s="70" t="n"/>
      <c r="H145" s="70" t="n"/>
      <c r="I145" s="71" t="n"/>
    </row>
    <row r="146" ht="30.75" customHeight="1" s="151">
      <c r="A146" s="143" t="n"/>
      <c r="E146" s="144" t="n"/>
      <c r="I146" s="113"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ht="16" customHeight="1" s="151">
      <c r="A200" s="4" t="n"/>
      <c r="B200" s="5" t="n"/>
      <c r="C200" s="5" t="n"/>
      <c r="D200" s="5" t="n"/>
      <c r="E200" s="5" t="n"/>
      <c r="F200" s="5" t="n"/>
      <c r="G200" s="5" t="n"/>
      <c r="H200" s="5" t="n"/>
      <c r="I200" s="6" t="n"/>
    </row>
    <row r="201">
      <c r="A201" s="7" t="n"/>
      <c r="I201" s="8" t="n"/>
    </row>
    <row r="202">
      <c r="A202" s="7" t="n"/>
      <c r="I202" s="8" t="n"/>
    </row>
    <row r="203">
      <c r="A203" s="7" t="n"/>
      <c r="I203" s="8" t="n"/>
    </row>
    <row r="204">
      <c r="A204" s="7" t="n"/>
      <c r="I204" s="8" t="n"/>
    </row>
    <row r="205">
      <c r="A205" s="7" t="n"/>
      <c r="I205" s="8" t="n"/>
    </row>
    <row r="206">
      <c r="A206" s="7" t="n"/>
      <c r="I206" s="8" t="n"/>
    </row>
    <row r="207" ht="16" customHeight="1" s="151">
      <c r="A207" s="4" t="n"/>
      <c r="B207" s="5" t="n"/>
      <c r="C207" s="5" t="n"/>
      <c r="D207" s="5" t="n"/>
      <c r="E207" s="5" t="n"/>
      <c r="F207" s="5" t="n"/>
      <c r="G207" s="5" t="n"/>
      <c r="H207" s="5" t="n"/>
      <c r="I207" s="6" t="n"/>
    </row>
  </sheetData>
  <mergeCells count="41">
    <mergeCell ref="A48:B48"/>
    <mergeCell ref="C61:I61"/>
    <mergeCell ref="B47:C47"/>
    <mergeCell ref="D13:F13"/>
    <mergeCell ref="A65:I65"/>
    <mergeCell ref="G13:I13"/>
    <mergeCell ref="B8:D8"/>
    <mergeCell ref="A66:I66"/>
    <mergeCell ref="B46:C46"/>
    <mergeCell ref="B59:I59"/>
    <mergeCell ref="D48:I48"/>
    <mergeCell ref="A74:I74"/>
    <mergeCell ref="E146:I146"/>
    <mergeCell ref="A12:I12"/>
    <mergeCell ref="C57:I57"/>
    <mergeCell ref="D47:I47"/>
    <mergeCell ref="B56:I56"/>
    <mergeCell ref="A5:I5"/>
    <mergeCell ref="B9:D9"/>
    <mergeCell ref="C62:I62"/>
    <mergeCell ref="B6:D6"/>
    <mergeCell ref="C58:I58"/>
    <mergeCell ref="A13:C13"/>
    <mergeCell ref="A146:D146"/>
    <mergeCell ref="A10:I10"/>
    <mergeCell ref="A1:I4"/>
    <mergeCell ref="C64:I64"/>
    <mergeCell ref="A67:I67"/>
    <mergeCell ref="B7:D7"/>
    <mergeCell ref="C63:I63"/>
    <mergeCell ref="A50:I53"/>
    <mergeCell ref="A11:I11"/>
    <mergeCell ref="A49:I49"/>
    <mergeCell ref="D46:I46"/>
    <mergeCell ref="B55:I55"/>
    <mergeCell ref="A60:I60"/>
    <mergeCell ref="B45:C45"/>
    <mergeCell ref="D45:I45"/>
    <mergeCell ref="A70:I70"/>
    <mergeCell ref="A69:I69"/>
    <mergeCell ref="A54:I54"/>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8.xml><?xml version="1.0" encoding="utf-8"?>
<worksheet xmlns="http://schemas.openxmlformats.org/spreadsheetml/2006/main">
  <sheetPr>
    <outlinePr summaryBelow="1" summaryRight="1"/>
    <pageSetUpPr fitToPage="1"/>
  </sheetPr>
  <dimension ref="A1:J207"/>
  <sheetViews>
    <sheetView view="pageBreakPreview" topLeftCell="A27"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5.26953125"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45910</v>
      </c>
    </row>
    <row r="7" ht="23.15" customHeight="1" s="151">
      <c r="A7" s="11" t="inlineStr">
        <is>
          <t>Project Location:</t>
        </is>
      </c>
      <c r="B7" s="119" t="inlineStr">
        <is>
          <t>Geraldton</t>
        </is>
      </c>
      <c r="E7" s="119" t="n"/>
      <c r="F7" s="13" t="n"/>
      <c r="G7" s="13" t="n"/>
      <c r="H7" s="16" t="inlineStr">
        <is>
          <t>Day:</t>
        </is>
      </c>
      <c r="I7" s="17" t="inlineStr">
        <is>
          <t>Wednesday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103</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21 degrees  Wind:  43km/h 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c r="G15" s="29" t="inlineStr">
        <is>
          <t>Khegan Brockman</t>
        </is>
      </c>
      <c r="H15" s="26" t="inlineStr">
        <is>
          <t>Labourer</t>
        </is>
      </c>
      <c r="I15" s="30" t="n">
        <v>10</v>
      </c>
    </row>
    <row r="16" ht="23.15" customHeight="1" s="151">
      <c r="A16" s="25" t="inlineStr">
        <is>
          <t>GRIFFITHS, Daniel</t>
        </is>
      </c>
      <c r="B16" s="26" t="inlineStr">
        <is>
          <t>Project Manager</t>
        </is>
      </c>
      <c r="C16" s="31" t="n">
        <v>12</v>
      </c>
      <c r="D16" s="92"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c r="D17" s="32" t="inlineStr">
        <is>
          <t>McGahon,Aideen</t>
        </is>
      </c>
      <c r="E17" s="26" t="inlineStr">
        <is>
          <t>Opetaor</t>
        </is>
      </c>
      <c r="F17" s="26" t="n">
        <v>12</v>
      </c>
      <c r="G17" s="29" t="inlineStr">
        <is>
          <t>Jachai Griffiths</t>
        </is>
      </c>
      <c r="H17" s="26" t="inlineStr">
        <is>
          <t>Operator</t>
        </is>
      </c>
      <c r="I17" s="30" t="n"/>
    </row>
    <row r="18" ht="23.15" customHeight="1" s="151">
      <c r="A18" s="25" t="inlineStr">
        <is>
          <t>GRIFFITHS, Ashley</t>
        </is>
      </c>
      <c r="B18" s="26" t="inlineStr">
        <is>
          <t>Supervisor</t>
        </is>
      </c>
      <c r="C18" s="31" t="n"/>
      <c r="D18" s="28" t="n"/>
      <c r="E18" s="28" t="n"/>
      <c r="F18" s="26" t="n"/>
      <c r="G18" s="29" t="inlineStr">
        <is>
          <t>O'Brian, Jamie</t>
        </is>
      </c>
      <c r="H18" s="26" t="inlineStr">
        <is>
          <t>Operator</t>
        </is>
      </c>
      <c r="I18" s="30" t="n">
        <v>10</v>
      </c>
    </row>
    <row r="19" ht="23.15" customHeight="1" s="151">
      <c r="A19" s="25" t="inlineStr">
        <is>
          <t>LOW, June</t>
        </is>
      </c>
      <c r="B19" s="26" t="inlineStr">
        <is>
          <t>HSET</t>
        </is>
      </c>
      <c r="C19" s="31" t="n"/>
      <c r="D19" s="28" t="n"/>
      <c r="E19" s="28" t="n"/>
      <c r="F19" s="26" t="n"/>
      <c r="G19" s="29" t="inlineStr">
        <is>
          <t>O'Reilly,James</t>
        </is>
      </c>
      <c r="H19" s="26" t="inlineStr">
        <is>
          <t>Operator</t>
        </is>
      </c>
      <c r="I19" s="30" t="n"/>
    </row>
    <row r="20" ht="23.15" customHeight="1" s="151">
      <c r="A20" s="25" t="inlineStr">
        <is>
          <t>SKINNER,Jamie</t>
        </is>
      </c>
      <c r="B20" s="26" t="inlineStr">
        <is>
          <t>Supervisor</t>
        </is>
      </c>
      <c r="C20" s="31" t="n">
        <v>12</v>
      </c>
      <c r="D20" s="28" t="n"/>
      <c r="E20" s="28" t="n"/>
      <c r="F20" s="26" t="n"/>
      <c r="G20" s="29" t="inlineStr">
        <is>
          <t>Dixon, Warren</t>
        </is>
      </c>
      <c r="H20" s="26" t="inlineStr">
        <is>
          <t>Irrigation Installer</t>
        </is>
      </c>
      <c r="I20" s="30" t="n"/>
    </row>
    <row r="21" ht="23.15" customHeight="1" s="151">
      <c r="A21" s="25" t="inlineStr">
        <is>
          <t>TONER, Ultan</t>
        </is>
      </c>
      <c r="B21" s="26" t="inlineStr">
        <is>
          <t>Supervisor</t>
        </is>
      </c>
      <c r="C21" s="31" t="n">
        <v>12</v>
      </c>
      <c r="D21" s="28" t="n"/>
      <c r="E21" s="28" t="n"/>
      <c r="F21" s="26" t="n"/>
      <c r="G21" s="29" t="inlineStr">
        <is>
          <t>Mosley,Joshua</t>
        </is>
      </c>
      <c r="H21" s="26" t="inlineStr">
        <is>
          <t>Surveyor</t>
        </is>
      </c>
      <c r="I21" s="30" t="n">
        <v>5</v>
      </c>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29" t="n"/>
      <c r="H25" s="26" t="n"/>
      <c r="I25" s="30" t="n"/>
    </row>
    <row r="26" ht="23.15" customHeight="1" s="151">
      <c r="A26" s="25" t="n"/>
      <c r="B26" s="26" t="n"/>
      <c r="C26" s="31" t="n"/>
      <c r="D26" s="28" t="n"/>
      <c r="E26" s="28" t="n"/>
      <c r="F26" s="26" t="n"/>
      <c r="G26" s="77" t="n"/>
      <c r="H26" s="77" t="n"/>
      <c r="I26" s="36" t="n"/>
    </row>
    <row r="27" ht="23.15" customHeight="1" s="151">
      <c r="A27" s="131" t="inlineStr">
        <is>
          <t xml:space="preserve">Total Indirect Personnel onsite: </t>
        </is>
      </c>
      <c r="B27" s="34">
        <f>COUNT(C15:C27)</f>
        <v/>
      </c>
      <c r="C27" s="28" t="n"/>
      <c r="D27" s="28" t="n"/>
      <c r="E27" s="28" t="n"/>
      <c r="F27" s="26" t="n"/>
      <c r="G27" s="78" t="n"/>
      <c r="H27" s="77" t="n"/>
      <c r="I27" s="30" t="n"/>
    </row>
    <row r="28" ht="23.15" customHeight="1" s="151">
      <c r="A28" s="131" t="inlineStr">
        <is>
          <t xml:space="preserve">Total Indirect Personnel hours: </t>
        </is>
      </c>
      <c r="B28" s="34">
        <f>SUM(C15:C26)</f>
        <v/>
      </c>
      <c r="C28" s="31" t="n"/>
      <c r="D28" s="28" t="n"/>
      <c r="E28" s="28" t="n"/>
      <c r="F28" s="26" t="n"/>
      <c r="G28" s="35" t="inlineStr">
        <is>
          <t>Total Subcontractor on-site:</t>
        </is>
      </c>
      <c r="H28" s="36">
        <f>COUNT(I15:I26)</f>
        <v/>
      </c>
      <c r="I28" s="30" t="n"/>
    </row>
    <row r="29" ht="23.15" customHeight="1" s="151">
      <c r="A29" s="131" t="inlineStr">
        <is>
          <t xml:space="preserve">Total Direct Personnel onsite:  </t>
        </is>
      </c>
      <c r="B29" s="34" t="n">
        <v>3</v>
      </c>
      <c r="C29" s="34" t="n"/>
      <c r="D29" s="28" t="n"/>
      <c r="E29" s="28" t="n"/>
      <c r="F29" s="37" t="n"/>
      <c r="G29" s="35" t="inlineStr">
        <is>
          <t>Total Subcontractor hours:</t>
        </is>
      </c>
      <c r="H29" s="36">
        <f>SUM(I15:I26)</f>
        <v/>
      </c>
      <c r="I29" s="130" t="n"/>
    </row>
    <row r="30" ht="23.15" customHeight="1" s="151">
      <c r="A30" s="131" t="inlineStr">
        <is>
          <t xml:space="preserve">Total Direct Personnel hours: </t>
        </is>
      </c>
      <c r="B30" s="34">
        <f>SUM(F15:F30)</f>
        <v/>
      </c>
      <c r="C30" s="34" t="n"/>
      <c r="D30" s="34" t="n"/>
      <c r="E30" s="34" t="n"/>
      <c r="F30" s="34" t="n"/>
      <c r="G30" s="34" t="n"/>
      <c r="H30" s="34" t="n"/>
      <c r="I30" s="130" t="n"/>
    </row>
    <row r="31" ht="25" customHeight="1" s="151">
      <c r="A31" s="39" t="inlineStr">
        <is>
          <t>PLANT &amp; EQUIPMENT</t>
        </is>
      </c>
      <c r="B31" s="40" t="n"/>
      <c r="C31" s="40" t="n"/>
      <c r="D31" s="40" t="n"/>
      <c r="E31" s="40" t="n"/>
      <c r="F31" s="40" t="n"/>
      <c r="G31" s="40" t="n"/>
      <c r="H31" s="40" t="n"/>
      <c r="I31" s="41" t="n"/>
    </row>
    <row r="32" ht="24" customHeight="1" s="151">
      <c r="A32" s="126" t="inlineStr">
        <is>
          <t>Plant</t>
        </is>
      </c>
      <c r="B32" s="127" t="inlineStr">
        <is>
          <t>ID</t>
        </is>
      </c>
      <c r="C32" s="127" t="inlineStr">
        <is>
          <t>Hours</t>
        </is>
      </c>
      <c r="D32" s="127" t="inlineStr">
        <is>
          <t xml:space="preserve"> Vehicles</t>
        </is>
      </c>
      <c r="E32" s="127" t="inlineStr">
        <is>
          <t>ID</t>
        </is>
      </c>
      <c r="F32" s="127" t="inlineStr">
        <is>
          <t>QTY</t>
        </is>
      </c>
      <c r="G32" s="42" t="inlineStr">
        <is>
          <t>Site Facilities</t>
        </is>
      </c>
      <c r="H32" s="42" t="inlineStr">
        <is>
          <t>ID</t>
        </is>
      </c>
      <c r="I32" s="43" t="inlineStr">
        <is>
          <t>Qty</t>
        </is>
      </c>
    </row>
    <row r="33" ht="23.15" customHeight="1" s="151">
      <c r="A33" s="25" t="inlineStr">
        <is>
          <t>Komatsu WA320</t>
        </is>
      </c>
      <c r="B33" s="26" t="inlineStr">
        <is>
          <t>FWL18</t>
        </is>
      </c>
      <c r="C33" s="26" t="n">
        <v>5</v>
      </c>
      <c r="D33" s="31" t="inlineStr">
        <is>
          <t>Hilux</t>
        </is>
      </c>
      <c r="E33" s="31" t="inlineStr">
        <is>
          <t>DLV90</t>
        </is>
      </c>
      <c r="F33" s="31" t="n">
        <v>1</v>
      </c>
      <c r="G33" s="31" t="inlineStr">
        <is>
          <t>Office 40ft</t>
        </is>
      </c>
      <c r="H33" s="31" t="n">
        <v>9255540</v>
      </c>
      <c r="I33" s="30" t="n">
        <v>1</v>
      </c>
    </row>
    <row r="34" ht="23.15" customHeight="1" s="151">
      <c r="A34" s="25" t="inlineStr">
        <is>
          <t>Wacker Neuson DPU</t>
        </is>
      </c>
      <c r="B34" s="26" t="inlineStr">
        <is>
          <t>DPC15</t>
        </is>
      </c>
      <c r="C34" s="26" t="n"/>
      <c r="D34" s="31" t="inlineStr">
        <is>
          <t>Hilux</t>
        </is>
      </c>
      <c r="E34" s="31" t="inlineStr">
        <is>
          <t>DLV04</t>
        </is>
      </c>
      <c r="F34" s="31" t="n">
        <v>1</v>
      </c>
      <c r="G34" s="31" t="inlineStr">
        <is>
          <t>Sea Container 20ft</t>
        </is>
      </c>
      <c r="H34" s="26" t="n">
        <v>951200</v>
      </c>
      <c r="I34" s="30" t="n">
        <v>1</v>
      </c>
    </row>
    <row r="35" ht="23.15" customHeight="1" s="151">
      <c r="A35" s="44" t="inlineStr">
        <is>
          <t>Watercart</t>
        </is>
      </c>
      <c r="B35" s="31" t="inlineStr">
        <is>
          <t>WC04</t>
        </is>
      </c>
      <c r="C35" s="26" t="n"/>
      <c r="D35" s="31" t="n"/>
      <c r="E35" s="26" t="n"/>
      <c r="F35" s="31" t="n"/>
      <c r="G35" s="31" t="inlineStr">
        <is>
          <t>Site Sentry Tower</t>
        </is>
      </c>
      <c r="H35" s="31" t="n"/>
      <c r="I35" s="30" t="n">
        <v>2</v>
      </c>
    </row>
    <row r="36" ht="23.15" customHeight="1" s="151">
      <c r="A36" s="44" t="inlineStr">
        <is>
          <t>8T Excavator</t>
        </is>
      </c>
      <c r="B36" s="45" t="inlineStr">
        <is>
          <t>AMG 014</t>
        </is>
      </c>
      <c r="C36" s="26" t="n"/>
      <c r="D36" s="31" t="n"/>
      <c r="E36" s="31" t="n"/>
      <c r="F36" s="31" t="n"/>
      <c r="G36" s="31" t="inlineStr">
        <is>
          <t>Skip Bin</t>
        </is>
      </c>
      <c r="H36" s="31" t="n"/>
      <c r="I36" s="30" t="n">
        <v>1</v>
      </c>
    </row>
    <row r="37" ht="23.15" customHeight="1" s="151">
      <c r="A37" s="31" t="inlineStr">
        <is>
          <t>Mini Tipper</t>
        </is>
      </c>
      <c r="B37" s="31" t="inlineStr">
        <is>
          <t>SLS05</t>
        </is>
      </c>
      <c r="C37" s="31" t="n"/>
      <c r="D37" s="31" t="n"/>
      <c r="E37" s="31" t="n"/>
      <c r="F37" s="31" t="n"/>
      <c r="G37" s="31" t="inlineStr">
        <is>
          <t>Hydrocarbon Bund</t>
        </is>
      </c>
      <c r="H37" s="31" t="n"/>
      <c r="I37" s="30" t="n">
        <v>1</v>
      </c>
    </row>
    <row r="38" ht="23.15" customHeight="1" s="151">
      <c r="A38" s="76" t="inlineStr">
        <is>
          <t>1 t Excavator</t>
        </is>
      </c>
      <c r="B38" s="31" t="inlineStr">
        <is>
          <t>SLS03</t>
        </is>
      </c>
      <c r="C38" s="31" t="n">
        <v>5</v>
      </c>
      <c r="D38" s="31" t="n"/>
      <c r="E38" s="31" t="n"/>
      <c r="F38" s="31" t="n"/>
      <c r="G38" s="31" t="inlineStr">
        <is>
          <t>Temp Fence</t>
        </is>
      </c>
      <c r="H38" s="26" t="n"/>
      <c r="I38" s="30" t="n">
        <v>1</v>
      </c>
    </row>
    <row r="39" ht="24" customHeight="1" s="151">
      <c r="A39" s="76" t="inlineStr">
        <is>
          <t>14t Excavator with GPS</t>
        </is>
      </c>
      <c r="B39" s="31" t="inlineStr">
        <is>
          <t>EX153</t>
        </is>
      </c>
      <c r="C39" s="31" t="n">
        <v>5</v>
      </c>
      <c r="D39" s="31" t="n"/>
      <c r="E39" s="31" t="n"/>
      <c r="F39" s="31" t="n"/>
      <c r="G39" s="2" t="n"/>
      <c r="H39" s="2" t="n"/>
      <c r="I39" s="3" t="n"/>
    </row>
    <row r="40" ht="24" customHeight="1" s="151">
      <c r="A40" s="76" t="inlineStr">
        <is>
          <t>5t Excavator</t>
        </is>
      </c>
      <c r="B40" s="31" t="inlineStr">
        <is>
          <t>A118</t>
        </is>
      </c>
      <c r="C40" s="31" t="n">
        <v>5</v>
      </c>
      <c r="D40" s="31" t="n"/>
      <c r="E40" s="31" t="n"/>
      <c r="F40" s="31" t="n"/>
      <c r="G40" s="2" t="n"/>
      <c r="H40" s="2" t="n"/>
      <c r="I40" s="3" t="n"/>
    </row>
    <row r="41" ht="24" customHeight="1" s="151">
      <c r="A41" s="44" t="inlineStr">
        <is>
          <t>Padfoot/ Smooth Drum Roller</t>
        </is>
      </c>
      <c r="B41" s="31" t="inlineStr">
        <is>
          <t>RR 03</t>
        </is>
      </c>
      <c r="C41" s="26" t="n"/>
      <c r="D41" s="31" t="n"/>
      <c r="E41" s="31" t="n"/>
      <c r="F41" s="31" t="n"/>
      <c r="G41" s="2" t="n"/>
      <c r="H41" s="2" t="n"/>
      <c r="I41" s="3" t="n"/>
    </row>
    <row r="42" ht="24" customHeight="1" s="151">
      <c r="A42" s="44" t="inlineStr">
        <is>
          <t>Multi Roller</t>
        </is>
      </c>
      <c r="B42" s="31" t="n">
        <v>256</v>
      </c>
      <c r="C42" s="26" t="n"/>
      <c r="D42" s="31" t="n"/>
      <c r="E42" s="31" t="n"/>
      <c r="F42" s="31" t="n"/>
      <c r="G42" s="2" t="n"/>
      <c r="H42" s="2" t="n"/>
      <c r="I42" s="3" t="n"/>
    </row>
    <row r="43" ht="24" customHeight="1" s="151">
      <c r="A43" s="44" t="inlineStr">
        <is>
          <t>Positrak SSL</t>
        </is>
      </c>
      <c r="B43" s="31" t="inlineStr">
        <is>
          <t>SSL08</t>
        </is>
      </c>
      <c r="C43" s="26" t="n">
        <v>5</v>
      </c>
      <c r="D43" s="31" t="n"/>
      <c r="E43" s="31" t="n"/>
      <c r="F43" s="31" t="n"/>
      <c r="G43" s="2" t="n"/>
      <c r="H43" s="2" t="n"/>
      <c r="I43" s="3" t="n"/>
    </row>
    <row r="44" ht="24" customHeight="1" s="151">
      <c r="A44" s="44" t="inlineStr">
        <is>
          <t>Grader</t>
        </is>
      </c>
      <c r="B44" s="31" t="inlineStr">
        <is>
          <t>SLS01</t>
        </is>
      </c>
      <c r="C44" s="26" t="n"/>
      <c r="D44" s="31" t="n"/>
      <c r="E44" s="31" t="n"/>
      <c r="F44" s="31" t="n"/>
      <c r="G44" s="2" t="n"/>
      <c r="H44" s="2" t="n"/>
      <c r="I44" s="3" t="n"/>
    </row>
    <row r="45" ht="24" customHeight="1" s="151">
      <c r="A45" s="44" t="n"/>
      <c r="B45" s="31" t="n"/>
      <c r="C45" s="26" t="n"/>
      <c r="D45" s="2" t="n"/>
      <c r="E45" s="2" t="n"/>
      <c r="F45" s="2" t="n"/>
      <c r="G45" s="2" t="n"/>
      <c r="H45" s="2" t="n"/>
      <c r="I45" s="3" t="n"/>
    </row>
    <row r="46" ht="18" customHeight="1" s="151">
      <c r="A46" s="46" t="n">
        <v>0</v>
      </c>
      <c r="B46" s="128" t="inlineStr">
        <is>
          <t xml:space="preserve">Repairs Required </t>
        </is>
      </c>
      <c r="C46" s="118" t="n"/>
      <c r="D46" s="129" t="inlineStr">
        <is>
          <t>N/A</t>
        </is>
      </c>
      <c r="E46" s="159" t="n"/>
      <c r="F46" s="159" t="n"/>
      <c r="G46" s="159" t="n"/>
      <c r="H46" s="159" t="n"/>
      <c r="I46" s="160" t="n"/>
    </row>
    <row r="47" ht="18" customHeight="1" s="151">
      <c r="A47" s="47" t="n">
        <v>0</v>
      </c>
      <c r="B47" s="128" t="inlineStr">
        <is>
          <t>Scheduled Service</t>
        </is>
      </c>
      <c r="C47" s="118" t="n"/>
      <c r="D47" s="129" t="inlineStr">
        <is>
          <t>N/A</t>
        </is>
      </c>
      <c r="E47" s="159" t="n"/>
      <c r="F47" s="159" t="n"/>
      <c r="G47" s="159" t="n"/>
      <c r="H47" s="159" t="n"/>
      <c r="I47" s="160" t="n"/>
    </row>
    <row r="48" ht="18" customHeight="1" s="151">
      <c r="A48" s="48" t="n">
        <v>0</v>
      </c>
      <c r="B48" s="128" t="n"/>
      <c r="C48" s="118" t="n"/>
      <c r="D48" s="129" t="inlineStr">
        <is>
          <t>N/A</t>
        </is>
      </c>
      <c r="E48" s="159" t="n"/>
      <c r="F48" s="159" t="n"/>
      <c r="G48" s="159" t="n"/>
      <c r="H48" s="159" t="n"/>
      <c r="I48" s="160" t="n"/>
    </row>
    <row r="49" ht="23.15" customHeight="1" s="151">
      <c r="A49" s="131" t="inlineStr">
        <is>
          <t xml:space="preserve">Total Plant and Equipment Hours: </t>
        </is>
      </c>
      <c r="B49" s="118" t="n"/>
      <c r="C49" s="49">
        <f>SUM(C33:C45)</f>
        <v/>
      </c>
      <c r="D49" s="132" t="n"/>
      <c r="E49" s="159" t="n"/>
      <c r="F49" s="159" t="n"/>
      <c r="G49" s="159" t="n"/>
      <c r="H49" s="159" t="n"/>
      <c r="I49" s="160" t="n"/>
    </row>
    <row r="50" ht="25" customHeight="1" s="151">
      <c r="A50" s="120" t="inlineStr">
        <is>
          <t>DELAYS-OPPORTUNITY</t>
        </is>
      </c>
      <c r="B50" s="159" t="n"/>
      <c r="C50" s="159" t="n"/>
      <c r="D50" s="159" t="n"/>
      <c r="E50" s="159" t="n"/>
      <c r="F50" s="159" t="n"/>
      <c r="G50" s="159" t="n"/>
      <c r="H50" s="159" t="n"/>
      <c r="I50" s="160" t="n"/>
    </row>
    <row r="51" ht="20.15" customHeight="1" s="151">
      <c r="A51" s="50" t="n"/>
      <c r="B51" s="51" t="n"/>
      <c r="C51" s="51" t="n"/>
      <c r="D51" s="51" t="n"/>
      <c r="E51" s="51" t="n"/>
      <c r="F51" s="51" t="n"/>
      <c r="G51" s="51" t="n"/>
      <c r="H51" s="51" t="n"/>
      <c r="I51" s="52" t="n"/>
    </row>
    <row r="52" ht="25" customHeight="1" s="151">
      <c r="A52" s="133" t="inlineStr">
        <is>
          <t>New Detail Provided on Centrelink Carpark                                                            
Kerbing Plan reissued by TCD                                                                                .
Awaiting Direction on Service Clash Forrest Street
Awaiting Confirmation on Batters Treatment 
Awaiting finalised fencing details
Awaiting COGG confirmation on "Ballast Pile"
Instructions Provided for Laneway Sewer, Drainage and Light Pole Removal
Demo and new kerb design not aligning awaiting Survey report
Sump Levels option provided
Confirmation of CCTV Alignment Through Crossing Provided</t>
        </is>
      </c>
      <c r="B52" s="124" t="n"/>
      <c r="C52" s="124" t="n"/>
      <c r="D52" s="124" t="n"/>
      <c r="E52" s="124" t="n"/>
      <c r="F52" s="124" t="n"/>
      <c r="G52" s="124" t="n"/>
      <c r="H52" s="124" t="n"/>
      <c r="I52" s="125" t="n"/>
    </row>
    <row r="53">
      <c r="A53" s="111" t="n"/>
      <c r="I53" s="113" t="n"/>
    </row>
    <row r="54" ht="51" customHeight="1" s="151">
      <c r="A54" s="111" t="n"/>
      <c r="I54" s="113" t="n"/>
    </row>
    <row r="55" ht="129" customHeight="1" s="151">
      <c r="A55" s="134" t="n"/>
      <c r="B55" s="135" t="n"/>
      <c r="C55" s="135" t="n"/>
      <c r="D55" s="135" t="n"/>
      <c r="E55" s="135" t="n"/>
      <c r="F55" s="135" t="n"/>
      <c r="G55" s="135" t="n"/>
      <c r="H55" s="135" t="n"/>
      <c r="I55" s="136" t="n"/>
    </row>
    <row r="56" ht="25" customHeight="1" s="151">
      <c r="A56" s="137" t="inlineStr">
        <is>
          <t>HSEQ MESSAGES</t>
        </is>
      </c>
      <c r="B56" s="138" t="n"/>
      <c r="C56" s="138" t="n"/>
      <c r="D56" s="138" t="n"/>
      <c r="E56" s="138" t="n"/>
      <c r="F56" s="138" t="n"/>
      <c r="G56" s="138" t="n"/>
      <c r="H56" s="138" t="n"/>
      <c r="I56" s="139" t="n"/>
    </row>
    <row r="57" ht="18" customHeight="1" s="151">
      <c r="A57" s="53" t="inlineStr">
        <is>
          <t>TCD - Monthly Safety Focus:</t>
        </is>
      </c>
      <c r="B57" s="140" t="inlineStr">
        <is>
          <t>Underground Services</t>
        </is>
      </c>
      <c r="C57" s="159" t="n"/>
      <c r="D57" s="159" t="n"/>
      <c r="E57" s="159" t="n"/>
      <c r="F57" s="159" t="n"/>
      <c r="G57" s="159" t="n"/>
      <c r="H57" s="159" t="n"/>
      <c r="I57" s="118" t="n"/>
    </row>
    <row r="58" ht="24" customHeight="1" s="151">
      <c r="A58" s="53" t="inlineStr">
        <is>
          <t>TCD - Daily Safety Focus:</t>
        </is>
      </c>
      <c r="B58" s="141" t="inlineStr">
        <is>
          <t>Manual Handling</t>
        </is>
      </c>
      <c r="C58" s="159" t="n"/>
      <c r="D58" s="159" t="n"/>
      <c r="E58" s="159" t="n"/>
      <c r="F58" s="159" t="n"/>
      <c r="G58" s="159" t="n"/>
      <c r="H58" s="159" t="n"/>
      <c r="I58" s="160" t="n"/>
    </row>
    <row r="59" ht="18" customHeight="1" s="151">
      <c r="A59" s="54" t="inlineStr">
        <is>
          <t xml:space="preserve">Hazards Reported: </t>
        </is>
      </c>
      <c r="B59" s="55" t="inlineStr">
        <is>
          <t>Nil</t>
        </is>
      </c>
      <c r="C59" s="141" t="n"/>
      <c r="D59" s="159" t="n"/>
      <c r="E59" s="159" t="n"/>
      <c r="F59" s="159" t="n"/>
      <c r="G59" s="159" t="n"/>
      <c r="H59" s="159" t="n"/>
      <c r="I59" s="160" t="n"/>
    </row>
    <row r="60" ht="18" customHeight="1" s="151">
      <c r="A60" s="54" t="inlineStr">
        <is>
          <t>Incident Free Days</t>
        </is>
      </c>
      <c r="B60" s="55" t="n">
        <v>18</v>
      </c>
      <c r="C60" s="140" t="n"/>
      <c r="D60" s="159" t="n"/>
      <c r="E60" s="159" t="n"/>
      <c r="F60" s="159" t="n"/>
      <c r="G60" s="159" t="n"/>
      <c r="H60" s="159" t="n"/>
      <c r="I60" s="118" t="n"/>
    </row>
    <row r="61" ht="18" customHeight="1" s="151">
      <c r="A61" s="56" t="inlineStr">
        <is>
          <t>Other Notes</t>
        </is>
      </c>
      <c r="B61" s="142" t="n"/>
      <c r="C61" s="124" t="n"/>
      <c r="D61" s="124" t="n"/>
      <c r="E61" s="124" t="n"/>
      <c r="F61" s="124" t="n"/>
      <c r="G61" s="124" t="n"/>
      <c r="H61" s="124" t="n"/>
      <c r="I61" s="125" t="n"/>
    </row>
    <row r="62" ht="20.25" customHeight="1" s="151">
      <c r="A62" s="120" t="inlineStr">
        <is>
          <t xml:space="preserve">INCIDENTS &amp; REPORTS </t>
        </is>
      </c>
      <c r="B62" s="159" t="n"/>
      <c r="C62" s="159" t="n"/>
      <c r="D62" s="159" t="n"/>
      <c r="E62" s="159" t="n"/>
      <c r="F62" s="159" t="n"/>
      <c r="G62" s="159" t="n"/>
      <c r="H62" s="159" t="n"/>
      <c r="I62" s="160" t="n"/>
    </row>
    <row r="63" ht="25" customHeight="1" s="151">
      <c r="A63" s="57" t="n"/>
      <c r="B63" s="127" t="inlineStr">
        <is>
          <t>QTY</t>
        </is>
      </c>
      <c r="C63" s="130" t="inlineStr">
        <is>
          <t>Comments</t>
        </is>
      </c>
      <c r="D63" s="159" t="n"/>
      <c r="E63" s="159" t="n"/>
      <c r="F63" s="159" t="n"/>
      <c r="G63" s="159" t="n"/>
      <c r="H63" s="159" t="n"/>
      <c r="I63" s="160" t="n"/>
    </row>
    <row r="64" ht="25" customHeight="1" s="151">
      <c r="A64" s="58" t="inlineStr">
        <is>
          <t>INCIDENT</t>
        </is>
      </c>
      <c r="B64" s="127" t="n">
        <v>0</v>
      </c>
      <c r="C64" s="129" t="inlineStr">
        <is>
          <t>NA</t>
        </is>
      </c>
      <c r="D64" s="159" t="n"/>
      <c r="E64" s="159" t="n"/>
      <c r="F64" s="159" t="n"/>
      <c r="G64" s="159" t="n"/>
      <c r="H64" s="159" t="n"/>
      <c r="I64" s="160" t="n"/>
    </row>
    <row r="65" ht="25" customHeight="1" s="151">
      <c r="A65" s="59" t="inlineStr">
        <is>
          <t>IR</t>
        </is>
      </c>
      <c r="B65" s="60" t="n">
        <v>0</v>
      </c>
      <c r="C65" s="145" t="inlineStr">
        <is>
          <t>NA</t>
        </is>
      </c>
      <c r="D65" s="124" t="n"/>
      <c r="E65" s="124" t="n"/>
      <c r="F65" s="124" t="n"/>
      <c r="G65" s="124" t="n"/>
      <c r="H65" s="124" t="n"/>
      <c r="I65" s="125" t="n"/>
    </row>
    <row r="66" ht="25" customHeight="1" s="151">
      <c r="A66" s="61" t="inlineStr">
        <is>
          <t>NCR</t>
        </is>
      </c>
      <c r="B66" s="62" t="n">
        <v>0</v>
      </c>
      <c r="C66" s="146" t="inlineStr">
        <is>
          <t>NA</t>
        </is>
      </c>
      <c r="D66" s="147" t="n"/>
      <c r="E66" s="147" t="n"/>
      <c r="F66" s="147" t="n"/>
      <c r="G66" s="147" t="n"/>
      <c r="H66" s="147" t="n"/>
      <c r="I66" s="148" t="n"/>
    </row>
    <row r="67" ht="20.25" customHeight="1" s="151">
      <c r="A67" s="137" t="inlineStr">
        <is>
          <t>COMMUNICATIONS</t>
        </is>
      </c>
      <c r="B67" s="138" t="n"/>
      <c r="C67" s="138" t="n"/>
      <c r="D67" s="138" t="n"/>
      <c r="E67" s="138" t="n"/>
      <c r="F67" s="138" t="n"/>
      <c r="G67" s="138" t="n"/>
      <c r="H67" s="138" t="n"/>
      <c r="I67" s="139" t="n"/>
    </row>
    <row r="68" ht="25" customHeight="1" s="151">
      <c r="A68" s="149" t="inlineStr">
        <is>
          <t>TGS MB1119-05 Scheme D implemented</t>
        </is>
      </c>
      <c r="B68" s="159" t="n"/>
      <c r="C68" s="159" t="n"/>
      <c r="D68" s="159" t="n"/>
      <c r="E68" s="159" t="n"/>
      <c r="F68" s="159" t="n"/>
      <c r="G68" s="159" t="n"/>
      <c r="H68" s="159" t="n"/>
      <c r="I68" s="160" t="n"/>
    </row>
    <row r="69" ht="25" customHeight="1" s="151">
      <c r="A69" s="149" t="inlineStr">
        <is>
          <t>TGS MB1119-07B implemented (Closure Notification Upcoming)</t>
        </is>
      </c>
      <c r="B69" s="159" t="n"/>
      <c r="C69" s="159" t="n"/>
      <c r="D69" s="159" t="n"/>
      <c r="E69" s="159" t="n"/>
      <c r="F69" s="159" t="n"/>
      <c r="G69" s="159" t="n"/>
      <c r="H69" s="159" t="n"/>
      <c r="I69" s="160" t="n"/>
    </row>
    <row r="70" ht="25" customHeight="1" s="151">
      <c r="A70" s="120" t="inlineStr">
        <is>
          <t>PRODUCTION (CONSTRUCTION STATUS &amp; PROGRESS)</t>
        </is>
      </c>
      <c r="B70" s="159" t="n"/>
      <c r="C70" s="159" t="n"/>
      <c r="D70" s="159" t="n"/>
      <c r="E70" s="159" t="n"/>
      <c r="F70" s="159" t="n"/>
      <c r="G70" s="159" t="n"/>
      <c r="H70" s="159" t="n"/>
      <c r="I70" s="160" t="n"/>
    </row>
    <row r="71" ht="25" customHeight="1" s="151">
      <c r="A71" s="63" t="inlineStr">
        <is>
          <t xml:space="preserve">Service Exposure </t>
        </is>
      </c>
      <c r="B71" s="64" t="n"/>
      <c r="C71" s="9" t="inlineStr">
        <is>
          <t>Setting of Lids/ Concreting</t>
        </is>
      </c>
      <c r="D71" s="9" t="n"/>
      <c r="E71" s="9" t="n"/>
      <c r="F71" s="64" t="n"/>
      <c r="G71" s="64" t="n"/>
      <c r="H71" s="64" t="n"/>
      <c r="I71" s="65" t="n"/>
    </row>
    <row r="72" ht="25" customHeight="1" s="151">
      <c r="A72" s="63" t="inlineStr">
        <is>
          <t xml:space="preserve">Surveyor mark-up of Front of kerb </t>
        </is>
      </c>
      <c r="B72" s="64" t="n"/>
      <c r="C72" s="9" t="n"/>
      <c r="D72" s="9" t="n"/>
      <c r="E72" s="64" t="n"/>
      <c r="F72" s="64" t="n"/>
      <c r="G72" s="64" t="n"/>
      <c r="H72" s="64" t="n"/>
      <c r="I72" s="65" t="n"/>
    </row>
    <row r="73" ht="25" customHeight="1" s="151">
      <c r="A73" s="63" t="inlineStr">
        <is>
          <t xml:space="preserve">Setting of Storm-water lids/Concreting </t>
        </is>
      </c>
      <c r="B73" s="64" t="n"/>
      <c r="C73" s="9" t="n"/>
      <c r="D73" s="64" t="n"/>
      <c r="E73" s="64" t="n"/>
      <c r="F73" s="64" t="n"/>
      <c r="G73" s="64" t="n"/>
      <c r="H73" s="64" t="n"/>
      <c r="I73" s="65" t="n"/>
    </row>
    <row r="74" ht="26.15" customHeight="1" s="151">
      <c r="A74" s="123" t="inlineStr">
        <is>
          <t>Photos</t>
        </is>
      </c>
      <c r="B74" s="124" t="n"/>
      <c r="C74" s="124" t="n"/>
      <c r="D74" s="124" t="n"/>
      <c r="E74" s="124" t="n"/>
      <c r="F74" s="124" t="n"/>
      <c r="G74" s="124" t="n"/>
      <c r="H74" s="124" t="n"/>
      <c r="I74" s="125" t="n"/>
    </row>
    <row r="75" ht="23.15" customHeight="1" s="151">
      <c r="A75" s="66" t="n"/>
      <c r="B75" s="67" t="n"/>
      <c r="C75" s="67" t="n"/>
      <c r="D75" s="67" t="n"/>
      <c r="E75" s="67" t="n"/>
      <c r="F75" s="67" t="n"/>
      <c r="G75" s="67" t="n"/>
      <c r="H75" s="67" t="n"/>
      <c r="I75" s="68" t="n"/>
    </row>
    <row r="76" ht="23.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H97" s="70" t="n"/>
      <c r="I97" s="71" t="n"/>
    </row>
    <row r="98" ht="25" customFormat="1" customHeight="1" s="10">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72" t="n"/>
      <c r="B121" s="73" t="n"/>
      <c r="C121" s="73" t="n"/>
      <c r="D121" s="73" t="n"/>
      <c r="E121" s="73" t="n"/>
      <c r="F121" s="73" t="n"/>
      <c r="G121" s="73" t="n"/>
      <c r="H121" s="73" t="n"/>
      <c r="I121" s="74" t="n"/>
    </row>
    <row r="122" ht="2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28"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c r="J138" s="75"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6" customHeight="1" s="151">
      <c r="A145" s="69" t="n"/>
      <c r="B145" s="70" t="n"/>
      <c r="C145" s="70" t="n"/>
      <c r="D145" s="70" t="n"/>
      <c r="E145" s="70" t="n"/>
      <c r="F145" s="70" t="n"/>
      <c r="G145" s="70" t="n"/>
      <c r="H145" s="70" t="n"/>
      <c r="I145" s="71" t="n"/>
    </row>
    <row r="146" ht="30.75" customHeight="1" s="151">
      <c r="A146" s="143" t="n"/>
      <c r="E146" s="144" t="n"/>
      <c r="I146" s="113"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ht="16" customHeight="1" s="151">
      <c r="A200" s="4" t="n"/>
      <c r="B200" s="5" t="n"/>
      <c r="C200" s="5" t="n"/>
      <c r="D200" s="5" t="n"/>
      <c r="E200" s="5" t="n"/>
      <c r="F200" s="5" t="n"/>
      <c r="G200" s="5" t="n"/>
      <c r="H200" s="5" t="n"/>
      <c r="I200" s="6" t="n"/>
    </row>
    <row r="201">
      <c r="A201" s="7" t="n"/>
      <c r="I201" s="8" t="n"/>
    </row>
    <row r="202">
      <c r="A202" s="7" t="n"/>
      <c r="I202" s="8" t="n"/>
    </row>
    <row r="203">
      <c r="A203" s="7" t="n"/>
      <c r="I203" s="8" t="n"/>
    </row>
    <row r="204">
      <c r="A204" s="7" t="n"/>
      <c r="I204" s="8" t="n"/>
    </row>
    <row r="205">
      <c r="A205" s="7" t="n"/>
      <c r="I205" s="8" t="n"/>
    </row>
    <row r="206">
      <c r="A206" s="7" t="n"/>
      <c r="I206" s="8" t="n"/>
    </row>
    <row r="207" ht="16" customHeight="1" s="151">
      <c r="A207" s="4" t="n"/>
      <c r="B207" s="5" t="n"/>
      <c r="C207" s="5" t="n"/>
      <c r="D207" s="5" t="n"/>
      <c r="E207" s="5" t="n"/>
      <c r="F207" s="5" t="n"/>
      <c r="G207" s="5" t="n"/>
      <c r="H207" s="5" t="n"/>
      <c r="I207" s="6" t="n"/>
    </row>
  </sheetData>
  <mergeCells count="40">
    <mergeCell ref="D49:I49"/>
    <mergeCell ref="B47:C47"/>
    <mergeCell ref="D13:F13"/>
    <mergeCell ref="G13:I13"/>
    <mergeCell ref="B8:D8"/>
    <mergeCell ref="A49:B49"/>
    <mergeCell ref="B46:C46"/>
    <mergeCell ref="A56:I56"/>
    <mergeCell ref="D48:I48"/>
    <mergeCell ref="A74:I74"/>
    <mergeCell ref="E146:I146"/>
    <mergeCell ref="A50:I50"/>
    <mergeCell ref="A12:I12"/>
    <mergeCell ref="D47:I47"/>
    <mergeCell ref="B58:I58"/>
    <mergeCell ref="C66:I66"/>
    <mergeCell ref="B48:C48"/>
    <mergeCell ref="A5:I5"/>
    <mergeCell ref="B9:D9"/>
    <mergeCell ref="A52:I55"/>
    <mergeCell ref="B61:I61"/>
    <mergeCell ref="B57:I57"/>
    <mergeCell ref="B6:D6"/>
    <mergeCell ref="A62:I62"/>
    <mergeCell ref="A13:C13"/>
    <mergeCell ref="A146:D146"/>
    <mergeCell ref="A68:I68"/>
    <mergeCell ref="A10:I10"/>
    <mergeCell ref="A1:I4"/>
    <mergeCell ref="C64:I64"/>
    <mergeCell ref="A67:I67"/>
    <mergeCell ref="B7:D7"/>
    <mergeCell ref="C63:I63"/>
    <mergeCell ref="C65:I65"/>
    <mergeCell ref="A11:I11"/>
    <mergeCell ref="D46:I46"/>
    <mergeCell ref="C59:I59"/>
    <mergeCell ref="A70:I70"/>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3" min="0" max="8" man="1"/>
  </rowBreaks>
</worksheet>
</file>

<file path=xl/worksheets/sheet9.xml><?xml version="1.0" encoding="utf-8"?>
<worksheet xmlns="http://schemas.openxmlformats.org/spreadsheetml/2006/main">
  <sheetPr>
    <outlinePr summaryBelow="1" summaryRight="1"/>
    <pageSetUpPr fitToPage="1"/>
  </sheetPr>
  <dimension ref="A1:J209"/>
  <sheetViews>
    <sheetView view="pageBreakPreview"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30.26953125"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45911</v>
      </c>
    </row>
    <row r="7" ht="23.15" customHeight="1" s="151">
      <c r="A7" s="11" t="inlineStr">
        <is>
          <t>Project Location:</t>
        </is>
      </c>
      <c r="B7" s="119" t="inlineStr">
        <is>
          <t>Geraldton</t>
        </is>
      </c>
      <c r="E7" s="119" t="n"/>
      <c r="F7" s="13" t="n"/>
      <c r="G7" s="13" t="n"/>
      <c r="H7" s="16" t="inlineStr">
        <is>
          <t>Day:</t>
        </is>
      </c>
      <c r="I7" s="17" t="inlineStr">
        <is>
          <t>Thursday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104</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23 degrees  Wind: 39km/h ENE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c r="G15" s="29" t="inlineStr">
        <is>
          <t>Khegan Brockman</t>
        </is>
      </c>
      <c r="H15" s="26" t="inlineStr">
        <is>
          <t>Labourer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row>
    <row r="19" ht="23.15" customHeight="1" s="151">
      <c r="A19" s="25" t="inlineStr">
        <is>
          <t>THOMPSON,Cheryl</t>
        </is>
      </c>
      <c r="B19" s="26" t="inlineStr">
        <is>
          <t>HSET</t>
        </is>
      </c>
      <c r="C19" s="31" t="n"/>
      <c r="D19" s="28" t="n"/>
      <c r="E19" s="28" t="n"/>
      <c r="F19" s="26" t="n"/>
      <c r="G19" s="29" t="n"/>
      <c r="H19" s="26" t="n"/>
      <c r="I19" s="30" t="n"/>
    </row>
    <row r="20" ht="23.15" customHeight="1" s="151">
      <c r="A20" s="25" t="inlineStr">
        <is>
          <t>SKINNER,Jamie</t>
        </is>
      </c>
      <c r="B20" s="26" t="inlineStr">
        <is>
          <t>Supervisor</t>
        </is>
      </c>
      <c r="C20" s="31" t="n">
        <v>12</v>
      </c>
      <c r="D20" s="28" t="n"/>
      <c r="E20" s="28" t="n"/>
      <c r="F20" s="26" t="n"/>
      <c r="G20" s="93" t="inlineStr">
        <is>
          <t>Midwest Kerbing</t>
        </is>
      </c>
      <c r="H20" s="26" t="n"/>
      <c r="I20" s="30" t="n"/>
    </row>
    <row r="21" ht="23.15" customHeight="1" s="151">
      <c r="A21" s="25" t="inlineStr">
        <is>
          <t>Ultan,Toner</t>
        </is>
      </c>
      <c r="B21" s="26" t="inlineStr">
        <is>
          <t>Supervisor</t>
        </is>
      </c>
      <c r="C21" s="31" t="n">
        <v>12</v>
      </c>
      <c r="D21" s="28" t="n"/>
      <c r="E21" s="28" t="n"/>
      <c r="F21" s="26" t="n"/>
      <c r="G21" s="29" t="inlineStr">
        <is>
          <t>Daly,Troy</t>
        </is>
      </c>
      <c r="H21" s="26" t="inlineStr">
        <is>
          <t xml:space="preserve">Specialist </t>
        </is>
      </c>
      <c r="I21" s="30" t="n">
        <v>10</v>
      </c>
    </row>
    <row r="22" ht="23.15" customHeight="1" s="151">
      <c r="A22" s="25" t="n"/>
      <c r="B22" s="26" t="n"/>
      <c r="C22" s="31" t="n"/>
      <c r="D22" s="28" t="n"/>
      <c r="E22" s="28" t="n"/>
      <c r="F22" s="26" t="n"/>
      <c r="G22" s="96" t="inlineStr">
        <is>
          <t>Kerbers x 3</t>
        </is>
      </c>
      <c r="H22" s="26" t="inlineStr">
        <is>
          <t>Operator/Labourer</t>
        </is>
      </c>
      <c r="I22" s="30" t="n">
        <v>30</v>
      </c>
    </row>
    <row r="23" ht="23.15" customHeight="1" s="151">
      <c r="A23" s="25" t="n"/>
      <c r="B23" s="26" t="n"/>
      <c r="C23" s="31" t="n"/>
      <c r="D23" s="28" t="n"/>
      <c r="E23" s="28" t="n"/>
      <c r="F23" s="26" t="n"/>
      <c r="G23" s="96" t="inlineStr">
        <is>
          <t>Vac Truck Crew</t>
        </is>
      </c>
      <c r="H23" s="97" t="inlineStr">
        <is>
          <t>Operator/Labourer</t>
        </is>
      </c>
      <c r="I23" s="30" t="n">
        <v>10</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29" t="n"/>
      <c r="H25" s="26" t="n"/>
      <c r="I25" s="30" t="n"/>
    </row>
    <row r="26" ht="23.15" customHeight="1" s="151">
      <c r="A26" s="25" t="n"/>
      <c r="B26" s="26" t="n"/>
      <c r="C26" s="31" t="n"/>
      <c r="D26" s="28" t="n"/>
      <c r="E26" s="28" t="n"/>
      <c r="F26" s="26" t="n"/>
      <c r="G26" s="29" t="n"/>
      <c r="H26" s="26" t="n"/>
      <c r="I26" s="30" t="n"/>
    </row>
    <row r="27" ht="23.15" customHeight="1" s="151">
      <c r="A27" s="25" t="n"/>
      <c r="B27" s="26" t="n"/>
      <c r="C27" s="31" t="n"/>
      <c r="D27" s="28" t="n"/>
      <c r="E27" s="28" t="n"/>
      <c r="F27" s="26" t="n"/>
      <c r="G27" s="77" t="n"/>
      <c r="H27" s="77" t="n"/>
      <c r="I27" s="36" t="n"/>
    </row>
    <row r="28" ht="23.15" customHeight="1" s="151">
      <c r="A28" s="131" t="inlineStr">
        <is>
          <t xml:space="preserve">Total Indirect Personnel onsite: </t>
        </is>
      </c>
      <c r="B28" s="34">
        <f>COUNT(C15:C28)</f>
        <v/>
      </c>
      <c r="C28" s="28" t="n"/>
      <c r="D28" s="28" t="n"/>
      <c r="E28" s="28" t="n"/>
      <c r="F28" s="26" t="n"/>
      <c r="G28" s="78" t="n"/>
      <c r="H28" s="77" t="n"/>
      <c r="I28" s="30" t="n"/>
    </row>
    <row r="29" ht="23.15" customHeight="1" s="151">
      <c r="A29" s="131" t="inlineStr">
        <is>
          <t xml:space="preserve">Total Indirect Personnel hours: </t>
        </is>
      </c>
      <c r="B29" s="34">
        <f>SUM(C15:C27)</f>
        <v/>
      </c>
      <c r="C29" s="31" t="n"/>
      <c r="D29" s="28" t="n"/>
      <c r="E29" s="28" t="n"/>
      <c r="F29" s="26" t="n"/>
      <c r="G29" s="35" t="inlineStr">
        <is>
          <t>Total Subcontractor on-site:</t>
        </is>
      </c>
      <c r="H29" s="36">
        <f>COUNT(I15:I27)</f>
        <v/>
      </c>
      <c r="I29" s="30" t="n"/>
    </row>
    <row r="30" ht="23.15" customHeight="1" s="151">
      <c r="A30" s="131" t="inlineStr">
        <is>
          <t xml:space="preserve">Total Direct Personnel onsite:  </t>
        </is>
      </c>
      <c r="B30" s="34">
        <f>COUNTIF(F15:F31,"&gt;0")</f>
        <v/>
      </c>
      <c r="C30" s="34" t="n"/>
      <c r="D30" s="28" t="n"/>
      <c r="E30" s="28" t="n"/>
      <c r="F30" s="37" t="n"/>
      <c r="G30" s="35" t="inlineStr">
        <is>
          <t>Total Subcontractor hours:</t>
        </is>
      </c>
      <c r="H30" s="36">
        <f>SUM(I15:I27)</f>
        <v/>
      </c>
      <c r="I30" s="130" t="n"/>
    </row>
    <row r="31" ht="23.15" customHeight="1" s="151">
      <c r="A31" s="131" t="inlineStr">
        <is>
          <t xml:space="preserve">Total Direct Personnel hours: </t>
        </is>
      </c>
      <c r="B31" s="34">
        <f>SUM(F15:F31)</f>
        <v/>
      </c>
      <c r="C31" s="34" t="n"/>
      <c r="D31" s="34" t="n"/>
      <c r="E31" s="34" t="n"/>
      <c r="F31" s="34" t="n"/>
      <c r="G31" s="34" t="n"/>
      <c r="H31" s="34" t="n"/>
      <c r="I31" s="130" t="n"/>
    </row>
    <row r="32" ht="25" customHeight="1" s="151">
      <c r="A32" s="39" t="inlineStr">
        <is>
          <t>PLANT &amp; EQUIPMENT</t>
        </is>
      </c>
      <c r="B32" s="40" t="n"/>
      <c r="C32" s="40" t="n"/>
      <c r="D32" s="40" t="n"/>
      <c r="E32" s="40" t="n"/>
      <c r="F32" s="40" t="n"/>
      <c r="G32" s="40" t="n"/>
      <c r="H32" s="40" t="n"/>
      <c r="I32" s="41" t="n"/>
    </row>
    <row r="33" ht="24" customHeight="1" s="151">
      <c r="A33" s="126" t="inlineStr">
        <is>
          <t>Plant</t>
        </is>
      </c>
      <c r="B33" s="127" t="inlineStr">
        <is>
          <t>ID</t>
        </is>
      </c>
      <c r="C33" s="127" t="inlineStr">
        <is>
          <t>Hours</t>
        </is>
      </c>
      <c r="D33" s="127" t="inlineStr">
        <is>
          <t xml:space="preserve"> Vehicles</t>
        </is>
      </c>
      <c r="E33" s="127" t="inlineStr">
        <is>
          <t>ID</t>
        </is>
      </c>
      <c r="F33" s="127" t="inlineStr">
        <is>
          <t>QTY</t>
        </is>
      </c>
      <c r="G33" s="42" t="inlineStr">
        <is>
          <t>Site Facilities</t>
        </is>
      </c>
      <c r="H33" s="42" t="inlineStr">
        <is>
          <t>ID</t>
        </is>
      </c>
      <c r="I33" s="43" t="inlineStr">
        <is>
          <t>Qty</t>
        </is>
      </c>
    </row>
    <row r="34" ht="23.15" customHeight="1" s="151">
      <c r="A34" s="25" t="inlineStr">
        <is>
          <t>Komatsu WA320</t>
        </is>
      </c>
      <c r="B34" s="26" t="inlineStr">
        <is>
          <t>FWL18</t>
        </is>
      </c>
      <c r="C34" s="26" t="n">
        <v>5</v>
      </c>
      <c r="D34" s="31" t="inlineStr">
        <is>
          <t>Hilux</t>
        </is>
      </c>
      <c r="E34" s="31" t="inlineStr">
        <is>
          <t>DLV90</t>
        </is>
      </c>
      <c r="F34" s="31" t="n">
        <v>1</v>
      </c>
      <c r="G34" s="31" t="inlineStr">
        <is>
          <t>Office 40ft</t>
        </is>
      </c>
      <c r="H34" s="31" t="n">
        <v>9255540</v>
      </c>
      <c r="I34" s="30" t="n">
        <v>1</v>
      </c>
    </row>
    <row r="35" ht="23.15" customHeight="1" s="151">
      <c r="A35" s="25" t="inlineStr">
        <is>
          <t>Wacker Neuson DPU</t>
        </is>
      </c>
      <c r="B35" s="26" t="inlineStr">
        <is>
          <t>DPC15</t>
        </is>
      </c>
      <c r="C35" s="26" t="n"/>
      <c r="D35" s="31" t="inlineStr">
        <is>
          <t>Hilux</t>
        </is>
      </c>
      <c r="E35" s="31" t="inlineStr">
        <is>
          <t>1DLV04</t>
        </is>
      </c>
      <c r="F35" s="31" t="n">
        <v>1</v>
      </c>
      <c r="G35" s="31" t="inlineStr">
        <is>
          <t>Sea Container 20ft</t>
        </is>
      </c>
      <c r="H35" s="26" t="n">
        <v>951200</v>
      </c>
      <c r="I35" s="30" t="n">
        <v>1</v>
      </c>
    </row>
    <row r="36" ht="23.15" customHeight="1" s="151">
      <c r="A36" s="44" t="inlineStr">
        <is>
          <t>Watercart</t>
        </is>
      </c>
      <c r="B36" s="31" t="inlineStr">
        <is>
          <t>WC04</t>
        </is>
      </c>
      <c r="C36" s="26" t="n"/>
      <c r="D36" s="31" t="n"/>
      <c r="E36" s="26" t="n"/>
      <c r="F36" s="31" t="n"/>
      <c r="G36" s="31" t="inlineStr">
        <is>
          <t>Site Sentry Tower</t>
        </is>
      </c>
      <c r="H36" s="31" t="n"/>
      <c r="I36" s="30" t="n">
        <v>2</v>
      </c>
    </row>
    <row r="37" ht="23.15" customHeight="1" s="151">
      <c r="A37" s="44" t="inlineStr">
        <is>
          <t>8T Excavator</t>
        </is>
      </c>
      <c r="B37" s="45" t="inlineStr">
        <is>
          <t>AMG 014</t>
        </is>
      </c>
      <c r="C37" s="26" t="n"/>
      <c r="D37" s="31" t="n"/>
      <c r="E37" s="31" t="n"/>
      <c r="F37" s="31" t="n"/>
      <c r="G37" s="31" t="inlineStr">
        <is>
          <t>Skip Bin</t>
        </is>
      </c>
      <c r="H37" s="31" t="n"/>
      <c r="I37" s="30" t="n">
        <v>1</v>
      </c>
    </row>
    <row r="38" ht="23.15" customHeight="1" s="151">
      <c r="A38" s="31" t="inlineStr">
        <is>
          <t>Mini Tipper</t>
        </is>
      </c>
      <c r="B38" s="31" t="inlineStr">
        <is>
          <t>SLS05</t>
        </is>
      </c>
      <c r="C38" s="31" t="n"/>
      <c r="D38" s="31" t="n"/>
      <c r="E38" s="31" t="n"/>
      <c r="F38" s="31" t="n"/>
      <c r="G38" s="31" t="inlineStr">
        <is>
          <t>Hydrocarbon Bund</t>
        </is>
      </c>
      <c r="H38" s="31" t="n"/>
      <c r="I38" s="30" t="n">
        <v>1</v>
      </c>
    </row>
    <row r="39" ht="23.15" customHeight="1" s="151">
      <c r="A39" s="76" t="inlineStr">
        <is>
          <t>1 t Excavator</t>
        </is>
      </c>
      <c r="B39" s="31" t="inlineStr">
        <is>
          <t>SLS03</t>
        </is>
      </c>
      <c r="C39" s="31" t="n"/>
      <c r="D39" s="31" t="n"/>
      <c r="E39" s="31" t="n"/>
      <c r="F39" s="31" t="n"/>
      <c r="G39" s="31" t="inlineStr">
        <is>
          <t>Temp Fence</t>
        </is>
      </c>
      <c r="H39" s="26" t="n"/>
      <c r="I39" s="30" t="n">
        <v>1</v>
      </c>
    </row>
    <row r="40" ht="24" customHeight="1" s="151">
      <c r="A40" s="76" t="inlineStr">
        <is>
          <t>14t Excavator with GPS</t>
        </is>
      </c>
      <c r="B40" s="31" t="inlineStr">
        <is>
          <t>EX153</t>
        </is>
      </c>
      <c r="C40" s="31" t="n">
        <v>5</v>
      </c>
      <c r="D40" s="31" t="n"/>
      <c r="E40" s="31" t="n"/>
      <c r="F40" s="31" t="n"/>
      <c r="G40" s="2" t="n"/>
      <c r="H40" s="2" t="n"/>
      <c r="I40" s="3" t="n"/>
    </row>
    <row r="41" ht="24" customHeight="1" s="151">
      <c r="A41" s="76" t="inlineStr">
        <is>
          <t>5t Excavator</t>
        </is>
      </c>
      <c r="B41" s="31" t="inlineStr">
        <is>
          <t>A118</t>
        </is>
      </c>
      <c r="C41" s="31" t="n"/>
      <c r="D41" s="31" t="n"/>
      <c r="E41" s="31" t="n"/>
      <c r="F41" s="31" t="n"/>
      <c r="G41" s="2" t="n"/>
      <c r="H41" s="2" t="n"/>
      <c r="I41" s="3" t="n"/>
    </row>
    <row r="42" ht="24" customHeight="1" s="151">
      <c r="A42" s="44" t="inlineStr">
        <is>
          <t>Padfoot/ Smooth Drum Roller</t>
        </is>
      </c>
      <c r="B42" s="31" t="inlineStr">
        <is>
          <t>RR 03</t>
        </is>
      </c>
      <c r="C42" s="26" t="n"/>
      <c r="D42" s="31" t="n"/>
      <c r="E42" s="31" t="n"/>
      <c r="F42" s="31" t="n"/>
      <c r="G42" s="2" t="n"/>
      <c r="H42" s="2" t="n"/>
      <c r="I42" s="3" t="n"/>
    </row>
    <row r="43" ht="24" customHeight="1" s="151">
      <c r="A43" s="44" t="inlineStr">
        <is>
          <t>Multi Roller</t>
        </is>
      </c>
      <c r="B43" s="31" t="n">
        <v>256</v>
      </c>
      <c r="C43" s="26" t="n"/>
      <c r="D43" s="31" t="n"/>
      <c r="E43" s="31" t="n"/>
      <c r="F43" s="31" t="n"/>
      <c r="G43" s="2" t="n"/>
      <c r="H43" s="2" t="n"/>
      <c r="I43" s="3" t="n"/>
    </row>
    <row r="44" ht="24" customHeight="1" s="151">
      <c r="A44" s="44" t="inlineStr">
        <is>
          <t>Positrak SSL</t>
        </is>
      </c>
      <c r="B44" s="31" t="inlineStr">
        <is>
          <t>SSL08</t>
        </is>
      </c>
      <c r="C44" s="26" t="n">
        <v>5</v>
      </c>
      <c r="D44" s="31" t="n"/>
      <c r="E44" s="31" t="n"/>
      <c r="F44" s="31" t="n"/>
      <c r="G44" s="2" t="n"/>
      <c r="H44" s="2" t="n"/>
      <c r="I44" s="3" t="n"/>
    </row>
    <row r="45" ht="24" customHeight="1" s="151">
      <c r="A45" s="44" t="inlineStr">
        <is>
          <t>Grader</t>
        </is>
      </c>
      <c r="B45" s="31" t="inlineStr">
        <is>
          <t>SLS01</t>
        </is>
      </c>
      <c r="C45" s="26" t="n"/>
      <c r="D45" s="31" t="n"/>
      <c r="E45" s="31" t="n"/>
      <c r="F45" s="31" t="n"/>
      <c r="G45" s="2" t="n"/>
      <c r="H45" s="2" t="n"/>
      <c r="I45" s="3" t="n"/>
    </row>
    <row r="46" ht="24" customHeight="1" s="151">
      <c r="A46" s="44" t="n"/>
      <c r="B46" s="31" t="n"/>
      <c r="C46" s="26" t="n"/>
      <c r="D46" s="2" t="n"/>
      <c r="E46" s="2" t="n"/>
      <c r="F46" s="2" t="n"/>
      <c r="G46" s="2" t="n"/>
      <c r="H46" s="2" t="n"/>
      <c r="I46" s="3" t="n"/>
    </row>
    <row r="47" ht="18" customHeight="1" s="151">
      <c r="A47" s="46" t="n">
        <v>0</v>
      </c>
      <c r="B47" s="128" t="inlineStr">
        <is>
          <t xml:space="preserve">Repairs Required </t>
        </is>
      </c>
      <c r="C47" s="118" t="n"/>
      <c r="D47" s="129" t="inlineStr">
        <is>
          <t>N/A</t>
        </is>
      </c>
      <c r="E47" s="159" t="n"/>
      <c r="F47" s="159" t="n"/>
      <c r="G47" s="159" t="n"/>
      <c r="H47" s="159" t="n"/>
      <c r="I47" s="160" t="n"/>
    </row>
    <row r="48" ht="18" customHeight="1" s="151">
      <c r="A48" s="47" t="n">
        <v>0</v>
      </c>
      <c r="B48" s="128" t="inlineStr">
        <is>
          <t>Scheduled Service</t>
        </is>
      </c>
      <c r="C48" s="118" t="n"/>
      <c r="D48" s="129" t="inlineStr">
        <is>
          <t>N/A</t>
        </is>
      </c>
      <c r="E48" s="159" t="n"/>
      <c r="F48" s="159" t="n"/>
      <c r="G48" s="159" t="n"/>
      <c r="H48" s="159" t="n"/>
      <c r="I48" s="160" t="n"/>
    </row>
    <row r="49" ht="18" customHeight="1" s="151">
      <c r="A49" s="48" t="n">
        <v>0</v>
      </c>
      <c r="B49" s="128" t="n"/>
      <c r="C49" s="118" t="n"/>
      <c r="D49" s="129" t="inlineStr">
        <is>
          <t>N/A</t>
        </is>
      </c>
      <c r="E49" s="159" t="n"/>
      <c r="F49" s="159" t="n"/>
      <c r="G49" s="159" t="n"/>
      <c r="H49" s="159" t="n"/>
      <c r="I49" s="160" t="n"/>
    </row>
    <row r="50" ht="23.15" customHeight="1" s="151">
      <c r="A50" s="131" t="inlineStr">
        <is>
          <t xml:space="preserve">Total Plant and Equipment Hours: </t>
        </is>
      </c>
      <c r="B50" s="118" t="n"/>
      <c r="C50" s="49">
        <f>SUM(C34:C46)</f>
        <v/>
      </c>
      <c r="D50" s="132" t="n"/>
      <c r="E50" s="159" t="n"/>
      <c r="F50" s="159" t="n"/>
      <c r="G50" s="159" t="n"/>
      <c r="H50" s="159" t="n"/>
      <c r="I50" s="160" t="n"/>
    </row>
    <row r="51" ht="25" customHeight="1" s="151">
      <c r="A51" s="120" t="inlineStr">
        <is>
          <t>DELAYS-OPPORTUNITY</t>
        </is>
      </c>
      <c r="B51" s="159" t="n"/>
      <c r="C51" s="159" t="n"/>
      <c r="D51" s="159" t="n"/>
      <c r="E51" s="159" t="n"/>
      <c r="F51" s="159" t="n"/>
      <c r="G51" s="159" t="n"/>
      <c r="H51" s="159" t="n"/>
      <c r="I51" s="160" t="n"/>
    </row>
    <row r="52" ht="20.15" customHeight="1" s="151">
      <c r="A52" s="50" t="n"/>
      <c r="B52" s="51" t="n"/>
      <c r="C52" s="51" t="n"/>
      <c r="D52" s="51" t="n"/>
      <c r="E52" s="51" t="n"/>
      <c r="F52" s="51" t="n"/>
      <c r="G52" s="51" t="n"/>
      <c r="H52" s="51" t="n"/>
      <c r="I52" s="52" t="n"/>
    </row>
    <row r="53" ht="15" customHeight="1" s="151">
      <c r="A53" s="133" t="inlineStr">
        <is>
          <t>New Detail Provided on Centrelink Carpark              Demo and new kerb design not aligning awaiting Porters response                                                       
Kerbing Plan reissued by TCD                                
Awaiting Direction on Service Clash Forrest Street
Awaiting Confirmation on Batters Treatment 
Awaiting finalised fencing details
Awaiting COGG confirmation on "Ballast Pile"
Instructions Provided for Laneway Sewer, Drainage and Light Pole Removal</t>
        </is>
      </c>
      <c r="B53" s="124" t="n"/>
      <c r="C53" s="124" t="n"/>
      <c r="D53" s="124" t="n"/>
      <c r="E53" s="124" t="n"/>
      <c r="F53" s="124" t="n"/>
      <c r="G53" s="124" t="n"/>
      <c r="H53" s="124" t="n"/>
      <c r="I53" s="125" t="n"/>
    </row>
    <row r="54" ht="49.5" customHeight="1" s="151">
      <c r="A54" s="111" t="n"/>
      <c r="I54" s="113" t="n"/>
    </row>
    <row r="55" ht="70" customHeight="1" s="151">
      <c r="A55" s="111" t="n"/>
      <c r="I55" s="113" t="n"/>
    </row>
    <row r="56" ht="26.15" customHeight="1" s="151">
      <c r="A56" s="134" t="n"/>
      <c r="B56" s="135" t="n"/>
      <c r="C56" s="135" t="n"/>
      <c r="D56" s="135" t="n"/>
      <c r="E56" s="135" t="n"/>
      <c r="F56" s="135" t="n"/>
      <c r="G56" s="135" t="n"/>
      <c r="H56" s="135" t="n"/>
      <c r="I56" s="136" t="n"/>
    </row>
    <row r="57" ht="25" customHeight="1" s="151">
      <c r="A57" s="137" t="inlineStr">
        <is>
          <t>HSEQ MESSAGES</t>
        </is>
      </c>
      <c r="B57" s="138" t="n"/>
      <c r="C57" s="138" t="n"/>
      <c r="D57" s="138" t="n"/>
      <c r="E57" s="138" t="n"/>
      <c r="F57" s="138" t="n"/>
      <c r="G57" s="138" t="n"/>
      <c r="H57" s="138" t="n"/>
      <c r="I57" s="139" t="n"/>
    </row>
    <row r="58" ht="18" customHeight="1" s="151">
      <c r="A58" s="53" t="inlineStr">
        <is>
          <t>TCD - Monthly Safety Focus:</t>
        </is>
      </c>
      <c r="B58" s="140" t="inlineStr">
        <is>
          <t>Underground Services</t>
        </is>
      </c>
      <c r="C58" s="159" t="n"/>
      <c r="D58" s="159" t="n"/>
      <c r="E58" s="159" t="n"/>
      <c r="F58" s="159" t="n"/>
      <c r="G58" s="159" t="n"/>
      <c r="H58" s="159" t="n"/>
      <c r="I58" s="118" t="n"/>
    </row>
    <row r="59" ht="24" customHeight="1" s="151">
      <c r="A59" s="53" t="inlineStr">
        <is>
          <t>TCD - Daily Safety Focus:</t>
        </is>
      </c>
      <c r="B59" s="141" t="inlineStr">
        <is>
          <t>Area awareness</t>
        </is>
      </c>
      <c r="C59" s="159" t="n"/>
      <c r="D59" s="159" t="n"/>
      <c r="E59" s="159" t="n"/>
      <c r="F59" s="159" t="n"/>
      <c r="G59" s="159" t="n"/>
      <c r="H59" s="159" t="n"/>
      <c r="I59" s="160" t="n"/>
    </row>
    <row r="60" ht="18" customHeight="1" s="151">
      <c r="A60" s="54" t="inlineStr">
        <is>
          <t xml:space="preserve">Hazards Reported: </t>
        </is>
      </c>
      <c r="B60" s="55" t="inlineStr">
        <is>
          <t>Nil</t>
        </is>
      </c>
      <c r="C60" s="141" t="n"/>
      <c r="D60" s="159" t="n"/>
      <c r="E60" s="159" t="n"/>
      <c r="F60" s="159" t="n"/>
      <c r="G60" s="159" t="n"/>
      <c r="H60" s="159" t="n"/>
      <c r="I60" s="160" t="n"/>
    </row>
    <row r="61" ht="18" customHeight="1" s="151">
      <c r="A61" s="54" t="inlineStr">
        <is>
          <t>Incident Free Days</t>
        </is>
      </c>
      <c r="B61" s="55" t="n">
        <v>19</v>
      </c>
      <c r="C61" s="140" t="n"/>
      <c r="D61" s="159" t="n"/>
      <c r="E61" s="159" t="n"/>
      <c r="F61" s="159" t="n"/>
      <c r="G61" s="159" t="n"/>
      <c r="H61" s="159" t="n"/>
      <c r="I61" s="118" t="n"/>
    </row>
    <row r="62" ht="18" customHeight="1" s="151">
      <c r="A62" s="56" t="inlineStr">
        <is>
          <t>Other Notes</t>
        </is>
      </c>
      <c r="B62" s="142" t="n"/>
      <c r="C62" s="124" t="n"/>
      <c r="D62" s="124" t="n"/>
      <c r="E62" s="124" t="n"/>
      <c r="F62" s="124" t="n"/>
      <c r="G62" s="124" t="n"/>
      <c r="H62" s="124" t="n"/>
      <c r="I62" s="125" t="n"/>
    </row>
    <row r="63" ht="20.25" customHeight="1" s="151">
      <c r="A63" s="120" t="inlineStr">
        <is>
          <t xml:space="preserve">INCIDENTS &amp; REPORTS </t>
        </is>
      </c>
      <c r="B63" s="159" t="n"/>
      <c r="C63" s="159" t="n"/>
      <c r="D63" s="159" t="n"/>
      <c r="E63" s="159" t="n"/>
      <c r="F63" s="159" t="n"/>
      <c r="G63" s="159" t="n"/>
      <c r="H63" s="159" t="n"/>
      <c r="I63" s="160" t="n"/>
    </row>
    <row r="64" ht="25" customHeight="1" s="151">
      <c r="A64" s="57" t="n"/>
      <c r="B64" s="127" t="inlineStr">
        <is>
          <t>QTY</t>
        </is>
      </c>
      <c r="C64" s="130" t="inlineStr">
        <is>
          <t>Comments</t>
        </is>
      </c>
      <c r="D64" s="159" t="n"/>
      <c r="E64" s="159" t="n"/>
      <c r="F64" s="159" t="n"/>
      <c r="G64" s="159" t="n"/>
      <c r="H64" s="159" t="n"/>
      <c r="I64" s="160" t="n"/>
    </row>
    <row r="65" ht="25" customHeight="1" s="151">
      <c r="A65" s="58" t="inlineStr">
        <is>
          <t>INCIDENT</t>
        </is>
      </c>
      <c r="B65" s="127" t="n">
        <v>0</v>
      </c>
      <c r="C65" s="129" t="inlineStr">
        <is>
          <t>NA</t>
        </is>
      </c>
      <c r="D65" s="159" t="n"/>
      <c r="E65" s="159" t="n"/>
      <c r="F65" s="159" t="n"/>
      <c r="G65" s="159" t="n"/>
      <c r="H65" s="159" t="n"/>
      <c r="I65" s="160" t="n"/>
    </row>
    <row r="66" ht="25" customHeight="1" s="151">
      <c r="A66" s="59" t="inlineStr">
        <is>
          <t>IR</t>
        </is>
      </c>
      <c r="B66" s="60" t="n">
        <v>0</v>
      </c>
      <c r="C66" s="145" t="inlineStr">
        <is>
          <t>NA</t>
        </is>
      </c>
      <c r="D66" s="124" t="n"/>
      <c r="E66" s="124" t="n"/>
      <c r="F66" s="124" t="n"/>
      <c r="G66" s="124" t="n"/>
      <c r="H66" s="124" t="n"/>
      <c r="I66" s="125" t="n"/>
    </row>
    <row r="67" ht="25" customHeight="1" s="151">
      <c r="A67" s="61" t="inlineStr">
        <is>
          <t>NCR</t>
        </is>
      </c>
      <c r="B67" s="62" t="n">
        <v>0</v>
      </c>
      <c r="C67" s="146" t="inlineStr">
        <is>
          <t>NA</t>
        </is>
      </c>
      <c r="D67" s="147" t="n"/>
      <c r="E67" s="147" t="n"/>
      <c r="F67" s="147" t="n"/>
      <c r="G67" s="147" t="n"/>
      <c r="H67" s="147" t="n"/>
      <c r="I67" s="148" t="n"/>
    </row>
    <row r="68" ht="20.25" customHeight="1" s="151">
      <c r="A68" s="137" t="inlineStr">
        <is>
          <t>COMMUNICATIONS</t>
        </is>
      </c>
      <c r="B68" s="138" t="n"/>
      <c r="C68" s="138" t="n"/>
      <c r="D68" s="138" t="n"/>
      <c r="E68" s="138" t="n"/>
      <c r="F68" s="138" t="n"/>
      <c r="G68" s="138" t="n"/>
      <c r="H68" s="138" t="n"/>
      <c r="I68" s="139" t="n"/>
    </row>
    <row r="69" ht="25" customHeight="1" s="151">
      <c r="A69" s="149" t="inlineStr">
        <is>
          <t>TGS MB1119-05 Scheme D implemented</t>
        </is>
      </c>
      <c r="B69" s="159" t="n"/>
      <c r="C69" s="159" t="n"/>
      <c r="D69" s="159" t="n"/>
      <c r="E69" s="159" t="n"/>
      <c r="F69" s="159" t="n"/>
      <c r="G69" s="159" t="n"/>
      <c r="H69" s="159" t="n"/>
      <c r="I69" s="160" t="n"/>
    </row>
    <row r="70" ht="25" customHeight="1" s="151">
      <c r="A70" s="149" t="inlineStr">
        <is>
          <t>TGS MB1119-07B implemented (Closure Notification Upcoming)</t>
        </is>
      </c>
      <c r="B70" s="159" t="n"/>
      <c r="C70" s="159" t="n"/>
      <c r="D70" s="159" t="n"/>
      <c r="E70" s="159" t="n"/>
      <c r="F70" s="159" t="n"/>
      <c r="G70" s="159" t="n"/>
      <c r="H70" s="159" t="n"/>
      <c r="I70" s="160" t="n"/>
    </row>
    <row r="71" ht="25" customHeight="1" s="151">
      <c r="A71" s="120" t="inlineStr">
        <is>
          <t>PRODUCTION (CONSTRUCTION STATUS &amp; PROGRESS)</t>
        </is>
      </c>
      <c r="B71" s="159" t="n"/>
      <c r="C71" s="159" t="n"/>
      <c r="D71" s="159" t="n"/>
      <c r="E71" s="159" t="n"/>
      <c r="F71" s="159" t="n"/>
      <c r="G71" s="159" t="n"/>
      <c r="H71" s="159" t="n"/>
      <c r="I71" s="160" t="n"/>
    </row>
    <row r="72" ht="25" customHeight="1" s="151">
      <c r="A72" s="63" t="inlineStr">
        <is>
          <t>Paving removal @ foreshore contd.</t>
        </is>
      </c>
      <c r="B72" s="64" t="n"/>
      <c r="C72" s="9" t="n"/>
      <c r="D72" s="9" t="inlineStr">
        <is>
          <t>Kerbers on site to start laying kerbing</t>
        </is>
      </c>
      <c r="E72" s="9" t="n"/>
      <c r="F72" s="64" t="n"/>
      <c r="G72" s="9" t="n"/>
      <c r="H72" s="64" t="n"/>
      <c r="I72" s="65" t="n"/>
    </row>
    <row r="73" ht="25" customHeight="1" s="151">
      <c r="A73" s="63" t="inlineStr">
        <is>
          <t>Exposure of services to Foreshire Drive West  for shut</t>
        </is>
      </c>
      <c r="B73" s="64" t="n"/>
      <c r="C73" s="9" t="n"/>
      <c r="D73" s="9" t="n"/>
      <c r="E73" s="64" t="n"/>
      <c r="F73" s="64" t="n"/>
      <c r="G73" s="9" t="n"/>
      <c r="H73" s="64" t="n"/>
      <c r="I73" s="65" t="n"/>
    </row>
    <row r="74" ht="25" customHeight="1" s="151">
      <c r="A74" s="63" t="inlineStr">
        <is>
          <t>Waste Removal</t>
        </is>
      </c>
      <c r="B74" s="64" t="n"/>
      <c r="C74" s="9" t="n"/>
      <c r="D74" s="64" t="n"/>
      <c r="E74" s="64" t="n"/>
      <c r="F74" s="64" t="n"/>
      <c r="G74" s="64" t="n"/>
      <c r="H74" s="64" t="n"/>
      <c r="I74" s="65" t="n"/>
    </row>
    <row r="75" ht="25" customHeight="1" s="151">
      <c r="A75" s="63" t="n"/>
      <c r="B75" s="64" t="n"/>
      <c r="C75" s="9" t="n"/>
      <c r="D75" s="64" t="n"/>
      <c r="E75" s="64" t="n"/>
      <c r="F75" s="64" t="n"/>
      <c r="G75" s="64" t="n"/>
      <c r="H75" s="64" t="n"/>
      <c r="I75" s="65" t="n"/>
    </row>
    <row r="76" ht="26.15" customHeight="1" s="151">
      <c r="A76" s="123" t="inlineStr">
        <is>
          <t>Photos</t>
        </is>
      </c>
      <c r="B76" s="124" t="n"/>
      <c r="C76" s="124" t="n"/>
      <c r="D76" s="124" t="n"/>
      <c r="E76" s="124" t="n"/>
      <c r="F76" s="124" t="n"/>
      <c r="G76" s="124" t="n"/>
      <c r="H76" s="124" t="n"/>
      <c r="I76" s="125" t="n"/>
    </row>
    <row r="77" ht="23.15" customHeight="1" s="151">
      <c r="A77" s="66" t="n"/>
      <c r="B77" s="67" t="n"/>
      <c r="C77" s="67" t="n"/>
      <c r="D77" s="67" t="n"/>
      <c r="E77" s="67" t="n"/>
      <c r="F77" s="67" t="n"/>
      <c r="G77" s="67" t="n"/>
      <c r="H77" s="67" t="n"/>
      <c r="I77" s="68" t="n"/>
    </row>
    <row r="78" ht="23.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H99" s="70" t="n"/>
      <c r="I99" s="71" t="n"/>
    </row>
    <row r="100" ht="25" customFormat="1" customHeight="1" s="10">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72" t="n"/>
      <c r="B115" s="73" t="n"/>
      <c r="C115" s="73" t="n"/>
      <c r="D115" s="73" t="n"/>
      <c r="E115" s="73" t="n"/>
      <c r="F115" s="73" t="n"/>
      <c r="G115" s="73" t="n"/>
      <c r="H115" s="73" t="n"/>
      <c r="I115" s="74"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2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28"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c r="J140" s="75"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c r="A146" s="69" t="n"/>
      <c r="B146" s="70" t="n"/>
      <c r="C146" s="70" t="n"/>
      <c r="D146" s="70" t="n"/>
      <c r="E146" s="70" t="n"/>
      <c r="F146" s="70" t="n"/>
      <c r="G146" s="70" t="n"/>
      <c r="H146" s="70" t="n"/>
      <c r="I146" s="71" t="n"/>
    </row>
    <row r="147" ht="16" customHeight="1" s="151">
      <c r="A147" s="69" t="n"/>
      <c r="B147" s="70" t="n"/>
      <c r="C147" s="70" t="n"/>
      <c r="D147" s="70" t="n"/>
      <c r="E147" s="70" t="n"/>
      <c r="F147" s="70" t="n"/>
      <c r="G147" s="70" t="n"/>
      <c r="H147" s="70" t="n"/>
      <c r="I147" s="71" t="n"/>
    </row>
    <row r="148" ht="30.75" customHeight="1" s="151">
      <c r="A148" s="143" t="n"/>
      <c r="E148" s="144" t="n"/>
      <c r="I148" s="113"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c r="A201" s="7" t="n"/>
      <c r="I201" s="8" t="n"/>
    </row>
    <row r="202" ht="16" customHeight="1" s="151">
      <c r="A202" s="4" t="n"/>
      <c r="B202" s="5" t="n"/>
      <c r="C202" s="5" t="n"/>
      <c r="D202" s="5" t="n"/>
      <c r="E202" s="5" t="n"/>
      <c r="F202" s="5" t="n"/>
      <c r="G202" s="5" t="n"/>
      <c r="H202" s="5" t="n"/>
      <c r="I202" s="6" t="n"/>
    </row>
    <row r="203">
      <c r="A203" s="7" t="n"/>
      <c r="I203" s="8" t="n"/>
    </row>
    <row r="204">
      <c r="A204" s="7" t="n"/>
      <c r="I204" s="8" t="n"/>
    </row>
    <row r="205">
      <c r="A205" s="7" t="n"/>
      <c r="I205" s="8" t="n"/>
    </row>
    <row r="206">
      <c r="A206" s="7" t="n"/>
      <c r="I206" s="8" t="n"/>
    </row>
    <row r="207">
      <c r="A207" s="7" t="n"/>
      <c r="I207" s="8" t="n"/>
    </row>
    <row r="208">
      <c r="A208" s="7" t="n"/>
      <c r="I208" s="8" t="n"/>
    </row>
    <row r="209" ht="16" customHeight="1" s="151">
      <c r="A209" s="4" t="n"/>
      <c r="B209" s="5" t="n"/>
      <c r="C209" s="5" t="n"/>
      <c r="D209" s="5" t="n"/>
      <c r="E209" s="5" t="n"/>
      <c r="F209" s="5" t="n"/>
      <c r="G209" s="5" t="n"/>
      <c r="H209" s="5" t="n"/>
      <c r="I209" s="6" t="n"/>
    </row>
  </sheetData>
  <mergeCells count="40">
    <mergeCell ref="D49:I49"/>
    <mergeCell ref="C61:I61"/>
    <mergeCell ref="B47:C47"/>
    <mergeCell ref="D13:F13"/>
    <mergeCell ref="B62:I62"/>
    <mergeCell ref="G13:I13"/>
    <mergeCell ref="B8:D8"/>
    <mergeCell ref="B59:I59"/>
    <mergeCell ref="D48:I48"/>
    <mergeCell ref="C67:I67"/>
    <mergeCell ref="A12:I12"/>
    <mergeCell ref="D47:I47"/>
    <mergeCell ref="B58:I58"/>
    <mergeCell ref="C66:I66"/>
    <mergeCell ref="A57:I57"/>
    <mergeCell ref="B48:C48"/>
    <mergeCell ref="A71:I71"/>
    <mergeCell ref="A5:I5"/>
    <mergeCell ref="A76:I76"/>
    <mergeCell ref="A148:D148"/>
    <mergeCell ref="B9:D9"/>
    <mergeCell ref="B6:D6"/>
    <mergeCell ref="A50:B50"/>
    <mergeCell ref="A13:C13"/>
    <mergeCell ref="E148:I148"/>
    <mergeCell ref="A68:I68"/>
    <mergeCell ref="A63:I63"/>
    <mergeCell ref="A10:I10"/>
    <mergeCell ref="C64:I64"/>
    <mergeCell ref="A1:I4"/>
    <mergeCell ref="D50:I50"/>
    <mergeCell ref="B7:D7"/>
    <mergeCell ref="C65:I65"/>
    <mergeCell ref="B49:C49"/>
    <mergeCell ref="A51:I51"/>
    <mergeCell ref="A11:I11"/>
    <mergeCell ref="A70:I70"/>
    <mergeCell ref="C60:I60"/>
    <mergeCell ref="A69:I69"/>
    <mergeCell ref="A53:I5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5" min="0" max="8" man="1"/>
  </rowBreaks>
</worksheet>
</file>

<file path=xl/worksheets/sheet10.xml><?xml version="1.0" encoding="utf-8"?>
<worksheet xmlns="http://schemas.openxmlformats.org/spreadsheetml/2006/main">
  <sheetPr>
    <outlinePr summaryBelow="1" summaryRight="1"/>
    <pageSetUpPr fitToPage="1"/>
  </sheetPr>
  <dimension ref="A1:J208"/>
  <sheetViews>
    <sheetView view="pageBreakPreview" topLeftCell="A37"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45912</v>
      </c>
    </row>
    <row r="7" ht="23.15" customHeight="1" s="151">
      <c r="A7" s="11" t="inlineStr">
        <is>
          <t>Project Location:</t>
        </is>
      </c>
      <c r="B7" s="119" t="inlineStr">
        <is>
          <t>Geraldton</t>
        </is>
      </c>
      <c r="E7" s="119" t="n"/>
      <c r="F7" s="13" t="n"/>
      <c r="G7" s="13" t="n"/>
      <c r="H7" s="16" t="inlineStr">
        <is>
          <t>Day:</t>
        </is>
      </c>
      <c r="I7" s="17" t="inlineStr">
        <is>
          <t>Friday</t>
        </is>
      </c>
    </row>
    <row r="8" ht="23.15" customHeight="1" s="151">
      <c r="A8" s="11" t="inlineStr">
        <is>
          <t>Project Number:</t>
        </is>
      </c>
      <c r="B8" s="119" t="inlineStr">
        <is>
          <t>TCD-1816</t>
        </is>
      </c>
      <c r="E8" s="119" t="n"/>
      <c r="F8" s="13" t="n"/>
      <c r="G8" s="13" t="n"/>
      <c r="H8" s="16" t="inlineStr">
        <is>
          <t>Start:</t>
        </is>
      </c>
      <c r="I8" s="18" t="n">
        <v>0.25</v>
      </c>
    </row>
    <row r="9" ht="23.15" customHeight="1" s="151">
      <c r="A9" s="11" t="inlineStr">
        <is>
          <t>Report Number:</t>
        </is>
      </c>
      <c r="B9" s="106" t="n">
        <v>105</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27 degrees  Wind: 48km/h NE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c r="G15" s="29" t="inlineStr">
        <is>
          <t>Khegan Brockman</t>
        </is>
      </c>
      <c r="H15" s="26" t="inlineStr">
        <is>
          <t>Labourer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11.5</v>
      </c>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row>
    <row r="19" ht="23.15" customHeight="1" s="151">
      <c r="A19" s="25" t="inlineStr">
        <is>
          <t>THOMPSON,Cheryl</t>
        </is>
      </c>
      <c r="B19" s="26" t="inlineStr">
        <is>
          <t>HSET</t>
        </is>
      </c>
      <c r="C19" s="31" t="n"/>
      <c r="D19" s="28" t="n"/>
      <c r="E19" s="28" t="n"/>
      <c r="F19" s="26" t="n"/>
      <c r="G19" s="29" t="n"/>
      <c r="H19" s="26" t="n"/>
      <c r="I19" s="30" t="n"/>
    </row>
    <row r="20" ht="23.15" customHeight="1" s="151">
      <c r="A20" s="25" t="inlineStr">
        <is>
          <t>SKINNER,Jamie</t>
        </is>
      </c>
      <c r="B20" s="26" t="inlineStr">
        <is>
          <t>Supervisor</t>
        </is>
      </c>
      <c r="C20" s="31" t="n"/>
      <c r="D20" s="28" t="n"/>
      <c r="E20" s="28" t="n"/>
      <c r="F20" s="26" t="n"/>
      <c r="G20" s="95" t="inlineStr">
        <is>
          <t>Midwest Kerbing</t>
        </is>
      </c>
      <c r="H20" s="26" t="n"/>
      <c r="I20" s="30" t="n"/>
    </row>
    <row r="21" ht="23.15" customHeight="1" s="151">
      <c r="A21" s="99" t="inlineStr">
        <is>
          <t>TONER, Ultan</t>
        </is>
      </c>
      <c r="B21" s="26" t="inlineStr">
        <is>
          <t>Supervisor</t>
        </is>
      </c>
      <c r="C21" s="31" t="n">
        <v>12</v>
      </c>
      <c r="D21" s="28" t="n"/>
      <c r="E21" s="28" t="n"/>
      <c r="F21" s="26" t="n"/>
      <c r="G21" s="29" t="inlineStr">
        <is>
          <t>Daly,Troy</t>
        </is>
      </c>
      <c r="H21" s="26" t="inlineStr">
        <is>
          <t>Specialist</t>
        </is>
      </c>
      <c r="I21" s="30" t="n">
        <v>10</v>
      </c>
    </row>
    <row r="22" ht="23.15" customHeight="1" s="151">
      <c r="A22" s="25" t="n"/>
      <c r="B22" s="26" t="n"/>
      <c r="C22" s="31" t="n"/>
      <c r="D22" s="28" t="n"/>
      <c r="E22" s="28" t="n"/>
      <c r="F22" s="26" t="n"/>
      <c r="G22" s="29" t="inlineStr">
        <is>
          <t>x3 labourers</t>
        </is>
      </c>
      <c r="H22" s="26" t="inlineStr">
        <is>
          <t>Specialist</t>
        </is>
      </c>
      <c r="I22" s="30" t="n">
        <v>30</v>
      </c>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29" t="n"/>
      <c r="H25" s="26" t="n"/>
      <c r="I25" s="30" t="n"/>
    </row>
    <row r="26" ht="23.15" customHeight="1" s="151">
      <c r="A26" s="25" t="n"/>
      <c r="B26" s="26" t="n"/>
      <c r="C26" s="31" t="n"/>
      <c r="D26" s="28" t="n"/>
      <c r="E26" s="28" t="n"/>
      <c r="F26" s="26" t="n"/>
      <c r="G26" s="29" t="n"/>
      <c r="H26" s="26" t="n"/>
      <c r="I26" s="30" t="n"/>
    </row>
    <row r="27" ht="23.15" customHeight="1" s="151">
      <c r="A27" s="25" t="n"/>
      <c r="B27" s="26" t="n"/>
      <c r="C27" s="31" t="n"/>
      <c r="D27" s="28" t="n"/>
      <c r="E27" s="28" t="n"/>
      <c r="F27" s="26" t="n"/>
      <c r="G27" s="77" t="n"/>
      <c r="H27" s="77" t="n"/>
      <c r="I27" s="36" t="n"/>
    </row>
    <row r="28" ht="23.15" customHeight="1" s="151">
      <c r="A28" s="131" t="inlineStr">
        <is>
          <t xml:space="preserve">Total Indirect Personnel onsite: </t>
        </is>
      </c>
      <c r="B28" s="34">
        <f>COUNT(C15:C28)</f>
        <v/>
      </c>
      <c r="C28" s="28" t="n"/>
      <c r="D28" s="28" t="n"/>
      <c r="E28" s="28" t="n"/>
      <c r="F28" s="26" t="n"/>
      <c r="G28" s="78" t="n"/>
      <c r="H28" s="77" t="n"/>
      <c r="I28" s="30" t="n"/>
    </row>
    <row r="29" ht="23.15" customHeight="1" s="151">
      <c r="A29" s="131" t="inlineStr">
        <is>
          <t xml:space="preserve">Total Indirect Personnel hours: </t>
        </is>
      </c>
      <c r="B29" s="34">
        <f>SUM(C15:C27)</f>
        <v/>
      </c>
      <c r="C29" s="31" t="n"/>
      <c r="D29" s="28" t="n"/>
      <c r="E29" s="28" t="n"/>
      <c r="F29" s="26" t="n"/>
      <c r="G29" s="35" t="inlineStr">
        <is>
          <t>Total Subcontractor on-site:</t>
        </is>
      </c>
      <c r="H29" s="36">
        <f>COUNT(I15:I27)</f>
        <v/>
      </c>
      <c r="I29" s="30" t="n"/>
    </row>
    <row r="30" ht="23.15" customHeight="1" s="151">
      <c r="A30" s="131" t="inlineStr">
        <is>
          <t xml:space="preserve">Total Direct Personnel onsite:  </t>
        </is>
      </c>
      <c r="B30" s="34">
        <f>COUNTIF(F15:F31,"&gt;0")</f>
        <v/>
      </c>
      <c r="C30" s="34" t="n"/>
      <c r="D30" s="28" t="n"/>
      <c r="E30" s="28" t="n"/>
      <c r="F30" s="37" t="n"/>
      <c r="G30" s="35" t="inlineStr">
        <is>
          <t>Total Subcontractor hours:</t>
        </is>
      </c>
      <c r="H30" s="36">
        <f>SUM(I15:I27)</f>
        <v/>
      </c>
      <c r="I30" s="130" t="n"/>
    </row>
    <row r="31" ht="23.15" customHeight="1" s="151">
      <c r="A31" s="131" t="inlineStr">
        <is>
          <t xml:space="preserve">Total Direct Personnel hours: </t>
        </is>
      </c>
      <c r="B31" s="34">
        <f>SUM(F15:F31)</f>
        <v/>
      </c>
      <c r="C31" s="34" t="n"/>
      <c r="D31" s="34" t="n"/>
      <c r="E31" s="34" t="n"/>
      <c r="F31" s="34" t="n"/>
      <c r="G31" s="34" t="n"/>
      <c r="H31" s="34" t="n"/>
      <c r="I31" s="130" t="n"/>
    </row>
    <row r="32" ht="25" customHeight="1" s="151">
      <c r="A32" s="39" t="inlineStr">
        <is>
          <t>PLANT &amp; EQUIPMENT</t>
        </is>
      </c>
      <c r="B32" s="40" t="n"/>
      <c r="C32" s="40" t="n"/>
      <c r="D32" s="40" t="n"/>
      <c r="E32" s="40" t="n"/>
      <c r="F32" s="40" t="n"/>
      <c r="G32" s="40" t="n"/>
      <c r="H32" s="40" t="n"/>
      <c r="I32" s="41" t="n"/>
    </row>
    <row r="33" ht="24" customHeight="1" s="151">
      <c r="A33" s="126" t="inlineStr">
        <is>
          <t>Plant</t>
        </is>
      </c>
      <c r="B33" s="127" t="inlineStr">
        <is>
          <t>ID</t>
        </is>
      </c>
      <c r="C33" s="127" t="inlineStr">
        <is>
          <t>Hours</t>
        </is>
      </c>
      <c r="D33" s="127" t="inlineStr">
        <is>
          <t xml:space="preserve"> Vehicles</t>
        </is>
      </c>
      <c r="E33" s="127" t="inlineStr">
        <is>
          <t>ID</t>
        </is>
      </c>
      <c r="F33" s="127" t="inlineStr">
        <is>
          <t>QTY</t>
        </is>
      </c>
      <c r="G33" s="42" t="inlineStr">
        <is>
          <t>Site Facilities</t>
        </is>
      </c>
      <c r="H33" s="42" t="inlineStr">
        <is>
          <t>ID</t>
        </is>
      </c>
      <c r="I33" s="43" t="inlineStr">
        <is>
          <t>Qty</t>
        </is>
      </c>
    </row>
    <row r="34" ht="23.15" customHeight="1" s="151">
      <c r="A34" s="25" t="inlineStr">
        <is>
          <t>Komatsu WA320</t>
        </is>
      </c>
      <c r="B34" s="26" t="inlineStr">
        <is>
          <t>FWL18</t>
        </is>
      </c>
      <c r="C34" s="26" t="n">
        <v>5</v>
      </c>
      <c r="D34" s="31" t="inlineStr">
        <is>
          <t>Hilux</t>
        </is>
      </c>
      <c r="E34" s="31" t="inlineStr">
        <is>
          <t>DLV90</t>
        </is>
      </c>
      <c r="F34" s="31" t="n">
        <v>1</v>
      </c>
      <c r="G34" s="31" t="inlineStr">
        <is>
          <t>Office 40ft</t>
        </is>
      </c>
      <c r="H34" s="31" t="n">
        <v>9255540</v>
      </c>
      <c r="I34" s="30" t="n">
        <v>1</v>
      </c>
    </row>
    <row r="35" ht="23.15" customHeight="1" s="151">
      <c r="A35" s="25" t="inlineStr">
        <is>
          <t>Wacker Neuson DPU</t>
        </is>
      </c>
      <c r="B35" s="26" t="inlineStr">
        <is>
          <t>DPC15</t>
        </is>
      </c>
      <c r="C35" s="26" t="n"/>
      <c r="D35" s="31" t="inlineStr">
        <is>
          <t>Hilux</t>
        </is>
      </c>
      <c r="E35" s="31" t="inlineStr">
        <is>
          <t>1DLV04</t>
        </is>
      </c>
      <c r="F35" s="31" t="n">
        <v>1</v>
      </c>
      <c r="G35" s="31" t="inlineStr">
        <is>
          <t>Sea Container 20ft</t>
        </is>
      </c>
      <c r="H35" s="26" t="n">
        <v>951200</v>
      </c>
      <c r="I35" s="30" t="n">
        <v>1</v>
      </c>
    </row>
    <row r="36" ht="23.15" customHeight="1" s="151">
      <c r="A36" s="44" t="inlineStr">
        <is>
          <t>Watercart</t>
        </is>
      </c>
      <c r="B36" s="31" t="inlineStr">
        <is>
          <t>WC04</t>
        </is>
      </c>
      <c r="C36" s="26" t="n"/>
      <c r="D36" s="31" t="n"/>
      <c r="E36" s="26" t="n"/>
      <c r="F36" s="31" t="n"/>
      <c r="G36" s="31" t="inlineStr">
        <is>
          <t>Site Sentry Tower</t>
        </is>
      </c>
      <c r="H36" s="31" t="n"/>
      <c r="I36" s="30" t="n">
        <v>2</v>
      </c>
    </row>
    <row r="37" ht="23.15" customHeight="1" s="151">
      <c r="A37" s="44" t="inlineStr">
        <is>
          <t>8T Excavator</t>
        </is>
      </c>
      <c r="B37" s="45" t="inlineStr">
        <is>
          <t>AMG 014</t>
        </is>
      </c>
      <c r="C37" s="26" t="n"/>
      <c r="D37" s="31" t="n"/>
      <c r="E37" s="31" t="n"/>
      <c r="F37" s="31" t="n"/>
      <c r="G37" s="31" t="inlineStr">
        <is>
          <t>Skip Bin</t>
        </is>
      </c>
      <c r="H37" s="31" t="n"/>
      <c r="I37" s="30" t="n">
        <v>1</v>
      </c>
    </row>
    <row r="38" ht="23.15" customHeight="1" s="151">
      <c r="A38" s="31" t="inlineStr">
        <is>
          <t>Mini Tipper</t>
        </is>
      </c>
      <c r="B38" s="31" t="inlineStr">
        <is>
          <t>SLS05</t>
        </is>
      </c>
      <c r="C38" s="31" t="n">
        <v>4</v>
      </c>
      <c r="D38" s="31" t="n"/>
      <c r="E38" s="31" t="n"/>
      <c r="F38" s="31" t="n"/>
      <c r="G38" s="31" t="inlineStr">
        <is>
          <t>Hydrocarbon Bund</t>
        </is>
      </c>
      <c r="H38" s="31" t="n"/>
      <c r="I38" s="30" t="n">
        <v>1</v>
      </c>
    </row>
    <row r="39" ht="23.15" customHeight="1" s="151">
      <c r="A39" s="76" t="inlineStr">
        <is>
          <t>1 t Excavator</t>
        </is>
      </c>
      <c r="B39" s="31" t="inlineStr">
        <is>
          <t>SLS03</t>
        </is>
      </c>
      <c r="C39" s="31" t="n">
        <v>3</v>
      </c>
      <c r="D39" s="31" t="n"/>
      <c r="E39" s="31" t="n"/>
      <c r="F39" s="31" t="n"/>
      <c r="G39" s="31" t="inlineStr">
        <is>
          <t>Temp Fence</t>
        </is>
      </c>
      <c r="H39" s="26" t="n"/>
      <c r="I39" s="30" t="n">
        <v>1</v>
      </c>
    </row>
    <row r="40" ht="24" customHeight="1" s="151">
      <c r="A40" s="76" t="inlineStr">
        <is>
          <t>14t Excavator with GPS</t>
        </is>
      </c>
      <c r="B40" s="31" t="inlineStr">
        <is>
          <t>EX153</t>
        </is>
      </c>
      <c r="C40" s="31" t="n"/>
      <c r="D40" s="31" t="n"/>
      <c r="E40" s="31" t="n"/>
      <c r="F40" s="31" t="n"/>
      <c r="G40" s="2" t="n"/>
      <c r="H40" s="2" t="n"/>
      <c r="I40" s="3" t="n"/>
    </row>
    <row r="41" ht="24" customHeight="1" s="151">
      <c r="A41" s="76" t="inlineStr">
        <is>
          <t>5t Excavator</t>
        </is>
      </c>
      <c r="B41" s="31" t="inlineStr">
        <is>
          <t>A118</t>
        </is>
      </c>
      <c r="C41" s="31" t="n">
        <v>5</v>
      </c>
      <c r="D41" s="31" t="n"/>
      <c r="E41" s="31" t="n"/>
      <c r="F41" s="31" t="n"/>
      <c r="G41" s="2" t="n"/>
      <c r="H41" s="2" t="n"/>
      <c r="I41" s="3" t="n"/>
    </row>
    <row r="42" ht="24" customHeight="1" s="151">
      <c r="A42" s="44" t="inlineStr">
        <is>
          <t>Padfoot/ Smooth Drum Roller</t>
        </is>
      </c>
      <c r="B42" s="31" t="inlineStr">
        <is>
          <t>RR 03</t>
        </is>
      </c>
      <c r="C42" s="26" t="n">
        <v>5</v>
      </c>
      <c r="D42" s="31" t="n"/>
      <c r="E42" s="31" t="n"/>
      <c r="F42" s="31" t="n"/>
      <c r="G42" s="2" t="n"/>
      <c r="H42" s="2" t="n"/>
      <c r="I42" s="3" t="n"/>
    </row>
    <row r="43" ht="24" customHeight="1" s="151">
      <c r="A43" s="44" t="inlineStr">
        <is>
          <t>Multi Roller</t>
        </is>
      </c>
      <c r="B43" s="31" t="n">
        <v>256</v>
      </c>
      <c r="C43" s="26" t="n"/>
      <c r="D43" s="31" t="n"/>
      <c r="E43" s="31" t="n"/>
      <c r="F43" s="31" t="n"/>
      <c r="G43" s="2" t="n"/>
      <c r="H43" s="2" t="n"/>
      <c r="I43" s="3" t="n"/>
    </row>
    <row r="44" ht="24" customHeight="1" s="151">
      <c r="A44" s="44" t="inlineStr">
        <is>
          <t>Positrak SSL</t>
        </is>
      </c>
      <c r="B44" s="31" t="inlineStr">
        <is>
          <t>SSL08</t>
        </is>
      </c>
      <c r="C44" s="26" t="n">
        <v>5</v>
      </c>
      <c r="D44" s="31" t="n"/>
      <c r="E44" s="31" t="n"/>
      <c r="F44" s="31" t="n"/>
      <c r="G44" s="2" t="n"/>
      <c r="H44" s="2" t="n"/>
      <c r="I44" s="3" t="n"/>
    </row>
    <row r="45" ht="24" customHeight="1" s="151">
      <c r="A45" s="44" t="inlineStr">
        <is>
          <t>Grader</t>
        </is>
      </c>
      <c r="B45" s="31" t="inlineStr">
        <is>
          <t>SLS01</t>
        </is>
      </c>
      <c r="C45" s="26" t="n"/>
      <c r="D45" s="31" t="n"/>
      <c r="E45" s="31" t="n"/>
      <c r="F45" s="31" t="n"/>
      <c r="G45" s="2" t="n"/>
      <c r="H45" s="2" t="n"/>
      <c r="I45" s="3" t="n"/>
    </row>
    <row r="46" ht="24" customHeight="1" s="151">
      <c r="A46" s="44" t="n"/>
      <c r="B46" s="31" t="n"/>
      <c r="C46" s="26" t="n"/>
      <c r="D46" s="2" t="n"/>
      <c r="E46" s="2" t="n"/>
      <c r="F46" s="2" t="n"/>
      <c r="G46" s="2" t="n"/>
      <c r="H46" s="2" t="n"/>
      <c r="I46" s="3" t="n"/>
    </row>
    <row r="47" ht="18" customHeight="1" s="151">
      <c r="A47" s="46" t="n">
        <v>0</v>
      </c>
      <c r="B47" s="128" t="inlineStr">
        <is>
          <t xml:space="preserve">Repairs Required </t>
        </is>
      </c>
      <c r="C47" s="118" t="n"/>
      <c r="D47" s="129" t="inlineStr">
        <is>
          <t>N/A</t>
        </is>
      </c>
      <c r="E47" s="159" t="n"/>
      <c r="F47" s="159" t="n"/>
      <c r="G47" s="159" t="n"/>
      <c r="H47" s="159" t="n"/>
      <c r="I47" s="160" t="n"/>
    </row>
    <row r="48" ht="18" customHeight="1" s="151">
      <c r="A48" s="47" t="n">
        <v>0</v>
      </c>
      <c r="B48" s="128" t="inlineStr">
        <is>
          <t>Scheduled Service</t>
        </is>
      </c>
      <c r="C48" s="118" t="n"/>
      <c r="D48" s="129" t="inlineStr">
        <is>
          <t>N/A</t>
        </is>
      </c>
      <c r="E48" s="159" t="n"/>
      <c r="F48" s="159" t="n"/>
      <c r="G48" s="159" t="n"/>
      <c r="H48" s="159" t="n"/>
      <c r="I48" s="160" t="n"/>
    </row>
    <row r="49" ht="18" customHeight="1" s="151">
      <c r="A49" s="48" t="n">
        <v>0</v>
      </c>
      <c r="B49" s="128" t="n"/>
      <c r="C49" s="118" t="n"/>
      <c r="D49" s="129" t="inlineStr">
        <is>
          <t>N/A</t>
        </is>
      </c>
      <c r="E49" s="159" t="n"/>
      <c r="F49" s="159" t="n"/>
      <c r="G49" s="159" t="n"/>
      <c r="H49" s="159" t="n"/>
      <c r="I49" s="160" t="n"/>
    </row>
    <row r="50" ht="23.15" customHeight="1" s="151">
      <c r="A50" s="131" t="inlineStr">
        <is>
          <t xml:space="preserve">Total Plant and Equipment Hours: </t>
        </is>
      </c>
      <c r="B50" s="118" t="n"/>
      <c r="C50" s="49">
        <f>SUM(C34:C46)</f>
        <v/>
      </c>
      <c r="D50" s="132" t="n"/>
      <c r="E50" s="159" t="n"/>
      <c r="F50" s="159" t="n"/>
      <c r="G50" s="159" t="n"/>
      <c r="H50" s="159" t="n"/>
      <c r="I50" s="160" t="n"/>
    </row>
    <row r="51" ht="25" customHeight="1" s="151">
      <c r="A51" s="120" t="inlineStr">
        <is>
          <t>DELAYS-OPPORTUNITY</t>
        </is>
      </c>
      <c r="B51" s="159" t="n"/>
      <c r="C51" s="159" t="n"/>
      <c r="D51" s="159" t="n"/>
      <c r="E51" s="159" t="n"/>
      <c r="F51" s="159" t="n"/>
      <c r="G51" s="159" t="n"/>
      <c r="H51" s="159" t="n"/>
      <c r="I51" s="160" t="n"/>
    </row>
    <row r="52" ht="15" customHeight="1" s="151" thickBot="1">
      <c r="A52" s="133" t="inlineStr">
        <is>
          <t>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t>
        </is>
      </c>
      <c r="B52" s="124" t="n"/>
      <c r="C52" s="124" t="n"/>
      <c r="D52" s="124" t="n"/>
      <c r="E52" s="124" t="n"/>
      <c r="F52" s="124" t="n"/>
      <c r="G52" s="124" t="n"/>
      <c r="H52" s="124" t="n"/>
      <c r="I52" s="125" t="n"/>
    </row>
    <row r="53">
      <c r="A53" s="111" t="n"/>
      <c r="I53" s="113" t="n"/>
    </row>
    <row r="54" ht="49.5" customHeight="1" s="151">
      <c r="A54" s="111" t="n"/>
      <c r="I54" s="113" t="n"/>
    </row>
    <row r="55" ht="80.15000000000001" customHeight="1" s="151">
      <c r="A55" s="134" t="n"/>
      <c r="B55" s="135" t="n"/>
      <c r="C55" s="135" t="n"/>
      <c r="D55" s="135" t="n"/>
      <c r="E55" s="135" t="n"/>
      <c r="F55" s="135" t="n"/>
      <c r="G55" s="135" t="n"/>
      <c r="H55" s="135" t="n"/>
      <c r="I55" s="136" t="n"/>
    </row>
    <row r="56" ht="25" customHeight="1" s="151">
      <c r="A56" s="137" t="inlineStr">
        <is>
          <t>HSEQ MESSAGES</t>
        </is>
      </c>
      <c r="B56" s="138" t="n"/>
      <c r="C56" s="138" t="n"/>
      <c r="D56" s="138" t="n"/>
      <c r="E56" s="138" t="n"/>
      <c r="F56" s="138" t="n"/>
      <c r="G56" s="138" t="n"/>
      <c r="H56" s="138" t="n"/>
      <c r="I56" s="139" t="n"/>
    </row>
    <row r="57" ht="18" customHeight="1" s="151">
      <c r="A57" s="53" t="inlineStr">
        <is>
          <t>TCD - Monthly Safety Focus:</t>
        </is>
      </c>
      <c r="B57" s="140" t="inlineStr">
        <is>
          <t>Underground Services</t>
        </is>
      </c>
      <c r="C57" s="159" t="n"/>
      <c r="D57" s="159" t="n"/>
      <c r="E57" s="159" t="n"/>
      <c r="F57" s="159" t="n"/>
      <c r="G57" s="159" t="n"/>
      <c r="H57" s="159" t="n"/>
      <c r="I57" s="118" t="n"/>
    </row>
    <row r="58" ht="24" customHeight="1" s="151">
      <c r="A58" s="53" t="inlineStr">
        <is>
          <t>TCD - Daily Safety Focus:</t>
        </is>
      </c>
      <c r="B58" s="141" t="inlineStr">
        <is>
          <t>Area awareness</t>
        </is>
      </c>
      <c r="C58" s="159" t="n"/>
      <c r="D58" s="159" t="n"/>
      <c r="E58" s="159" t="n"/>
      <c r="F58" s="159" t="n"/>
      <c r="G58" s="159" t="n"/>
      <c r="H58" s="159" t="n"/>
      <c r="I58" s="160" t="n"/>
    </row>
    <row r="59" ht="18" customHeight="1" s="151">
      <c r="A59" s="54" t="inlineStr">
        <is>
          <t xml:space="preserve">Hazards Reported: </t>
        </is>
      </c>
      <c r="B59" s="55" t="inlineStr">
        <is>
          <t>Nil</t>
        </is>
      </c>
      <c r="C59" s="141" t="n"/>
      <c r="D59" s="159" t="n"/>
      <c r="E59" s="159" t="n"/>
      <c r="F59" s="159" t="n"/>
      <c r="G59" s="159" t="n"/>
      <c r="H59" s="159" t="n"/>
      <c r="I59" s="160" t="n"/>
    </row>
    <row r="60" ht="18" customHeight="1" s="151">
      <c r="A60" s="54" t="inlineStr">
        <is>
          <t>Incident Free Days</t>
        </is>
      </c>
      <c r="B60" s="55" t="n">
        <v>20</v>
      </c>
      <c r="C60" s="140" t="n"/>
      <c r="D60" s="159" t="n"/>
      <c r="E60" s="159" t="n"/>
      <c r="F60" s="159" t="n"/>
      <c r="G60" s="159" t="n"/>
      <c r="H60" s="159" t="n"/>
      <c r="I60" s="118" t="n"/>
    </row>
    <row r="61" ht="18" customHeight="1" s="151">
      <c r="A61" s="56" t="inlineStr">
        <is>
          <t>Other Notes</t>
        </is>
      </c>
      <c r="B61" s="142" t="n"/>
      <c r="C61" s="124" t="n"/>
      <c r="D61" s="124" t="n"/>
      <c r="E61" s="124" t="n"/>
      <c r="F61" s="124" t="n"/>
      <c r="G61" s="124" t="n"/>
      <c r="H61" s="124" t="n"/>
      <c r="I61" s="125" t="n"/>
    </row>
    <row r="62" ht="20.25" customHeight="1" s="151">
      <c r="A62" s="120" t="inlineStr">
        <is>
          <t xml:space="preserve">INCIDENTS &amp; REPORTS </t>
        </is>
      </c>
      <c r="B62" s="159" t="n"/>
      <c r="C62" s="159" t="n"/>
      <c r="D62" s="159" t="n"/>
      <c r="E62" s="159" t="n"/>
      <c r="F62" s="159" t="n"/>
      <c r="G62" s="159" t="n"/>
      <c r="H62" s="159" t="n"/>
      <c r="I62" s="160" t="n"/>
    </row>
    <row r="63" ht="25" customHeight="1" s="151">
      <c r="A63" s="57" t="n"/>
      <c r="B63" s="127" t="inlineStr">
        <is>
          <t>QTY</t>
        </is>
      </c>
      <c r="C63" s="130" t="inlineStr">
        <is>
          <t>Comments</t>
        </is>
      </c>
      <c r="D63" s="159" t="n"/>
      <c r="E63" s="159" t="n"/>
      <c r="F63" s="159" t="n"/>
      <c r="G63" s="159" t="n"/>
      <c r="H63" s="159" t="n"/>
      <c r="I63" s="160" t="n"/>
    </row>
    <row r="64" ht="25" customHeight="1" s="151">
      <c r="A64" s="58" t="inlineStr">
        <is>
          <t>INCIDENT</t>
        </is>
      </c>
      <c r="B64" s="127" t="n">
        <v>0</v>
      </c>
      <c r="C64" s="129" t="inlineStr">
        <is>
          <t>NA</t>
        </is>
      </c>
      <c r="D64" s="159" t="n"/>
      <c r="E64" s="159" t="n"/>
      <c r="F64" s="159" t="n"/>
      <c r="G64" s="159" t="n"/>
      <c r="H64" s="159" t="n"/>
      <c r="I64" s="160" t="n"/>
    </row>
    <row r="65" ht="25" customHeight="1" s="151">
      <c r="A65" s="59" t="inlineStr">
        <is>
          <t>IR</t>
        </is>
      </c>
      <c r="B65" s="60" t="n">
        <v>0</v>
      </c>
      <c r="C65" s="145" t="inlineStr">
        <is>
          <t>NA</t>
        </is>
      </c>
      <c r="D65" s="124" t="n"/>
      <c r="E65" s="124" t="n"/>
      <c r="F65" s="124" t="n"/>
      <c r="G65" s="124" t="n"/>
      <c r="H65" s="124" t="n"/>
      <c r="I65" s="125" t="n"/>
    </row>
    <row r="66" ht="25" customHeight="1" s="151">
      <c r="A66" s="61" t="inlineStr">
        <is>
          <t>NCR</t>
        </is>
      </c>
      <c r="B66" s="62" t="n">
        <v>0</v>
      </c>
      <c r="C66" s="146" t="inlineStr">
        <is>
          <t>NA</t>
        </is>
      </c>
      <c r="D66" s="147" t="n"/>
      <c r="E66" s="147" t="n"/>
      <c r="F66" s="147" t="n"/>
      <c r="G66" s="147" t="n"/>
      <c r="H66" s="147" t="n"/>
      <c r="I66" s="148" t="n"/>
    </row>
    <row r="67" ht="20.25" customHeight="1" s="151">
      <c r="A67" s="137" t="inlineStr">
        <is>
          <t>COMMUNICATIONS</t>
        </is>
      </c>
      <c r="B67" s="138" t="n"/>
      <c r="C67" s="138" t="n"/>
      <c r="D67" s="138" t="n"/>
      <c r="E67" s="138" t="n"/>
      <c r="F67" s="138" t="n"/>
      <c r="G67" s="138" t="n"/>
      <c r="H67" s="138" t="n"/>
      <c r="I67" s="139" t="n"/>
    </row>
    <row r="68" ht="25" customHeight="1" s="151">
      <c r="A68" s="149" t="inlineStr">
        <is>
          <t>TGS MB1119-05 Scheme D implemented</t>
        </is>
      </c>
      <c r="B68" s="159" t="n"/>
      <c r="C68" s="159" t="n"/>
      <c r="D68" s="159" t="n"/>
      <c r="E68" s="159" t="n"/>
      <c r="F68" s="159" t="n"/>
      <c r="G68" s="159" t="n"/>
      <c r="H68" s="159" t="n"/>
      <c r="I68" s="160" t="n"/>
    </row>
    <row r="69" ht="25" customHeight="1" s="151">
      <c r="A69" s="149" t="inlineStr">
        <is>
          <t>TGS MB1119-07B implemented (Closure Notification Upcoming)</t>
        </is>
      </c>
      <c r="B69" s="159" t="n"/>
      <c r="C69" s="159" t="n"/>
      <c r="D69" s="159" t="n"/>
      <c r="E69" s="159" t="n"/>
      <c r="F69" s="159" t="n"/>
      <c r="G69" s="159" t="n"/>
      <c r="H69" s="159" t="n"/>
      <c r="I69" s="160" t="n"/>
    </row>
    <row r="70" ht="25" customHeight="1" s="151">
      <c r="A70" s="120" t="inlineStr">
        <is>
          <t>PRODUCTION (CONSTRUCTION STATUS &amp; PROGRESS)</t>
        </is>
      </c>
      <c r="B70" s="159" t="n"/>
      <c r="C70" s="159" t="n"/>
      <c r="D70" s="159" t="n"/>
      <c r="E70" s="159" t="n"/>
      <c r="F70" s="159" t="n"/>
      <c r="G70" s="159" t="n"/>
      <c r="H70" s="159" t="n"/>
      <c r="I70" s="160" t="n"/>
    </row>
    <row r="71" ht="25" customHeight="1" s="151">
      <c r="A71" s="98" t="inlineStr">
        <is>
          <t>.Paving removal @ foreshore</t>
        </is>
      </c>
      <c r="B71" s="64" t="n"/>
      <c r="C71" s="9" t="n"/>
      <c r="D71" s="9" t="inlineStr">
        <is>
          <t>Kerbers on site contd works on FK</t>
        </is>
      </c>
      <c r="E71" s="9" t="n"/>
      <c r="F71" s="64" t="n"/>
      <c r="G71" s="9" t="n"/>
      <c r="H71" s="64" t="n"/>
      <c r="I71" s="65" t="n"/>
    </row>
    <row r="72" ht="25" customHeight="1" s="151">
      <c r="A72" s="98" t="inlineStr">
        <is>
          <t>.Import of red gravel for shut down topup</t>
        </is>
      </c>
      <c r="B72" s="64" t="n"/>
      <c r="C72" s="9" t="n"/>
      <c r="D72" s="9" t="inlineStr">
        <is>
          <t>Comms/CCTV/Irrigation Exposed for trench shut works</t>
        </is>
      </c>
      <c r="E72" s="64" t="n"/>
      <c r="F72" s="64" t="n"/>
      <c r="G72" s="9" t="n"/>
      <c r="H72" s="64" t="n"/>
      <c r="I72" s="65" t="n"/>
    </row>
    <row r="73" ht="25" customHeight="1" s="151">
      <c r="A73" s="9" t="inlineStr">
        <is>
          <t>.Bedding below gas line @ foreshore completed</t>
        </is>
      </c>
      <c r="B73" s="64" t="n"/>
      <c r="C73" s="9" t="n"/>
      <c r="D73" s="64" t="n"/>
      <c r="E73" s="64" t="n"/>
      <c r="F73" s="64" t="n"/>
      <c r="G73" s="64" t="n"/>
      <c r="H73" s="64" t="n"/>
      <c r="I73" s="65" t="n"/>
    </row>
    <row r="74" ht="25" customHeight="1" s="151">
      <c r="A74" s="63" t="n"/>
      <c r="B74" s="64" t="n"/>
      <c r="C74" s="9" t="n"/>
      <c r="D74" s="64" t="n"/>
      <c r="E74" s="64" t="n"/>
      <c r="F74" s="64" t="n"/>
      <c r="G74" s="64" t="n"/>
      <c r="H74" s="64" t="n"/>
      <c r="I74" s="65" t="n"/>
    </row>
    <row r="75" ht="26.15" customHeight="1" s="151">
      <c r="A75" s="123" t="inlineStr">
        <is>
          <t>Photos</t>
        </is>
      </c>
      <c r="B75" s="124" t="n"/>
      <c r="C75" s="124" t="n"/>
      <c r="D75" s="124" t="n"/>
      <c r="E75" s="124" t="n"/>
      <c r="F75" s="124" t="n"/>
      <c r="G75" s="124" t="n"/>
      <c r="H75" s="124" t="n"/>
      <c r="I75" s="125" t="n"/>
    </row>
    <row r="76" ht="23.15" customHeight="1" s="151">
      <c r="A76" s="66" t="n"/>
      <c r="B76" s="67" t="n"/>
      <c r="C76" s="67" t="n"/>
      <c r="D76" s="67" t="n"/>
      <c r="E76" s="67" t="n"/>
      <c r="F76" s="67" t="n"/>
      <c r="G76" s="67" t="n"/>
      <c r="H76" s="67" t="n"/>
      <c r="I76" s="68" t="n"/>
    </row>
    <row r="77" ht="23.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H98" s="70" t="n"/>
      <c r="I98" s="71" t="n"/>
    </row>
    <row r="99" ht="25" customFormat="1" customHeight="1" s="10">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72" t="n"/>
      <c r="B114" s="73" t="n"/>
      <c r="C114" s="73" t="n"/>
      <c r="D114" s="73" t="n"/>
      <c r="E114" s="73" t="n"/>
      <c r="F114" s="73" t="n"/>
      <c r="G114" s="73" t="n"/>
      <c r="H114" s="73" t="n"/>
      <c r="I114" s="74"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2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28"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c r="J139" s="75"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6" customHeight="1" s="151">
      <c r="A146" s="69" t="n"/>
      <c r="B146" s="70" t="n"/>
      <c r="C146" s="70" t="n"/>
      <c r="D146" s="70" t="n"/>
      <c r="E146" s="70" t="n"/>
      <c r="F146" s="70" t="n"/>
      <c r="G146" s="70" t="n"/>
      <c r="H146" s="70" t="n"/>
      <c r="I146" s="71" t="n"/>
    </row>
    <row r="147" ht="30.75" customHeight="1" s="151">
      <c r="A147" s="143" t="n"/>
      <c r="E147" s="144" t="n"/>
      <c r="I147" s="113"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ht="16" customHeight="1" s="151">
      <c r="A201" s="4" t="n"/>
      <c r="B201" s="5" t="n"/>
      <c r="C201" s="5" t="n"/>
      <c r="D201" s="5" t="n"/>
      <c r="E201" s="5" t="n"/>
      <c r="F201" s="5" t="n"/>
      <c r="G201" s="5" t="n"/>
      <c r="H201" s="5" t="n"/>
      <c r="I201" s="6" t="n"/>
    </row>
    <row r="202">
      <c r="A202" s="7" t="n"/>
      <c r="I202" s="8" t="n"/>
    </row>
    <row r="203">
      <c r="A203" s="7" t="n"/>
      <c r="I203" s="8" t="n"/>
    </row>
    <row r="204">
      <c r="A204" s="7" t="n"/>
      <c r="I204" s="8" t="n"/>
    </row>
    <row r="205">
      <c r="A205" s="7" t="n"/>
      <c r="I205" s="8" t="n"/>
    </row>
    <row r="206">
      <c r="A206" s="7" t="n"/>
      <c r="I206" s="8" t="n"/>
    </row>
    <row r="207">
      <c r="A207" s="7" t="n"/>
      <c r="I207" s="8" t="n"/>
    </row>
    <row r="208" ht="16" customHeight="1" s="151">
      <c r="A208" s="4" t="n"/>
      <c r="B208" s="5" t="n"/>
      <c r="C208" s="5" t="n"/>
      <c r="D208" s="5" t="n"/>
      <c r="E208" s="5" t="n"/>
      <c r="F208" s="5" t="n"/>
      <c r="G208" s="5" t="n"/>
      <c r="H208" s="5" t="n"/>
      <c r="I208" s="6" t="n"/>
    </row>
  </sheetData>
  <mergeCells count="40">
    <mergeCell ref="D49:I49"/>
    <mergeCell ref="B47:C47"/>
    <mergeCell ref="D13:F13"/>
    <mergeCell ref="G13:I13"/>
    <mergeCell ref="A75:I75"/>
    <mergeCell ref="B8:D8"/>
    <mergeCell ref="A147:D147"/>
    <mergeCell ref="A56:I56"/>
    <mergeCell ref="D48:I48"/>
    <mergeCell ref="A12:I12"/>
    <mergeCell ref="D47:I47"/>
    <mergeCell ref="B58:I58"/>
    <mergeCell ref="C66:I66"/>
    <mergeCell ref="B48:C48"/>
    <mergeCell ref="A5:I5"/>
    <mergeCell ref="E147:I147"/>
    <mergeCell ref="B9:D9"/>
    <mergeCell ref="A52:I55"/>
    <mergeCell ref="B61:I61"/>
    <mergeCell ref="B57:I57"/>
    <mergeCell ref="A62:I62"/>
    <mergeCell ref="B6:D6"/>
    <mergeCell ref="A50:B50"/>
    <mergeCell ref="A13:C13"/>
    <mergeCell ref="A68:I68"/>
    <mergeCell ref="A10:I10"/>
    <mergeCell ref="C64:I64"/>
    <mergeCell ref="A1:I4"/>
    <mergeCell ref="A67:I67"/>
    <mergeCell ref="D50:I50"/>
    <mergeCell ref="B7:D7"/>
    <mergeCell ref="C63:I63"/>
    <mergeCell ref="C65:I65"/>
    <mergeCell ref="B49:C49"/>
    <mergeCell ref="A51:I51"/>
    <mergeCell ref="A11:I11"/>
    <mergeCell ref="C59:I59"/>
    <mergeCell ref="A70:I70"/>
    <mergeCell ref="C60:I60"/>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4" min="0" max="8" man="1"/>
  </rowBreaks>
</worksheet>
</file>

<file path=xl/worksheets/sheet11.xml><?xml version="1.0" encoding="utf-8"?>
<worksheet xmlns="http://schemas.openxmlformats.org/spreadsheetml/2006/main">
  <sheetPr>
    <outlinePr summaryBelow="1" summaryRight="1"/>
    <pageSetUpPr fitToPage="1"/>
  </sheetPr>
  <dimension ref="A1:J206"/>
  <sheetViews>
    <sheetView view="pageBreakPreview"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45913</v>
      </c>
    </row>
    <row r="7" ht="23.15" customHeight="1" s="151">
      <c r="A7" s="11" t="inlineStr">
        <is>
          <t>Project Location:</t>
        </is>
      </c>
      <c r="B7" s="119" t="inlineStr">
        <is>
          <t>Geraldton</t>
        </is>
      </c>
      <c r="E7" s="119" t="n"/>
      <c r="F7" s="13" t="n"/>
      <c r="G7" s="13" t="n"/>
      <c r="H7" s="16" t="inlineStr">
        <is>
          <t>Day:</t>
        </is>
      </c>
      <c r="I7" s="17" t="inlineStr">
        <is>
          <t>Saturday</t>
        </is>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106</v>
      </c>
      <c r="C9" s="107" t="n"/>
      <c r="D9" s="107" t="n"/>
      <c r="E9" s="106" t="n"/>
      <c r="F9" s="20" t="n"/>
      <c r="G9" s="20" t="n"/>
      <c r="H9" s="16" t="inlineStr">
        <is>
          <t>Finish:</t>
        </is>
      </c>
      <c r="I9" s="18" t="n">
        <v>0.7083333333333334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23 degrees  Wind: 41km/h NW Precip: 2.6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8" t="inlineStr">
        <is>
          <t>Asmatullayev, Ikhtiyar</t>
        </is>
      </c>
      <c r="E15" s="26" t="inlineStr">
        <is>
          <t>Labourer</t>
        </is>
      </c>
      <c r="F15" s="26" t="n"/>
      <c r="G15" s="29" t="inlineStr">
        <is>
          <t>Khegan Brockman</t>
        </is>
      </c>
      <c r="H15" s="26" t="inlineStr">
        <is>
          <t>Labourer</t>
        </is>
      </c>
      <c r="I15" s="30" t="n"/>
    </row>
    <row r="16" ht="23.15" customHeight="1" s="151">
      <c r="A16" s="25" t="inlineStr">
        <is>
          <t>GRIFFITHS, Daniel</t>
        </is>
      </c>
      <c r="B16" s="26" t="inlineStr">
        <is>
          <t>Project Manager</t>
        </is>
      </c>
      <c r="C16" s="31" t="n">
        <v>10</v>
      </c>
      <c r="D16" s="92" t="inlineStr">
        <is>
          <t>Hanly,Thomas</t>
        </is>
      </c>
      <c r="E16" s="26" t="inlineStr">
        <is>
          <t>Operator</t>
        </is>
      </c>
      <c r="F16" s="26" t="n"/>
      <c r="G16" s="29" t="inlineStr">
        <is>
          <t>Daniel McAuffile</t>
        </is>
      </c>
      <c r="H16" s="26" t="inlineStr">
        <is>
          <t>Operator</t>
        </is>
      </c>
      <c r="I16" s="30" t="n"/>
    </row>
    <row r="17" ht="23.15" customHeight="1" s="151">
      <c r="A17" s="25" t="inlineStr">
        <is>
          <t>O"SHEA, John</t>
        </is>
      </c>
      <c r="B17" s="26" t="inlineStr">
        <is>
          <t>Senior Project Engineer</t>
        </is>
      </c>
      <c r="C17" s="31" t="n"/>
      <c r="D17" s="32" t="inlineStr">
        <is>
          <t>McGahon,Aideen</t>
        </is>
      </c>
      <c r="E17" s="26" t="inlineStr">
        <is>
          <t>Operator</t>
        </is>
      </c>
      <c r="F17" s="26" t="n">
        <v>9</v>
      </c>
      <c r="G17" s="29" t="inlineStr">
        <is>
          <t>O'Brian, Jamie</t>
        </is>
      </c>
      <c r="H17" s="26" t="inlineStr">
        <is>
          <t>Operator</t>
        </is>
      </c>
      <c r="I17" s="30" t="n"/>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row>
    <row r="19" ht="23.15" customHeight="1" s="151">
      <c r="A19" s="25" t="inlineStr">
        <is>
          <t>THOMPSON,Cheryl</t>
        </is>
      </c>
      <c r="B19" s="26" t="inlineStr">
        <is>
          <t>HSET</t>
        </is>
      </c>
      <c r="C19" s="31" t="n"/>
      <c r="D19" s="28" t="n"/>
      <c r="E19" s="28" t="n"/>
      <c r="F19" s="26" t="n"/>
      <c r="G19" s="29" t="n"/>
      <c r="H19" s="26" t="n"/>
      <c r="I19" s="30" t="n"/>
    </row>
    <row r="20" ht="23.15" customHeight="1" s="151">
      <c r="A20" s="25" t="inlineStr">
        <is>
          <t>SKINNER,Jamie</t>
        </is>
      </c>
      <c r="B20" s="26" t="inlineStr">
        <is>
          <t>Supervisor</t>
        </is>
      </c>
      <c r="C20" s="31" t="n"/>
      <c r="D20" s="28" t="n"/>
      <c r="E20" s="28" t="n"/>
      <c r="F20" s="26" t="n"/>
      <c r="G20" s="95" t="inlineStr">
        <is>
          <t>Midwest Kerbing</t>
        </is>
      </c>
      <c r="H20" s="26" t="n"/>
      <c r="I20" s="30" t="n"/>
    </row>
    <row r="21" ht="23.15" customHeight="1" s="151">
      <c r="A21" s="99" t="inlineStr">
        <is>
          <t>TONER, Ultan</t>
        </is>
      </c>
      <c r="B21" s="26" t="inlineStr">
        <is>
          <t>Supervisor</t>
        </is>
      </c>
      <c r="C21" s="31" t="n">
        <v>9</v>
      </c>
      <c r="D21" s="28" t="n"/>
      <c r="E21" s="28" t="n"/>
      <c r="F21" s="26" t="n"/>
      <c r="G21" s="29" t="inlineStr">
        <is>
          <t>Daly,Troy</t>
        </is>
      </c>
      <c r="H21" s="26" t="inlineStr">
        <is>
          <t>Specialist</t>
        </is>
      </c>
      <c r="I21" s="30" t="n"/>
    </row>
    <row r="22" ht="23.15" customHeight="1" s="151">
      <c r="A22" s="25" t="n"/>
      <c r="B22" s="26" t="n"/>
      <c r="C22" s="31" t="n"/>
      <c r="D22" s="28" t="n"/>
      <c r="E22" s="28" t="n"/>
      <c r="F22" s="26" t="n"/>
      <c r="G22" s="29" t="inlineStr">
        <is>
          <t>x3 labourers</t>
        </is>
      </c>
      <c r="H22" s="26" t="inlineStr">
        <is>
          <t>Specialist</t>
        </is>
      </c>
      <c r="I22" s="30" t="n"/>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29" t="n"/>
      <c r="H25" s="26" t="n"/>
      <c r="I25" s="30" t="n"/>
    </row>
    <row r="26" ht="23.15" customHeight="1" s="151">
      <c r="A26" s="25" t="n"/>
      <c r="B26" s="26" t="n"/>
      <c r="C26" s="31" t="n"/>
      <c r="D26" s="28" t="n"/>
      <c r="E26" s="28" t="n"/>
      <c r="F26" s="26" t="n"/>
      <c r="G26" s="29" t="n"/>
      <c r="H26" s="26" t="n"/>
      <c r="I26" s="30" t="n"/>
    </row>
    <row r="27" ht="23.15" customHeight="1" s="151">
      <c r="A27" s="25" t="n"/>
      <c r="B27" s="26" t="n"/>
      <c r="C27" s="31" t="n"/>
      <c r="D27" s="28" t="n"/>
      <c r="E27" s="28" t="n"/>
      <c r="F27" s="26" t="n"/>
      <c r="G27" s="77" t="n"/>
      <c r="H27" s="77" t="n"/>
      <c r="I27" s="36" t="n"/>
    </row>
    <row r="28" ht="23.15" customHeight="1" s="151">
      <c r="A28" s="131" t="inlineStr">
        <is>
          <t xml:space="preserve">Total Indirect Personnel onsite: </t>
        </is>
      </c>
      <c r="B28" s="34">
        <f>COUNT(C15:C28)</f>
        <v/>
      </c>
      <c r="C28" s="28" t="n"/>
      <c r="D28" s="28" t="n"/>
      <c r="E28" s="28" t="n"/>
      <c r="F28" s="26" t="n"/>
      <c r="G28" s="78" t="n"/>
      <c r="H28" s="77" t="n"/>
      <c r="I28" s="30" t="n"/>
    </row>
    <row r="29" ht="23.15" customHeight="1" s="151">
      <c r="A29" s="131" t="inlineStr">
        <is>
          <t xml:space="preserve">Total Indirect Personnel hours: </t>
        </is>
      </c>
      <c r="B29" s="34">
        <f>SUM(C15:C27)</f>
        <v/>
      </c>
      <c r="C29" s="31" t="n"/>
      <c r="D29" s="28" t="n"/>
      <c r="E29" s="28" t="n"/>
      <c r="F29" s="26" t="n"/>
      <c r="G29" s="35" t="inlineStr">
        <is>
          <t>Total Subcontractor on-site:</t>
        </is>
      </c>
      <c r="H29" s="36">
        <f>COUNT(I15:I27)</f>
        <v/>
      </c>
      <c r="I29" s="30" t="n"/>
    </row>
    <row r="30" ht="23.15" customHeight="1" s="151">
      <c r="A30" s="131" t="inlineStr">
        <is>
          <t xml:space="preserve">Total Direct Personnel onsite:  </t>
        </is>
      </c>
      <c r="B30" s="34">
        <f>COUNTIF(F15:F31,"&gt;0")</f>
        <v/>
      </c>
      <c r="C30" s="34" t="n"/>
      <c r="D30" s="28" t="n"/>
      <c r="E30" s="28" t="n"/>
      <c r="F30" s="37" t="n"/>
      <c r="G30" s="35" t="inlineStr">
        <is>
          <t>Total Subcontractor hours:</t>
        </is>
      </c>
      <c r="H30" s="36">
        <f>SUM(I15:I27)</f>
        <v/>
      </c>
      <c r="I30" s="130" t="n"/>
    </row>
    <row r="31" ht="23.15" customHeight="1" s="151">
      <c r="A31" s="131" t="inlineStr">
        <is>
          <t xml:space="preserve">Total Direct Personnel hours: </t>
        </is>
      </c>
      <c r="B31" s="34">
        <f>SUM(F15:F31)</f>
        <v/>
      </c>
      <c r="C31" s="34" t="n"/>
      <c r="D31" s="34" t="n"/>
      <c r="E31" s="34" t="n"/>
      <c r="F31" s="34" t="n"/>
      <c r="G31" s="34" t="n"/>
      <c r="H31" s="34" t="n"/>
      <c r="I31" s="130" t="n"/>
    </row>
    <row r="32" ht="25" customHeight="1" s="151">
      <c r="A32" s="39" t="inlineStr">
        <is>
          <t>PLANT &amp; EQUIPMENT</t>
        </is>
      </c>
      <c r="B32" s="40" t="n"/>
      <c r="C32" s="40" t="n"/>
      <c r="D32" s="40" t="n"/>
      <c r="E32" s="40" t="n"/>
      <c r="F32" s="40" t="n"/>
      <c r="G32" s="40" t="n"/>
      <c r="H32" s="40" t="n"/>
      <c r="I32" s="41" t="n"/>
    </row>
    <row r="33" ht="24" customHeight="1" s="151">
      <c r="A33" s="126" t="inlineStr">
        <is>
          <t>Plant</t>
        </is>
      </c>
      <c r="B33" s="127" t="inlineStr">
        <is>
          <t>ID</t>
        </is>
      </c>
      <c r="C33" s="127" t="inlineStr">
        <is>
          <t>Hours</t>
        </is>
      </c>
      <c r="D33" s="127" t="inlineStr">
        <is>
          <t xml:space="preserve"> Vehicles</t>
        </is>
      </c>
      <c r="E33" s="127" t="inlineStr">
        <is>
          <t>ID</t>
        </is>
      </c>
      <c r="F33" s="127" t="inlineStr">
        <is>
          <t>QTY</t>
        </is>
      </c>
      <c r="G33" s="42" t="inlineStr">
        <is>
          <t>Site Facilities</t>
        </is>
      </c>
      <c r="H33" s="42" t="inlineStr">
        <is>
          <t>ID</t>
        </is>
      </c>
      <c r="I33" s="43" t="inlineStr">
        <is>
          <t>Qty</t>
        </is>
      </c>
    </row>
    <row r="34" ht="23.15" customHeight="1" s="151">
      <c r="A34" s="25" t="inlineStr">
        <is>
          <t>Komatsu WA320</t>
        </is>
      </c>
      <c r="B34" s="26" t="inlineStr">
        <is>
          <t>FWL18</t>
        </is>
      </c>
      <c r="C34" s="26" t="n">
        <v>2</v>
      </c>
      <c r="D34" s="31" t="inlineStr">
        <is>
          <t>Hilux</t>
        </is>
      </c>
      <c r="E34" s="31" t="inlineStr">
        <is>
          <t>DLV90</t>
        </is>
      </c>
      <c r="F34" s="31" t="n">
        <v>1</v>
      </c>
      <c r="G34" s="31" t="inlineStr">
        <is>
          <t>Office 40ft</t>
        </is>
      </c>
      <c r="H34" s="31" t="n">
        <v>9255540</v>
      </c>
      <c r="I34" s="30" t="n">
        <v>1</v>
      </c>
    </row>
    <row r="35" ht="23.15" customHeight="1" s="151">
      <c r="A35" s="25" t="inlineStr">
        <is>
          <t>Wacker Neuson DPU</t>
        </is>
      </c>
      <c r="B35" s="26" t="inlineStr">
        <is>
          <t>DPC15</t>
        </is>
      </c>
      <c r="C35" s="26" t="n"/>
      <c r="D35" s="31" t="inlineStr">
        <is>
          <t>Hilux</t>
        </is>
      </c>
      <c r="E35" s="31" t="inlineStr">
        <is>
          <t>1DLV04</t>
        </is>
      </c>
      <c r="F35" s="31" t="n">
        <v>1</v>
      </c>
      <c r="G35" s="31" t="inlineStr">
        <is>
          <t>Sea Container 20ft</t>
        </is>
      </c>
      <c r="H35" s="26" t="n">
        <v>951200</v>
      </c>
      <c r="I35" s="30" t="n">
        <v>1</v>
      </c>
    </row>
    <row r="36" ht="23.15" customHeight="1" s="151">
      <c r="A36" s="44" t="inlineStr">
        <is>
          <t>Watercart</t>
        </is>
      </c>
      <c r="B36" s="31" t="inlineStr">
        <is>
          <t>WC04</t>
        </is>
      </c>
      <c r="C36" s="26" t="n"/>
      <c r="D36" s="31" t="n"/>
      <c r="E36" s="26" t="n"/>
      <c r="F36" s="31" t="n"/>
      <c r="G36" s="31" t="inlineStr">
        <is>
          <t>Site Sentry Tower</t>
        </is>
      </c>
      <c r="H36" s="31" t="n"/>
      <c r="I36" s="30" t="n">
        <v>2</v>
      </c>
    </row>
    <row r="37" ht="23.15" customHeight="1" s="151">
      <c r="A37" s="44" t="inlineStr">
        <is>
          <t>8T Excavator</t>
        </is>
      </c>
      <c r="B37" s="45" t="inlineStr">
        <is>
          <t>AMG 014</t>
        </is>
      </c>
      <c r="C37" s="26" t="n"/>
      <c r="D37" s="31" t="n"/>
      <c r="E37" s="31" t="n"/>
      <c r="F37" s="31" t="n"/>
      <c r="G37" s="31" t="inlineStr">
        <is>
          <t>Skip Bin</t>
        </is>
      </c>
      <c r="H37" s="31" t="n"/>
      <c r="I37" s="30" t="n">
        <v>1</v>
      </c>
    </row>
    <row r="38" ht="23.15" customHeight="1" s="151">
      <c r="A38" s="31" t="inlineStr">
        <is>
          <t>Mini Tipper</t>
        </is>
      </c>
      <c r="B38" s="31" t="inlineStr">
        <is>
          <t>SLS05</t>
        </is>
      </c>
      <c r="C38" s="31" t="n"/>
      <c r="D38" s="31" t="n"/>
      <c r="E38" s="31" t="n"/>
      <c r="F38" s="31" t="n"/>
      <c r="G38" s="31" t="inlineStr">
        <is>
          <t>Hydrocarbon Bund</t>
        </is>
      </c>
      <c r="H38" s="31" t="n"/>
      <c r="I38" s="30" t="n">
        <v>1</v>
      </c>
    </row>
    <row r="39" ht="23.15" customHeight="1" s="151">
      <c r="A39" s="76" t="inlineStr">
        <is>
          <t>1 t Excavator</t>
        </is>
      </c>
      <c r="B39" s="31" t="inlineStr">
        <is>
          <t>SLS03</t>
        </is>
      </c>
      <c r="C39" s="31" t="n">
        <v>6</v>
      </c>
      <c r="D39" s="31" t="n"/>
      <c r="E39" s="31" t="n"/>
      <c r="F39" s="31" t="n"/>
      <c r="G39" s="31" t="inlineStr">
        <is>
          <t>Temp Fence</t>
        </is>
      </c>
      <c r="H39" s="26" t="n"/>
      <c r="I39" s="30" t="n">
        <v>1</v>
      </c>
    </row>
    <row r="40" ht="24" customHeight="1" s="151">
      <c r="A40" s="76" t="inlineStr">
        <is>
          <t>14t Excavator with GPS</t>
        </is>
      </c>
      <c r="B40" s="31" t="inlineStr">
        <is>
          <t>EX153</t>
        </is>
      </c>
      <c r="C40" s="31" t="n"/>
      <c r="D40" s="31" t="n"/>
      <c r="E40" s="31" t="n"/>
      <c r="F40" s="31" t="n"/>
      <c r="G40" s="2" t="n"/>
      <c r="H40" s="2" t="n"/>
      <c r="I40" s="3" t="n"/>
    </row>
    <row r="41" ht="24" customHeight="1" s="151">
      <c r="A41" s="76" t="inlineStr">
        <is>
          <t>5t Excavator</t>
        </is>
      </c>
      <c r="B41" s="31" t="inlineStr">
        <is>
          <t>A118</t>
        </is>
      </c>
      <c r="C41" s="31" t="n"/>
      <c r="D41" s="31" t="n"/>
      <c r="E41" s="31" t="n"/>
      <c r="F41" s="31" t="n"/>
      <c r="G41" s="2" t="n"/>
      <c r="H41" s="2" t="n"/>
      <c r="I41" s="3" t="n"/>
    </row>
    <row r="42" ht="24" customHeight="1" s="151">
      <c r="A42" s="44" t="inlineStr">
        <is>
          <t>Padfoot/ Smooth Drum Roller</t>
        </is>
      </c>
      <c r="B42" s="31" t="inlineStr">
        <is>
          <t>RR 03</t>
        </is>
      </c>
      <c r="C42" s="26" t="n"/>
      <c r="D42" s="31" t="n"/>
      <c r="E42" s="31" t="n"/>
      <c r="F42" s="31" t="n"/>
      <c r="G42" s="2" t="n"/>
      <c r="H42" s="2" t="n"/>
      <c r="I42" s="3" t="n"/>
    </row>
    <row r="43" ht="24" customHeight="1" s="151">
      <c r="A43" s="44" t="inlineStr">
        <is>
          <t>Multi Roller</t>
        </is>
      </c>
      <c r="B43" s="31" t="n">
        <v>256</v>
      </c>
      <c r="C43" s="26" t="n"/>
      <c r="D43" s="31" t="n"/>
      <c r="E43" s="31" t="n"/>
      <c r="F43" s="31" t="n"/>
      <c r="G43" s="2" t="n"/>
      <c r="H43" s="2" t="n"/>
      <c r="I43" s="3" t="n"/>
    </row>
    <row r="44" ht="24" customHeight="1" s="151">
      <c r="A44" s="44" t="inlineStr">
        <is>
          <t>Positrak SSL</t>
        </is>
      </c>
      <c r="B44" s="31" t="inlineStr">
        <is>
          <t>SSL08</t>
        </is>
      </c>
      <c r="C44" s="26" t="n"/>
      <c r="D44" s="31" t="n"/>
      <c r="E44" s="31" t="n"/>
      <c r="F44" s="31" t="n"/>
      <c r="G44" s="2" t="n"/>
      <c r="H44" s="2" t="n"/>
      <c r="I44" s="3" t="n"/>
    </row>
    <row r="45" ht="24" customHeight="1" s="151">
      <c r="A45" s="44" t="inlineStr">
        <is>
          <t>Grader</t>
        </is>
      </c>
      <c r="B45" s="31" t="inlineStr">
        <is>
          <t>SLS01</t>
        </is>
      </c>
      <c r="C45" s="26" t="n"/>
      <c r="D45" s="31" t="n"/>
      <c r="E45" s="31" t="n"/>
      <c r="F45" s="31" t="n"/>
      <c r="G45" s="2" t="n"/>
      <c r="H45" s="2" t="n"/>
      <c r="I45" s="3" t="n"/>
    </row>
    <row r="46" ht="24" customHeight="1" s="151">
      <c r="A46" s="44" t="n"/>
      <c r="B46" s="31" t="n"/>
      <c r="C46" s="26" t="n"/>
      <c r="D46" s="2" t="n"/>
      <c r="E46" s="2" t="n"/>
      <c r="F46" s="2" t="n"/>
      <c r="G46" s="2" t="n"/>
      <c r="H46" s="2" t="n"/>
      <c r="I46" s="3" t="n"/>
    </row>
    <row r="47" ht="18" customHeight="1" s="151">
      <c r="A47" s="46" t="n">
        <v>0</v>
      </c>
      <c r="B47" s="128" t="inlineStr">
        <is>
          <t xml:space="preserve">Repairs Required </t>
        </is>
      </c>
      <c r="C47" s="118" t="n"/>
      <c r="D47" s="129" t="inlineStr">
        <is>
          <t>N/A</t>
        </is>
      </c>
      <c r="E47" s="159" t="n"/>
      <c r="F47" s="159" t="n"/>
      <c r="G47" s="159" t="n"/>
      <c r="H47" s="159" t="n"/>
      <c r="I47" s="160" t="n"/>
    </row>
    <row r="48" ht="18" customHeight="1" s="151">
      <c r="A48" s="47" t="n">
        <v>0</v>
      </c>
      <c r="B48" s="128" t="inlineStr">
        <is>
          <t>Scheduled Service</t>
        </is>
      </c>
      <c r="C48" s="118" t="n"/>
      <c r="D48" s="129" t="inlineStr">
        <is>
          <t>N/A</t>
        </is>
      </c>
      <c r="E48" s="159" t="n"/>
      <c r="F48" s="159" t="n"/>
      <c r="G48" s="159" t="n"/>
      <c r="H48" s="159" t="n"/>
      <c r="I48" s="160" t="n"/>
    </row>
    <row r="49" ht="18" customHeight="1" s="151">
      <c r="A49" s="48" t="n">
        <v>0</v>
      </c>
      <c r="B49" s="128" t="n"/>
      <c r="C49" s="118" t="n"/>
      <c r="D49" s="129" t="inlineStr">
        <is>
          <t>N/A</t>
        </is>
      </c>
      <c r="E49" s="159" t="n"/>
      <c r="F49" s="159" t="n"/>
      <c r="G49" s="159" t="n"/>
      <c r="H49" s="159" t="n"/>
      <c r="I49" s="160" t="n"/>
    </row>
    <row r="50" ht="23.15" customHeight="1" s="151">
      <c r="A50" s="131" t="inlineStr">
        <is>
          <t xml:space="preserve">Total Plant and Equipment Hours: </t>
        </is>
      </c>
      <c r="B50" s="118" t="n"/>
      <c r="C50" s="49">
        <f>SUM(C34:C46)</f>
        <v/>
      </c>
      <c r="D50" s="132" t="n"/>
      <c r="E50" s="159" t="n"/>
      <c r="F50" s="159" t="n"/>
      <c r="G50" s="159" t="n"/>
      <c r="H50" s="159" t="n"/>
      <c r="I50" s="160" t="n"/>
    </row>
    <row r="51" ht="25" customHeight="1" s="151">
      <c r="A51" s="120" t="inlineStr">
        <is>
          <t>DELAYS-OPPORTUNITY</t>
        </is>
      </c>
      <c r="B51" s="159" t="n"/>
      <c r="C51" s="159" t="n"/>
      <c r="D51" s="159" t="n"/>
      <c r="E51" s="159" t="n"/>
      <c r="F51" s="159" t="n"/>
      <c r="G51" s="159" t="n"/>
      <c r="H51" s="159" t="n"/>
      <c r="I51" s="160" t="n"/>
    </row>
    <row r="52" ht="15" customHeight="1" s="151">
      <c r="A52" s="133" t="inlineStr">
        <is>
          <t>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t>
        </is>
      </c>
      <c r="B52" s="124" t="n"/>
      <c r="C52" s="124" t="n"/>
      <c r="D52" s="124" t="n"/>
      <c r="E52" s="124" t="n"/>
      <c r="F52" s="124" t="n"/>
      <c r="G52" s="124" t="n"/>
      <c r="H52" s="124" t="n"/>
      <c r="I52" s="125" t="n"/>
    </row>
    <row r="53">
      <c r="A53" s="111" t="n"/>
      <c r="I53" s="113" t="n"/>
    </row>
    <row r="54" ht="49.5" customHeight="1" s="151">
      <c r="A54" s="111" t="n"/>
      <c r="I54" s="113" t="n"/>
    </row>
    <row r="55" ht="80.15000000000001" customHeight="1" s="151">
      <c r="A55" s="134" t="n"/>
      <c r="B55" s="135" t="n"/>
      <c r="C55" s="135" t="n"/>
      <c r="D55" s="135" t="n"/>
      <c r="E55" s="135" t="n"/>
      <c r="F55" s="135" t="n"/>
      <c r="G55" s="135" t="n"/>
      <c r="H55" s="135" t="n"/>
      <c r="I55" s="136" t="n"/>
    </row>
    <row r="56" ht="25" customHeight="1" s="151">
      <c r="A56" s="137" t="inlineStr">
        <is>
          <t>HSEQ MESSAGES</t>
        </is>
      </c>
      <c r="B56" s="138" t="n"/>
      <c r="C56" s="138" t="n"/>
      <c r="D56" s="138" t="n"/>
      <c r="E56" s="138" t="n"/>
      <c r="F56" s="138" t="n"/>
      <c r="G56" s="138" t="n"/>
      <c r="H56" s="138" t="n"/>
      <c r="I56" s="139" t="n"/>
    </row>
    <row r="57" ht="18" customHeight="1" s="151">
      <c r="A57" s="53" t="inlineStr">
        <is>
          <t>TCD - Monthly Safety Focus:</t>
        </is>
      </c>
      <c r="B57" s="140" t="inlineStr">
        <is>
          <t>Underground Services</t>
        </is>
      </c>
      <c r="C57" s="159" t="n"/>
      <c r="D57" s="159" t="n"/>
      <c r="E57" s="159" t="n"/>
      <c r="F57" s="159" t="n"/>
      <c r="G57" s="159" t="n"/>
      <c r="H57" s="159" t="n"/>
      <c r="I57" s="118" t="n"/>
    </row>
    <row r="58" ht="24" customHeight="1" s="151">
      <c r="A58" s="53" t="inlineStr">
        <is>
          <t>TCD - Daily Safety Focus:</t>
        </is>
      </c>
      <c r="B58" s="141" t="inlineStr">
        <is>
          <t>Area awareness</t>
        </is>
      </c>
      <c r="C58" s="159" t="n"/>
      <c r="D58" s="159" t="n"/>
      <c r="E58" s="159" t="n"/>
      <c r="F58" s="159" t="n"/>
      <c r="G58" s="159" t="n"/>
      <c r="H58" s="159" t="n"/>
      <c r="I58" s="160" t="n"/>
    </row>
    <row r="59" ht="18" customHeight="1" s="151">
      <c r="A59" s="54" t="inlineStr">
        <is>
          <t xml:space="preserve">Hazards Reported: </t>
        </is>
      </c>
      <c r="B59" s="55" t="inlineStr">
        <is>
          <t>Nil</t>
        </is>
      </c>
      <c r="C59" s="141" t="n"/>
      <c r="D59" s="159" t="n"/>
      <c r="E59" s="159" t="n"/>
      <c r="F59" s="159" t="n"/>
      <c r="G59" s="159" t="n"/>
      <c r="H59" s="159" t="n"/>
      <c r="I59" s="160" t="n"/>
    </row>
    <row r="60" ht="18" customHeight="1" s="151">
      <c r="A60" s="54" t="inlineStr">
        <is>
          <t>Incident Free Days</t>
        </is>
      </c>
      <c r="B60" s="55" t="n">
        <v>19</v>
      </c>
      <c r="C60" s="140" t="n"/>
      <c r="D60" s="159" t="n"/>
      <c r="E60" s="159" t="n"/>
      <c r="F60" s="159" t="n"/>
      <c r="G60" s="159" t="n"/>
      <c r="H60" s="159" t="n"/>
      <c r="I60" s="118" t="n"/>
    </row>
    <row r="61" ht="18" customHeight="1" s="151">
      <c r="A61" s="56" t="inlineStr">
        <is>
          <t>Other Notes</t>
        </is>
      </c>
      <c r="B61" s="142" t="n"/>
      <c r="C61" s="124" t="n"/>
      <c r="D61" s="124" t="n"/>
      <c r="E61" s="124" t="n"/>
      <c r="F61" s="124" t="n"/>
      <c r="G61" s="124" t="n"/>
      <c r="H61" s="124" t="n"/>
      <c r="I61" s="125" t="n"/>
    </row>
    <row r="62" ht="20.25" customHeight="1" s="151">
      <c r="A62" s="120" t="inlineStr">
        <is>
          <t xml:space="preserve">INCIDENTS &amp; REPORTS </t>
        </is>
      </c>
      <c r="B62" s="159" t="n"/>
      <c r="C62" s="159" t="n"/>
      <c r="D62" s="159" t="n"/>
      <c r="E62" s="159" t="n"/>
      <c r="F62" s="159" t="n"/>
      <c r="G62" s="159" t="n"/>
      <c r="H62" s="159" t="n"/>
      <c r="I62" s="160" t="n"/>
    </row>
    <row r="63" ht="25" customHeight="1" s="151">
      <c r="A63" s="57" t="n"/>
      <c r="B63" s="127" t="inlineStr">
        <is>
          <t>QTY</t>
        </is>
      </c>
      <c r="C63" s="130" t="inlineStr">
        <is>
          <t>Comments</t>
        </is>
      </c>
      <c r="D63" s="159" t="n"/>
      <c r="E63" s="159" t="n"/>
      <c r="F63" s="159" t="n"/>
      <c r="G63" s="159" t="n"/>
      <c r="H63" s="159" t="n"/>
      <c r="I63" s="160" t="n"/>
    </row>
    <row r="64" ht="25" customHeight="1" s="151">
      <c r="A64" s="58" t="inlineStr">
        <is>
          <t>INCIDENT</t>
        </is>
      </c>
      <c r="B64" s="127" t="n">
        <v>0</v>
      </c>
      <c r="C64" s="129" t="inlineStr">
        <is>
          <t>NA</t>
        </is>
      </c>
      <c r="D64" s="159" t="n"/>
      <c r="E64" s="159" t="n"/>
      <c r="F64" s="159" t="n"/>
      <c r="G64" s="159" t="n"/>
      <c r="H64" s="159" t="n"/>
      <c r="I64" s="160" t="n"/>
    </row>
    <row r="65" ht="25" customHeight="1" s="151">
      <c r="A65" s="59" t="inlineStr">
        <is>
          <t>IR</t>
        </is>
      </c>
      <c r="B65" s="60" t="n">
        <v>0</v>
      </c>
      <c r="C65" s="145" t="inlineStr">
        <is>
          <t>NA</t>
        </is>
      </c>
      <c r="D65" s="124" t="n"/>
      <c r="E65" s="124" t="n"/>
      <c r="F65" s="124" t="n"/>
      <c r="G65" s="124" t="n"/>
      <c r="H65" s="124" t="n"/>
      <c r="I65" s="125" t="n"/>
    </row>
    <row r="66" ht="25" customHeight="1" s="151">
      <c r="A66" s="61" t="inlineStr">
        <is>
          <t>NCR</t>
        </is>
      </c>
      <c r="B66" s="62" t="n">
        <v>0</v>
      </c>
      <c r="C66" s="146" t="inlineStr">
        <is>
          <t>NA</t>
        </is>
      </c>
      <c r="D66" s="147" t="n"/>
      <c r="E66" s="147" t="n"/>
      <c r="F66" s="147" t="n"/>
      <c r="G66" s="147" t="n"/>
      <c r="H66" s="147" t="n"/>
      <c r="I66" s="148" t="n"/>
    </row>
    <row r="67" ht="20.25" customHeight="1" s="151">
      <c r="A67" s="137" t="inlineStr">
        <is>
          <t>COMMUNICATIONS</t>
        </is>
      </c>
      <c r="B67" s="138" t="n"/>
      <c r="C67" s="138" t="n"/>
      <c r="D67" s="138" t="n"/>
      <c r="E67" s="138" t="n"/>
      <c r="F67" s="138" t="n"/>
      <c r="G67" s="138" t="n"/>
      <c r="H67" s="138" t="n"/>
      <c r="I67" s="139" t="n"/>
    </row>
    <row r="68" ht="25" customHeight="1" s="151">
      <c r="A68" s="149" t="inlineStr">
        <is>
          <t>TGS MB1119-05 Scheme D implemented</t>
        </is>
      </c>
      <c r="B68" s="159" t="n"/>
      <c r="C68" s="159" t="n"/>
      <c r="D68" s="159" t="n"/>
      <c r="E68" s="159" t="n"/>
      <c r="F68" s="159" t="n"/>
      <c r="G68" s="159" t="n"/>
      <c r="H68" s="159" t="n"/>
      <c r="I68" s="160" t="n"/>
    </row>
    <row r="69" ht="25" customHeight="1" s="151">
      <c r="A69" s="149" t="inlineStr">
        <is>
          <t>TGS MB1119-07B implemented (Closure Notification Upcoming)</t>
        </is>
      </c>
      <c r="B69" s="159" t="n"/>
      <c r="C69" s="159" t="n"/>
      <c r="D69" s="159" t="n"/>
      <c r="E69" s="159" t="n"/>
      <c r="F69" s="159" t="n"/>
      <c r="G69" s="159" t="n"/>
      <c r="H69" s="159" t="n"/>
      <c r="I69" s="160" t="n"/>
    </row>
    <row r="70" ht="25" customHeight="1" s="151">
      <c r="A70" s="120" t="inlineStr">
        <is>
          <t>PRODUCTION (CONSTRUCTION STATUS &amp; PROGRESS)</t>
        </is>
      </c>
      <c r="B70" s="159" t="n"/>
      <c r="C70" s="159" t="n"/>
      <c r="D70" s="159" t="n"/>
      <c r="E70" s="159" t="n"/>
      <c r="F70" s="159" t="n"/>
      <c r="G70" s="159" t="n"/>
      <c r="H70" s="159" t="n"/>
      <c r="I70" s="160" t="n"/>
    </row>
    <row r="71" ht="25" customHeight="1" s="151">
      <c r="A71" s="63" t="inlineStr">
        <is>
          <t>Additional Service Investigation Eastern Side of Foreshore Drive</t>
        </is>
      </c>
      <c r="B71" s="64" t="n"/>
      <c r="C71" s="9" t="n"/>
      <c r="D71" s="9" t="n"/>
      <c r="E71" s="9" t="n"/>
      <c r="F71" s="64" t="n"/>
      <c r="G71" s="9" t="n"/>
      <c r="H71" s="64" t="n"/>
      <c r="I71" s="65" t="n"/>
    </row>
    <row r="72" ht="25" customHeight="1" s="151">
      <c r="A72" s="63" t="n"/>
      <c r="B72" s="64" t="n"/>
      <c r="C72" s="9" t="n"/>
      <c r="D72" s="64" t="n"/>
      <c r="E72" s="64" t="n"/>
      <c r="F72" s="64" t="n"/>
      <c r="G72" s="64" t="n"/>
      <c r="H72" s="64" t="n"/>
      <c r="I72" s="65" t="n"/>
    </row>
    <row r="73" ht="26.15" customHeight="1" s="151">
      <c r="A73" s="123" t="inlineStr">
        <is>
          <t>Photos</t>
        </is>
      </c>
      <c r="B73" s="124" t="n"/>
      <c r="C73" s="124" t="n"/>
      <c r="D73" s="124" t="n"/>
      <c r="E73" s="124" t="n"/>
      <c r="F73" s="124" t="n"/>
      <c r="G73" s="124" t="n"/>
      <c r="H73" s="124" t="n"/>
      <c r="I73" s="125" t="n"/>
    </row>
    <row r="74" ht="23.15" customHeight="1" s="151">
      <c r="A74" s="66" t="n"/>
      <c r="B74" s="67" t="n"/>
      <c r="C74" s="67" t="n"/>
      <c r="D74" s="67" t="n"/>
      <c r="E74" s="67" t="n"/>
      <c r="F74" s="67" t="n"/>
      <c r="G74" s="67" t="n"/>
      <c r="H74" s="67" t="n"/>
      <c r="I74" s="68" t="n"/>
    </row>
    <row r="75" ht="23.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H96" s="70" t="n"/>
      <c r="I96" s="71" t="n"/>
    </row>
    <row r="97" ht="25" customFormat="1" customHeight="1" s="10">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72" t="n"/>
      <c r="B112" s="73" t="n"/>
      <c r="C112" s="73" t="n"/>
      <c r="D112" s="73" t="n"/>
      <c r="E112" s="73" t="n"/>
      <c r="F112" s="73" t="n"/>
      <c r="G112" s="73" t="n"/>
      <c r="H112" s="73" t="n"/>
      <c r="I112" s="74"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2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28"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c r="J137" s="75"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6" customHeight="1" s="151">
      <c r="A144" s="69" t="n"/>
      <c r="B144" s="70" t="n"/>
      <c r="C144" s="70" t="n"/>
      <c r="D144" s="70" t="n"/>
      <c r="E144" s="70" t="n"/>
      <c r="F144" s="70" t="n"/>
      <c r="G144" s="70" t="n"/>
      <c r="H144" s="70" t="n"/>
      <c r="I144" s="71" t="n"/>
    </row>
    <row r="145" ht="30.75" customHeight="1" s="151">
      <c r="A145" s="143" t="n"/>
      <c r="E145" s="144" t="n"/>
      <c r="I145" s="113"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ht="16" customHeight="1" s="151">
      <c r="A199" s="4" t="n"/>
      <c r="B199" s="5" t="n"/>
      <c r="C199" s="5" t="n"/>
      <c r="D199" s="5" t="n"/>
      <c r="E199" s="5" t="n"/>
      <c r="F199" s="5" t="n"/>
      <c r="G199" s="5" t="n"/>
      <c r="H199" s="5" t="n"/>
      <c r="I199" s="6" t="n"/>
    </row>
    <row r="200">
      <c r="A200" s="7" t="n"/>
      <c r="I200" s="8" t="n"/>
    </row>
    <row r="201">
      <c r="A201" s="7" t="n"/>
      <c r="I201" s="8" t="n"/>
    </row>
    <row r="202">
      <c r="A202" s="7" t="n"/>
      <c r="I202" s="8" t="n"/>
    </row>
    <row r="203">
      <c r="A203" s="7" t="n"/>
      <c r="I203" s="8" t="n"/>
    </row>
    <row r="204">
      <c r="A204" s="7" t="n"/>
      <c r="I204" s="8" t="n"/>
    </row>
    <row r="205">
      <c r="A205" s="7" t="n"/>
      <c r="I205" s="8" t="n"/>
    </row>
    <row r="206" ht="16" customHeight="1" s="151">
      <c r="A206" s="4" t="n"/>
      <c r="B206" s="5" t="n"/>
      <c r="C206" s="5" t="n"/>
      <c r="D206" s="5" t="n"/>
      <c r="E206" s="5" t="n"/>
      <c r="F206" s="5" t="n"/>
      <c r="G206" s="5" t="n"/>
      <c r="H206" s="5" t="n"/>
      <c r="I206" s="6" t="n"/>
    </row>
  </sheetData>
  <mergeCells count="40">
    <mergeCell ref="D49:I49"/>
    <mergeCell ref="B47:C47"/>
    <mergeCell ref="D13:F13"/>
    <mergeCell ref="G13:I13"/>
    <mergeCell ref="B8:D8"/>
    <mergeCell ref="A56:I56"/>
    <mergeCell ref="D48:I48"/>
    <mergeCell ref="A12:I12"/>
    <mergeCell ref="D47:I47"/>
    <mergeCell ref="B58:I58"/>
    <mergeCell ref="C66:I66"/>
    <mergeCell ref="B48:C48"/>
    <mergeCell ref="A5:I5"/>
    <mergeCell ref="B9:D9"/>
    <mergeCell ref="A52:I55"/>
    <mergeCell ref="B61:I61"/>
    <mergeCell ref="B57:I57"/>
    <mergeCell ref="B6:D6"/>
    <mergeCell ref="A62:I62"/>
    <mergeCell ref="A50:B50"/>
    <mergeCell ref="A13:C13"/>
    <mergeCell ref="A68:I68"/>
    <mergeCell ref="A10:I10"/>
    <mergeCell ref="C64:I64"/>
    <mergeCell ref="A1:I4"/>
    <mergeCell ref="A67:I67"/>
    <mergeCell ref="D50:I50"/>
    <mergeCell ref="B7:D7"/>
    <mergeCell ref="C63:I63"/>
    <mergeCell ref="C65:I65"/>
    <mergeCell ref="B49:C49"/>
    <mergeCell ref="A73:I73"/>
    <mergeCell ref="A51:I51"/>
    <mergeCell ref="A11:I11"/>
    <mergeCell ref="A145:D145"/>
    <mergeCell ref="C59:I59"/>
    <mergeCell ref="A70:I70"/>
    <mergeCell ref="C60:I60"/>
    <mergeCell ref="A69:I69"/>
    <mergeCell ref="E145:I145"/>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2" min="0" max="8" man="1"/>
  </rowBreaks>
</worksheet>
</file>

<file path=xl/worksheets/sheet12.xml><?xml version="1.0" encoding="utf-8"?>
<worksheet xmlns="http://schemas.openxmlformats.org/spreadsheetml/2006/main">
  <sheetPr>
    <outlinePr summaryBelow="1" summaryRight="1"/>
    <pageSetUpPr fitToPage="1"/>
  </sheetPr>
  <dimension ref="A1:J222"/>
  <sheetViews>
    <sheetView view="pageBreakPreview" topLeftCell="A84"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45915</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107</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19 degrees  Wind: 52km/h SW Precip: 3.6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Khegan Brockman</t>
        </is>
      </c>
      <c r="H15" s="26" t="inlineStr">
        <is>
          <t>Labourer</t>
        </is>
      </c>
      <c r="I15" s="30" t="n">
        <v>0</v>
      </c>
    </row>
    <row r="16" ht="23.15" customHeight="1" s="151">
      <c r="A16" s="25" t="inlineStr">
        <is>
          <t>GRIFFITHS, Daniel</t>
        </is>
      </c>
      <c r="B16" s="26" t="inlineStr">
        <is>
          <t>Project Manager</t>
        </is>
      </c>
      <c r="C16" s="31" t="n">
        <v>12</v>
      </c>
      <c r="D16" s="29"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13</v>
      </c>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v>12</v>
      </c>
    </row>
    <row r="19" ht="23.15" customHeight="1" s="151">
      <c r="A19" s="25" t="inlineStr">
        <is>
          <t>THOMPSON,Cheryl</t>
        </is>
      </c>
      <c r="B19" s="26" t="inlineStr">
        <is>
          <t>HSET</t>
        </is>
      </c>
      <c r="C19" s="31" t="n"/>
      <c r="D19" s="28" t="n"/>
      <c r="E19" s="28" t="n"/>
      <c r="F19" s="26" t="n"/>
      <c r="G19" s="29" t="inlineStr">
        <is>
          <t>Mullin, Connell</t>
        </is>
      </c>
      <c r="H19" s="26" t="inlineStr">
        <is>
          <t>Operator</t>
        </is>
      </c>
      <c r="I19" s="30" t="n">
        <v>12</v>
      </c>
    </row>
    <row r="20" ht="23.15" customHeight="1" s="151">
      <c r="A20" s="25" t="inlineStr">
        <is>
          <t>SKINNER,Jamie</t>
        </is>
      </c>
      <c r="B20" s="26" t="inlineStr">
        <is>
          <t>Supervisor</t>
        </is>
      </c>
      <c r="C20" s="31" t="n">
        <v>13</v>
      </c>
      <c r="D20" s="28" t="n"/>
      <c r="E20" s="28" t="n"/>
      <c r="F20" s="26" t="n"/>
      <c r="I20" s="30" t="n"/>
    </row>
    <row r="21" ht="23.15" customHeight="1" s="151">
      <c r="A21" s="99" t="inlineStr">
        <is>
          <t>TONER, Ultan</t>
        </is>
      </c>
      <c r="B21" s="26" t="inlineStr">
        <is>
          <t>Supervisor</t>
        </is>
      </c>
      <c r="C21" s="31" t="n">
        <v>13</v>
      </c>
      <c r="D21" s="28" t="n"/>
      <c r="E21" s="28" t="n"/>
      <c r="F21" s="26" t="n"/>
      <c r="G21" s="102" t="inlineStr">
        <is>
          <t>Midwest Kerbing</t>
        </is>
      </c>
      <c r="H21" s="26" t="n"/>
      <c r="I21" s="30" t="n"/>
    </row>
    <row r="22" ht="23.15" customHeight="1" s="151">
      <c r="A22" s="25" t="n"/>
      <c r="B22" s="26" t="n"/>
      <c r="C22" s="31" t="n"/>
      <c r="D22" s="28" t="n"/>
      <c r="E22" s="28" t="n"/>
      <c r="F22" s="26" t="n"/>
      <c r="G22" s="29" t="inlineStr">
        <is>
          <t>Daly,Troy</t>
        </is>
      </c>
      <c r="H22" s="26" t="inlineStr">
        <is>
          <t>Specialist</t>
        </is>
      </c>
      <c r="I22" s="30" t="n">
        <v>5</v>
      </c>
    </row>
    <row r="23" ht="23.15" customHeight="1" s="151">
      <c r="A23" s="25" t="n"/>
      <c r="B23" s="26" t="n"/>
      <c r="C23" s="31" t="n"/>
      <c r="D23" s="28" t="n"/>
      <c r="E23" s="28" t="n"/>
      <c r="F23" s="26" t="n"/>
      <c r="G23" s="29" t="inlineStr">
        <is>
          <t>x3 labourers</t>
        </is>
      </c>
      <c r="H23" s="26" t="inlineStr">
        <is>
          <t>Specialist</t>
        </is>
      </c>
      <c r="I23" s="30" t="n">
        <v>15</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100" t="inlineStr">
        <is>
          <t>Herrings Gas</t>
        </is>
      </c>
      <c r="H25" s="26" t="n"/>
      <c r="I25" s="30" t="n"/>
    </row>
    <row r="26" ht="23.15" customHeight="1" s="151">
      <c r="A26" s="25" t="n"/>
      <c r="B26" s="26" t="n"/>
      <c r="C26" s="31" t="n"/>
      <c r="D26" s="28" t="n"/>
      <c r="E26" s="28" t="n"/>
      <c r="F26" s="26" t="n"/>
      <c r="G26" s="29" t="inlineStr">
        <is>
          <t>Herring, Chris</t>
        </is>
      </c>
      <c r="H26" s="26" t="inlineStr">
        <is>
          <t>Gas Fitter</t>
        </is>
      </c>
      <c r="I26" s="30" t="n">
        <v>5</v>
      </c>
    </row>
    <row r="27" ht="23.15" customHeight="1" s="151">
      <c r="A27" s="25" t="n"/>
      <c r="B27" s="26" t="n"/>
      <c r="C27" s="31" t="n"/>
      <c r="D27" s="28" t="n"/>
      <c r="E27" s="28" t="n"/>
      <c r="F27" s="26" t="n"/>
      <c r="G27" s="29" t="inlineStr">
        <is>
          <t>x2 fitters</t>
        </is>
      </c>
      <c r="H27" s="26" t="inlineStr">
        <is>
          <t>Gas Fitter</t>
        </is>
      </c>
      <c r="I27" s="30" t="n">
        <v>10</v>
      </c>
    </row>
    <row r="28" ht="23.15" customHeight="1" s="151">
      <c r="A28" s="25" t="n"/>
      <c r="B28" s="26" t="n"/>
      <c r="C28" s="31" t="n"/>
      <c r="D28" s="28" t="n"/>
      <c r="E28" s="28" t="n"/>
      <c r="F28" s="26" t="n"/>
      <c r="G28" s="29" t="n"/>
      <c r="H28" s="26" t="n"/>
      <c r="I28" s="30" t="n"/>
    </row>
    <row r="29" ht="23.15" customHeight="1" s="151">
      <c r="A29" s="25" t="n"/>
      <c r="B29" s="26" t="n"/>
      <c r="C29" s="31" t="n"/>
      <c r="D29" s="28" t="n"/>
      <c r="E29" s="28" t="n"/>
      <c r="F29" s="26" t="n"/>
      <c r="G29" s="100" t="inlineStr">
        <is>
          <t>Mid Coast Civil</t>
        </is>
      </c>
      <c r="H29" s="26" t="n"/>
      <c r="I29" s="30" t="n"/>
    </row>
    <row r="30" ht="23.15" customHeight="1" s="151">
      <c r="A30" s="25" t="n"/>
      <c r="B30" s="26" t="n"/>
      <c r="C30" s="31" t="n"/>
      <c r="D30" s="28" t="n"/>
      <c r="E30" s="28" t="n"/>
      <c r="F30" s="26" t="n"/>
      <c r="G30" s="29" t="inlineStr">
        <is>
          <t>Vermeer, Paul</t>
        </is>
      </c>
      <c r="H30" s="26" t="inlineStr">
        <is>
          <t>Labourer</t>
        </is>
      </c>
      <c r="I30" s="30" t="n">
        <v>10</v>
      </c>
    </row>
    <row r="31" ht="23.15" customHeight="1" s="151">
      <c r="A31" s="25" t="n"/>
      <c r="B31" s="26" t="n"/>
      <c r="C31" s="31" t="n"/>
      <c r="D31" s="28" t="n"/>
      <c r="E31" s="28" t="n"/>
      <c r="F31" s="26" t="n"/>
      <c r="G31" s="29" t="inlineStr">
        <is>
          <t>Patroni, Rodney</t>
        </is>
      </c>
      <c r="H31" s="26" t="inlineStr">
        <is>
          <t>Labourer</t>
        </is>
      </c>
      <c r="I31" s="30" t="n">
        <v>10</v>
      </c>
    </row>
    <row r="32" ht="23.15" customHeight="1" s="151">
      <c r="A32" s="25" t="n"/>
      <c r="B32" s="26" t="n"/>
      <c r="C32" s="31" t="n"/>
      <c r="D32" s="28" t="n"/>
      <c r="E32" s="28" t="n"/>
      <c r="F32" s="26" t="n"/>
      <c r="G32" s="29" t="n"/>
      <c r="H32" s="26" t="n"/>
      <c r="I32" s="30" t="n"/>
    </row>
    <row r="33" ht="23.15" customHeight="1" s="151">
      <c r="A33" s="25" t="n"/>
      <c r="B33" s="26" t="n"/>
      <c r="C33" s="31" t="n"/>
      <c r="D33" s="28" t="n"/>
      <c r="E33" s="28" t="n"/>
      <c r="F33" s="26" t="n"/>
      <c r="G33" s="100" t="inlineStr">
        <is>
          <t>Superstruct</t>
        </is>
      </c>
      <c r="H33" s="26" t="n"/>
      <c r="I33" s="30" t="n"/>
    </row>
    <row r="34" ht="23.15" customHeight="1" s="151">
      <c r="A34" s="25" t="n"/>
      <c r="B34" s="26" t="n"/>
      <c r="C34" s="31" t="n"/>
      <c r="D34" s="28" t="n"/>
      <c r="E34" s="28" t="n"/>
      <c r="F34" s="26" t="n"/>
      <c r="G34" s="101" t="inlineStr">
        <is>
          <t>Ferstat, Blair</t>
        </is>
      </c>
      <c r="H34" s="26" t="inlineStr">
        <is>
          <t>Labourer</t>
        </is>
      </c>
      <c r="I34" s="30" t="n">
        <v>10</v>
      </c>
    </row>
    <row r="35" ht="23.15" customHeight="1" s="151">
      <c r="A35" s="25" t="n"/>
      <c r="B35" s="26" t="n"/>
      <c r="C35" s="31" t="n"/>
      <c r="D35" s="28" t="n"/>
      <c r="E35" s="28" t="n"/>
      <c r="F35" s="26" t="n"/>
      <c r="G35" s="101" t="inlineStr">
        <is>
          <t>x3 labourers</t>
        </is>
      </c>
      <c r="H35" s="26" t="inlineStr">
        <is>
          <t>Labourer</t>
        </is>
      </c>
      <c r="I35" s="30" t="n">
        <v>30</v>
      </c>
    </row>
    <row r="36" ht="23.15" customHeight="1" s="151">
      <c r="A36" s="25" t="n"/>
      <c r="B36" s="26" t="n"/>
      <c r="C36" s="31" t="n"/>
      <c r="D36" s="28" t="n"/>
      <c r="E36" s="28" t="n"/>
      <c r="F36" s="26" t="n"/>
      <c r="G36" s="29" t="n"/>
      <c r="H36" s="26" t="n"/>
      <c r="I36" s="30" t="n"/>
    </row>
    <row r="37" ht="23.15" customHeight="1" s="151">
      <c r="A37" s="25" t="n"/>
      <c r="B37" s="26" t="n"/>
      <c r="C37" s="31" t="n"/>
      <c r="D37" s="28" t="n"/>
      <c r="E37" s="28" t="n"/>
      <c r="F37" s="26" t="n"/>
      <c r="G37" s="95" t="inlineStr">
        <is>
          <t>Oaks Civil</t>
        </is>
      </c>
      <c r="H37" s="26" t="n"/>
      <c r="I37" s="103" t="n"/>
    </row>
    <row r="38" ht="23.15" customHeight="1" s="151">
      <c r="A38" s="25" t="n"/>
      <c r="B38" s="26" t="n"/>
      <c r="C38" s="31" t="n"/>
      <c r="D38" s="28" t="n"/>
      <c r="E38" s="28" t="n"/>
      <c r="F38" s="26" t="n"/>
      <c r="G38" s="96" t="inlineStr">
        <is>
          <t>Traffic Controllers x5</t>
        </is>
      </c>
      <c r="H38" s="97" t="inlineStr">
        <is>
          <t>Traffic Controller</t>
        </is>
      </c>
      <c r="I38" s="103">
        <f>5*12.5</f>
        <v/>
      </c>
    </row>
    <row r="39" ht="23.15" customHeight="1" s="151">
      <c r="A39" s="25" t="n"/>
      <c r="B39" s="26" t="n"/>
      <c r="C39" s="31" t="n"/>
      <c r="D39" s="28" t="n"/>
      <c r="E39" s="28" t="n"/>
      <c r="F39" s="26" t="n"/>
      <c r="G39" s="29" t="n"/>
      <c r="H39" s="26" t="n"/>
      <c r="I39" s="103" t="n"/>
    </row>
    <row r="40" ht="23.15" customHeight="1" s="151">
      <c r="A40" s="25" t="n"/>
      <c r="B40" s="26" t="n"/>
      <c r="C40" s="31" t="n"/>
      <c r="D40" s="28" t="n"/>
      <c r="E40" s="28" t="n"/>
      <c r="F40" s="26" t="n"/>
      <c r="G40" s="77" t="n"/>
      <c r="H40" s="77" t="n"/>
      <c r="I40" s="36" t="n"/>
    </row>
    <row r="41" ht="23.15" customHeight="1" s="151">
      <c r="A41" s="131" t="inlineStr">
        <is>
          <t xml:space="preserve">Total Indirect Personnel onsite: </t>
        </is>
      </c>
      <c r="B41" s="34">
        <f>COUNT(C15:C41)</f>
        <v/>
      </c>
      <c r="C41" s="28" t="n"/>
      <c r="D41" s="28" t="n"/>
      <c r="E41" s="28" t="n"/>
      <c r="F41" s="26" t="n"/>
      <c r="G41" s="78" t="n"/>
      <c r="H41" s="77" t="n"/>
      <c r="I41" s="30" t="n"/>
    </row>
    <row r="42" ht="23.15" customHeight="1" s="151">
      <c r="A42" s="131" t="inlineStr">
        <is>
          <t xml:space="preserve">Total Indirect Personnel hours: </t>
        </is>
      </c>
      <c r="B42" s="34">
        <f>SUM(C15:C40)</f>
        <v/>
      </c>
      <c r="C42" s="31" t="n"/>
      <c r="D42" s="28" t="n"/>
      <c r="E42" s="28" t="n"/>
      <c r="F42" s="26" t="n"/>
      <c r="G42" s="35" t="inlineStr">
        <is>
          <t>Total Subcontractor on-site:</t>
        </is>
      </c>
      <c r="H42" s="36">
        <f>COUNT(I15:I40)+8+4</f>
        <v/>
      </c>
      <c r="I42" s="30" t="n"/>
    </row>
    <row r="43" ht="23.15" customHeight="1" s="151">
      <c r="A43" s="131" t="inlineStr">
        <is>
          <t xml:space="preserve">Total Direct Personnel onsite:  </t>
        </is>
      </c>
      <c r="B43" s="34">
        <f>COUNTIF(F15:F44,"&gt;0")</f>
        <v/>
      </c>
      <c r="C43" s="34" t="n"/>
      <c r="D43" s="28" t="n"/>
      <c r="E43" s="28" t="n"/>
      <c r="F43" s="37" t="n"/>
      <c r="G43" s="35" t="inlineStr">
        <is>
          <t>Total Subcontractor hours:</t>
        </is>
      </c>
      <c r="H43" s="36">
        <f>SUM(I15:I40)</f>
        <v/>
      </c>
      <c r="I43" s="130" t="n"/>
    </row>
    <row r="44" ht="23.15" customHeight="1" s="151">
      <c r="A44" s="131" t="inlineStr">
        <is>
          <t xml:space="preserve">Total Direct Personnel hours: </t>
        </is>
      </c>
      <c r="B44" s="34">
        <f>SUM(F15:F44)</f>
        <v/>
      </c>
      <c r="C44" s="34" t="n"/>
      <c r="D44" s="34" t="n"/>
      <c r="E44" s="34" t="n"/>
      <c r="F44" s="34" t="n"/>
      <c r="G44" s="34" t="n"/>
      <c r="H44" s="34" t="n"/>
      <c r="I44" s="130" t="n"/>
    </row>
    <row r="45" ht="25" customHeight="1" s="151">
      <c r="A45" s="39" t="inlineStr">
        <is>
          <t>PLANT &amp; EQUIPMENT</t>
        </is>
      </c>
      <c r="B45" s="40" t="n"/>
      <c r="C45" s="40" t="n"/>
      <c r="D45" s="40" t="n"/>
      <c r="E45" s="40" t="n"/>
      <c r="F45" s="40" t="n"/>
      <c r="G45" s="40" t="n"/>
      <c r="H45" s="40" t="n"/>
      <c r="I45" s="41" t="n"/>
    </row>
    <row r="46" ht="24" customHeight="1" s="151">
      <c r="A46" s="126" t="inlineStr">
        <is>
          <t>Plant</t>
        </is>
      </c>
      <c r="B46" s="127" t="inlineStr">
        <is>
          <t>ID</t>
        </is>
      </c>
      <c r="C46" s="127" t="inlineStr">
        <is>
          <t>Hours</t>
        </is>
      </c>
      <c r="D46" s="127" t="inlineStr">
        <is>
          <t xml:space="preserve"> Vehicles</t>
        </is>
      </c>
      <c r="E46" s="127" t="inlineStr">
        <is>
          <t>ID</t>
        </is>
      </c>
      <c r="F46" s="127" t="inlineStr">
        <is>
          <t>QTY</t>
        </is>
      </c>
      <c r="G46" s="42" t="inlineStr">
        <is>
          <t>Site Facilities</t>
        </is>
      </c>
      <c r="H46" s="42" t="inlineStr">
        <is>
          <t>ID</t>
        </is>
      </c>
      <c r="I46" s="43" t="inlineStr">
        <is>
          <t>Qty</t>
        </is>
      </c>
    </row>
    <row r="47" ht="23.15" customHeight="1" s="151">
      <c r="A47" s="25" t="inlineStr">
        <is>
          <t>Komatsu WA320</t>
        </is>
      </c>
      <c r="B47" s="26" t="inlineStr">
        <is>
          <t>FWL18</t>
        </is>
      </c>
      <c r="C47" s="26" t="n">
        <v>2</v>
      </c>
      <c r="D47" s="31" t="inlineStr">
        <is>
          <t>Hilux</t>
        </is>
      </c>
      <c r="E47" s="31" t="inlineStr">
        <is>
          <t>DLV90</t>
        </is>
      </c>
      <c r="F47" s="31" t="n">
        <v>1</v>
      </c>
      <c r="G47" s="31" t="inlineStr">
        <is>
          <t>Office 40ft</t>
        </is>
      </c>
      <c r="H47" s="31" t="n">
        <v>9255540</v>
      </c>
      <c r="I47" s="30" t="n">
        <v>1</v>
      </c>
    </row>
    <row r="48" ht="23.15" customHeight="1" s="151">
      <c r="A48" s="25" t="inlineStr">
        <is>
          <t>Wacker Neuson DPU</t>
        </is>
      </c>
      <c r="B48" s="26" t="inlineStr">
        <is>
          <t>DPC15</t>
        </is>
      </c>
      <c r="C48" s="26" t="n">
        <v>6</v>
      </c>
      <c r="D48" s="31" t="inlineStr">
        <is>
          <t>Hilux</t>
        </is>
      </c>
      <c r="E48" s="31" t="inlineStr">
        <is>
          <t>1DLV04</t>
        </is>
      </c>
      <c r="F48" s="31" t="n">
        <v>1</v>
      </c>
      <c r="G48" s="31" t="inlineStr">
        <is>
          <t>Sea Container 20ft</t>
        </is>
      </c>
      <c r="H48" s="26" t="n">
        <v>951200</v>
      </c>
      <c r="I48" s="30" t="n">
        <v>1</v>
      </c>
    </row>
    <row r="49" ht="23.15" customHeight="1" s="151">
      <c r="A49" s="44" t="inlineStr">
        <is>
          <t>Watercart</t>
        </is>
      </c>
      <c r="B49" s="31" t="inlineStr">
        <is>
          <t>WC04</t>
        </is>
      </c>
      <c r="C49" s="26" t="n">
        <v>5</v>
      </c>
      <c r="D49" s="31" t="n"/>
      <c r="E49" s="26" t="n"/>
      <c r="F49" s="31" t="n"/>
      <c r="G49" s="31" t="inlineStr">
        <is>
          <t>Site Sentry Tower</t>
        </is>
      </c>
      <c r="H49" s="31" t="n"/>
      <c r="I49" s="30" t="n">
        <v>2</v>
      </c>
    </row>
    <row r="50" ht="23.15" customHeight="1" s="151">
      <c r="A50" s="44" t="inlineStr">
        <is>
          <t>8T Excavator</t>
        </is>
      </c>
      <c r="B50" s="45" t="inlineStr">
        <is>
          <t>AMG 014</t>
        </is>
      </c>
      <c r="C50" s="26" t="n"/>
      <c r="D50" s="31" t="n"/>
      <c r="E50" s="31" t="n"/>
      <c r="F50" s="31" t="n"/>
      <c r="G50" s="31" t="inlineStr">
        <is>
          <t>Skip Bin</t>
        </is>
      </c>
      <c r="H50" s="31" t="n"/>
      <c r="I50" s="30" t="n">
        <v>1</v>
      </c>
    </row>
    <row r="51" ht="23.15" customHeight="1" s="151">
      <c r="A51" s="31" t="inlineStr">
        <is>
          <t>Mini Tipper</t>
        </is>
      </c>
      <c r="B51" s="31" t="inlineStr">
        <is>
          <t>SLS05</t>
        </is>
      </c>
      <c r="C51" s="31" t="n">
        <v>8</v>
      </c>
      <c r="D51" s="31" t="n"/>
      <c r="E51" s="31" t="n"/>
      <c r="F51" s="31" t="n"/>
      <c r="G51" s="31" t="inlineStr">
        <is>
          <t>Hydrocarbon Bund</t>
        </is>
      </c>
      <c r="H51" s="31" t="n"/>
      <c r="I51" s="30" t="n">
        <v>1</v>
      </c>
    </row>
    <row r="52" ht="23.15" customHeight="1" s="151">
      <c r="A52" s="76" t="inlineStr">
        <is>
          <t>1 t Excavator</t>
        </is>
      </c>
      <c r="B52" s="31" t="inlineStr">
        <is>
          <t>SLS03</t>
        </is>
      </c>
      <c r="C52" s="31" t="n">
        <v>6</v>
      </c>
      <c r="D52" s="31" t="n"/>
      <c r="E52" s="31" t="n"/>
      <c r="F52" s="31" t="n"/>
      <c r="G52" s="31" t="inlineStr">
        <is>
          <t>Temp Fence</t>
        </is>
      </c>
      <c r="H52" s="26" t="n"/>
      <c r="I52" s="30" t="n">
        <v>1</v>
      </c>
    </row>
    <row r="53" ht="24" customHeight="1" s="151">
      <c r="A53" s="76" t="inlineStr">
        <is>
          <t>14t Excavator with GPS</t>
        </is>
      </c>
      <c r="B53" s="31" t="inlineStr">
        <is>
          <t>EX153</t>
        </is>
      </c>
      <c r="C53" s="31" t="n">
        <v>8</v>
      </c>
      <c r="D53" s="31" t="n"/>
      <c r="E53" s="31" t="n"/>
      <c r="F53" s="31" t="n"/>
      <c r="G53" s="2" t="n"/>
      <c r="H53" s="2" t="n"/>
      <c r="I53" s="3" t="n"/>
    </row>
    <row r="54" ht="24" customHeight="1" s="151">
      <c r="A54" s="76" t="inlineStr">
        <is>
          <t>5t Excavator</t>
        </is>
      </c>
      <c r="B54" s="31" t="inlineStr">
        <is>
          <t>A118</t>
        </is>
      </c>
      <c r="C54" s="31" t="n">
        <v>5</v>
      </c>
      <c r="D54" s="31" t="n"/>
      <c r="E54" s="31" t="n"/>
      <c r="F54" s="31" t="n"/>
      <c r="G54" s="2" t="n"/>
      <c r="H54" s="2" t="n"/>
      <c r="I54" s="3" t="n"/>
    </row>
    <row r="55" ht="24" customHeight="1" s="151">
      <c r="A55" s="44" t="inlineStr">
        <is>
          <t>Padfoot/ Smooth Drum Roller</t>
        </is>
      </c>
      <c r="B55" s="31" t="inlineStr">
        <is>
          <t>RR 03</t>
        </is>
      </c>
      <c r="C55" s="26" t="n">
        <v>4</v>
      </c>
      <c r="D55" s="31" t="n"/>
      <c r="E55" s="31" t="n"/>
      <c r="F55" s="31" t="n"/>
      <c r="G55" s="2" t="n"/>
      <c r="H55" s="2" t="n"/>
      <c r="I55" s="3" t="n"/>
    </row>
    <row r="56" ht="24" customHeight="1" s="151">
      <c r="A56" s="44" t="inlineStr">
        <is>
          <t>Multi Roller</t>
        </is>
      </c>
      <c r="B56" s="31" t="n">
        <v>256</v>
      </c>
      <c r="C56" s="26" t="n"/>
      <c r="D56" s="31" t="n"/>
      <c r="E56" s="31" t="n"/>
      <c r="F56" s="31" t="n"/>
      <c r="G56" s="2" t="n"/>
      <c r="H56" s="2" t="n"/>
      <c r="I56" s="3" t="n"/>
    </row>
    <row r="57" ht="24" customHeight="1" s="151">
      <c r="A57" s="44" t="inlineStr">
        <is>
          <t>Positrak SSL</t>
        </is>
      </c>
      <c r="B57" s="31" t="inlineStr">
        <is>
          <t>SSL08</t>
        </is>
      </c>
      <c r="C57" s="26" t="n">
        <v>7</v>
      </c>
      <c r="D57" s="31" t="n"/>
      <c r="E57" s="31" t="n"/>
      <c r="F57" s="31" t="n"/>
      <c r="G57" s="2" t="n"/>
      <c r="H57" s="2" t="n"/>
      <c r="I57" s="3" t="n"/>
    </row>
    <row r="58" ht="24" customHeight="1" s="151">
      <c r="A58" s="44" t="inlineStr">
        <is>
          <t>6 Wheel Tipper</t>
        </is>
      </c>
      <c r="B58" s="31" t="inlineStr">
        <is>
          <t>T091</t>
        </is>
      </c>
      <c r="C58" s="26" t="n">
        <v>5</v>
      </c>
      <c r="D58" s="31" t="n"/>
      <c r="E58" s="31" t="n"/>
      <c r="F58" s="31" t="n"/>
      <c r="G58" s="2" t="n"/>
      <c r="H58" s="2" t="n"/>
      <c r="I58" s="3" t="n"/>
    </row>
    <row r="59" ht="24" customHeight="1" s="151">
      <c r="A59" s="44" t="inlineStr">
        <is>
          <t>Grader</t>
        </is>
      </c>
      <c r="B59" s="31" t="inlineStr">
        <is>
          <t>SLS01</t>
        </is>
      </c>
      <c r="C59" s="26" t="n"/>
      <c r="D59" s="31" t="n"/>
      <c r="E59" s="31" t="n"/>
      <c r="F59" s="31" t="n"/>
      <c r="G59" s="2" t="n"/>
      <c r="H59" s="2" t="n"/>
      <c r="I59" s="3" t="n"/>
    </row>
    <row r="60" ht="24" customHeight="1" s="151">
      <c r="A60" s="44" t="n"/>
      <c r="B60" s="31" t="n"/>
      <c r="C60" s="26" t="n"/>
      <c r="D60" s="2" t="n"/>
      <c r="E60" s="2" t="n"/>
      <c r="F60" s="2" t="n"/>
      <c r="G60" s="2" t="n"/>
      <c r="H60" s="2" t="n"/>
      <c r="I60" s="3" t="n"/>
    </row>
    <row r="61" ht="18" customHeight="1" s="151">
      <c r="A61" s="46" t="n">
        <v>0</v>
      </c>
      <c r="B61" s="128" t="inlineStr">
        <is>
          <t xml:space="preserve">Repairs Required </t>
        </is>
      </c>
      <c r="C61" s="118" t="n"/>
      <c r="D61" s="129" t="inlineStr">
        <is>
          <t>N/A</t>
        </is>
      </c>
      <c r="E61" s="159" t="n"/>
      <c r="F61" s="159" t="n"/>
      <c r="G61" s="159" t="n"/>
      <c r="H61" s="159" t="n"/>
      <c r="I61" s="160" t="n"/>
    </row>
    <row r="62" ht="18" customHeight="1" s="151">
      <c r="A62" s="47" t="n">
        <v>0</v>
      </c>
      <c r="B62" s="128" t="inlineStr">
        <is>
          <t>Scheduled Service</t>
        </is>
      </c>
      <c r="C62" s="118" t="n"/>
      <c r="D62" s="129" t="inlineStr">
        <is>
          <t>N/A</t>
        </is>
      </c>
      <c r="E62" s="159" t="n"/>
      <c r="F62" s="159" t="n"/>
      <c r="G62" s="159" t="n"/>
      <c r="H62" s="159" t="n"/>
      <c r="I62" s="160" t="n"/>
    </row>
    <row r="63" ht="18" customHeight="1" s="151">
      <c r="A63" s="48" t="n">
        <v>0</v>
      </c>
      <c r="B63" s="128" t="n"/>
      <c r="C63" s="118" t="n"/>
      <c r="D63" s="129" t="inlineStr">
        <is>
          <t>N/A</t>
        </is>
      </c>
      <c r="E63" s="159" t="n"/>
      <c r="F63" s="159" t="n"/>
      <c r="G63" s="159" t="n"/>
      <c r="H63" s="159" t="n"/>
      <c r="I63" s="160" t="n"/>
    </row>
    <row r="64" ht="23.15" customHeight="1" s="151">
      <c r="A64" s="131" t="inlineStr">
        <is>
          <t xml:space="preserve">Total Plant and Equipment Hours: </t>
        </is>
      </c>
      <c r="B64" s="118" t="n"/>
      <c r="C64" s="49">
        <f>SUM(C47:C60)</f>
        <v/>
      </c>
      <c r="D64" s="132" t="n"/>
      <c r="E64" s="159" t="n"/>
      <c r="F64" s="159" t="n"/>
      <c r="G64" s="159" t="n"/>
      <c r="H64" s="159" t="n"/>
      <c r="I64" s="160" t="n"/>
    </row>
    <row r="65" ht="25" customHeight="1" s="151">
      <c r="A65" s="120" t="inlineStr">
        <is>
          <t>DELAYS-OPPORTUNITY</t>
        </is>
      </c>
      <c r="B65" s="159" t="n"/>
      <c r="C65" s="159" t="n"/>
      <c r="D65" s="159" t="n"/>
      <c r="E65" s="159" t="n"/>
      <c r="F65" s="159" t="n"/>
      <c r="G65" s="159" t="n"/>
      <c r="H65" s="159" t="n"/>
      <c r="I65" s="160" t="n"/>
    </row>
    <row r="66" ht="20.15" customHeight="1" s="151">
      <c r="A66" s="50" t="n"/>
      <c r="B66" s="51" t="n"/>
      <c r="C66" s="51" t="n"/>
      <c r="D66" s="51" t="n"/>
      <c r="E66" s="51" t="n"/>
      <c r="F66" s="51" t="n"/>
      <c r="G66" s="51" t="n"/>
      <c r="H66" s="51" t="n"/>
      <c r="I66" s="52" t="n"/>
    </row>
    <row r="67" ht="15" customHeight="1" s="151">
      <c r="A67" s="155" t="inlineStr">
        <is>
          <t>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
Noted Additional Material needed to be removed beneath the pavers</t>
        </is>
      </c>
      <c r="B67" s="124" t="n"/>
      <c r="C67" s="124" t="n"/>
      <c r="D67" s="124" t="n"/>
      <c r="E67" s="124" t="n"/>
      <c r="F67" s="124" t="n"/>
      <c r="G67" s="124" t="n"/>
      <c r="H67" s="124" t="n"/>
      <c r="I67" s="125" t="n"/>
    </row>
    <row r="68">
      <c r="A68" s="111" t="n"/>
      <c r="I68" s="113" t="n"/>
    </row>
    <row r="69" ht="49.5" customHeight="1" s="151">
      <c r="A69" s="111" t="n"/>
      <c r="I69" s="113" t="n"/>
    </row>
    <row r="70" ht="107.5" customHeight="1" s="151">
      <c r="A70" s="134" t="n"/>
      <c r="B70" s="135" t="n"/>
      <c r="C70" s="135" t="n"/>
      <c r="D70" s="135" t="n"/>
      <c r="E70" s="135" t="n"/>
      <c r="F70" s="135" t="n"/>
      <c r="G70" s="135" t="n"/>
      <c r="H70" s="135" t="n"/>
      <c r="I70" s="136" t="n"/>
    </row>
    <row r="71" ht="25" customHeight="1" s="151">
      <c r="A71" s="137" t="inlineStr">
        <is>
          <t>HSEQ MESSAGES</t>
        </is>
      </c>
      <c r="B71" s="138" t="n"/>
      <c r="C71" s="138" t="n"/>
      <c r="D71" s="138" t="n"/>
      <c r="E71" s="138" t="n"/>
      <c r="F71" s="138" t="n"/>
      <c r="G71" s="138" t="n"/>
      <c r="H71" s="138" t="n"/>
      <c r="I71" s="139" t="n"/>
    </row>
    <row r="72" ht="18" customHeight="1" s="151">
      <c r="A72" s="53" t="inlineStr">
        <is>
          <t>TCD - Monthly Safety Focus:</t>
        </is>
      </c>
      <c r="B72" s="140" t="inlineStr">
        <is>
          <t>Underground Services</t>
        </is>
      </c>
      <c r="C72" s="159" t="n"/>
      <c r="D72" s="159" t="n"/>
      <c r="E72" s="159" t="n"/>
      <c r="F72" s="159" t="n"/>
      <c r="G72" s="159" t="n"/>
      <c r="H72" s="159" t="n"/>
      <c r="I72" s="118" t="n"/>
    </row>
    <row r="73" ht="24" customHeight="1" s="151">
      <c r="A73" s="53" t="inlineStr">
        <is>
          <t>TCD - Daily Safety Focus:</t>
        </is>
      </c>
      <c r="B73" s="141" t="inlineStr">
        <is>
          <t>Shut Down Area, Positive Comms and Keep Clear of Machinery</t>
        </is>
      </c>
      <c r="C73" s="159" t="n"/>
      <c r="D73" s="159" t="n"/>
      <c r="E73" s="159" t="n"/>
      <c r="F73" s="159" t="n"/>
      <c r="G73" s="159" t="n"/>
      <c r="H73" s="159" t="n"/>
      <c r="I73" s="160" t="n"/>
    </row>
    <row r="74" ht="18" customHeight="1" s="151">
      <c r="A74" s="54" t="inlineStr">
        <is>
          <t xml:space="preserve">Hazards Reported: </t>
        </is>
      </c>
      <c r="B74" s="55" t="inlineStr">
        <is>
          <t>Nil</t>
        </is>
      </c>
      <c r="C74" s="141" t="n"/>
      <c r="D74" s="159" t="n"/>
      <c r="E74" s="159" t="n"/>
      <c r="F74" s="159" t="n"/>
      <c r="G74" s="159" t="n"/>
      <c r="H74" s="159" t="n"/>
      <c r="I74" s="160" t="n"/>
    </row>
    <row r="75" ht="18" customHeight="1" s="151">
      <c r="A75" s="54" t="inlineStr">
        <is>
          <t>Incident Free Days</t>
        </is>
      </c>
      <c r="B75" s="55" t="n">
        <v>20</v>
      </c>
      <c r="C75" s="140" t="n"/>
      <c r="D75" s="159" t="n"/>
      <c r="E75" s="159" t="n"/>
      <c r="F75" s="159" t="n"/>
      <c r="G75" s="159" t="n"/>
      <c r="H75" s="159" t="n"/>
      <c r="I75" s="118" t="n"/>
    </row>
    <row r="76" ht="18" customHeight="1" s="151">
      <c r="A76" s="56" t="inlineStr">
        <is>
          <t>Other Notes</t>
        </is>
      </c>
      <c r="B76" s="142" t="n"/>
      <c r="C76" s="124" t="n"/>
      <c r="D76" s="124" t="n"/>
      <c r="E76" s="124" t="n"/>
      <c r="F76" s="124" t="n"/>
      <c r="G76" s="124" t="n"/>
      <c r="H76" s="124" t="n"/>
      <c r="I76" s="125" t="n"/>
    </row>
    <row r="77" ht="20.25" customHeight="1" s="151">
      <c r="A77" s="120" t="inlineStr">
        <is>
          <t xml:space="preserve">INCIDENTS &amp; REPORTS </t>
        </is>
      </c>
      <c r="B77" s="159" t="n"/>
      <c r="C77" s="159" t="n"/>
      <c r="D77" s="159" t="n"/>
      <c r="E77" s="159" t="n"/>
      <c r="F77" s="159" t="n"/>
      <c r="G77" s="159" t="n"/>
      <c r="H77" s="159" t="n"/>
      <c r="I77" s="160" t="n"/>
    </row>
    <row r="78" ht="25" customHeight="1" s="151">
      <c r="A78" s="57" t="n"/>
      <c r="B78" s="127" t="inlineStr">
        <is>
          <t>QTY</t>
        </is>
      </c>
      <c r="C78" s="130" t="inlineStr">
        <is>
          <t>Comments</t>
        </is>
      </c>
      <c r="D78" s="159" t="n"/>
      <c r="E78" s="159" t="n"/>
      <c r="F78" s="159" t="n"/>
      <c r="G78" s="159" t="n"/>
      <c r="H78" s="159" t="n"/>
      <c r="I78" s="160" t="n"/>
    </row>
    <row r="79" ht="25" customHeight="1" s="151">
      <c r="A79" s="58" t="inlineStr">
        <is>
          <t>INCIDENT</t>
        </is>
      </c>
      <c r="B79" s="127" t="n">
        <v>0</v>
      </c>
      <c r="C79" s="129" t="inlineStr">
        <is>
          <t>NA</t>
        </is>
      </c>
      <c r="D79" s="159" t="n"/>
      <c r="E79" s="159" t="n"/>
      <c r="F79" s="159" t="n"/>
      <c r="G79" s="159" t="n"/>
      <c r="H79" s="159" t="n"/>
      <c r="I79" s="160" t="n"/>
    </row>
    <row r="80" ht="25" customHeight="1" s="151">
      <c r="A80" s="59" t="inlineStr">
        <is>
          <t>IR</t>
        </is>
      </c>
      <c r="B80" s="60" t="n">
        <v>0</v>
      </c>
      <c r="C80" s="145" t="inlineStr">
        <is>
          <t>NA</t>
        </is>
      </c>
      <c r="D80" s="124" t="n"/>
      <c r="E80" s="124" t="n"/>
      <c r="F80" s="124" t="n"/>
      <c r="G80" s="124" t="n"/>
      <c r="H80" s="124" t="n"/>
      <c r="I80" s="125" t="n"/>
    </row>
    <row r="81" ht="25" customHeight="1" s="151">
      <c r="A81" s="61" t="inlineStr">
        <is>
          <t>NCR</t>
        </is>
      </c>
      <c r="B81" s="62" t="n">
        <v>0</v>
      </c>
      <c r="C81" s="146" t="inlineStr">
        <is>
          <t>NA</t>
        </is>
      </c>
      <c r="D81" s="147" t="n"/>
      <c r="E81" s="147" t="n"/>
      <c r="F81" s="147" t="n"/>
      <c r="G81" s="147" t="n"/>
      <c r="H81" s="147" t="n"/>
      <c r="I81" s="148" t="n"/>
    </row>
    <row r="82" ht="20.25" customHeight="1" s="151">
      <c r="A82" s="137" t="inlineStr">
        <is>
          <t>COMMUNICATIONS</t>
        </is>
      </c>
      <c r="B82" s="138" t="n"/>
      <c r="C82" s="138" t="n"/>
      <c r="D82" s="138" t="n"/>
      <c r="E82" s="138" t="n"/>
      <c r="F82" s="138" t="n"/>
      <c r="G82" s="138" t="n"/>
      <c r="H82" s="138" t="n"/>
      <c r="I82" s="139" t="n"/>
    </row>
    <row r="83" ht="25" customHeight="1" s="151">
      <c r="A83" s="149" t="inlineStr">
        <is>
          <t>TGS MB1119-05 Scheme D implemented</t>
        </is>
      </c>
      <c r="B83" s="159" t="n"/>
      <c r="C83" s="159" t="n"/>
      <c r="D83" s="159" t="n"/>
      <c r="E83" s="159" t="n"/>
      <c r="F83" s="159" t="n"/>
      <c r="G83" s="159" t="n"/>
      <c r="H83" s="159" t="n"/>
      <c r="I83" s="160" t="n"/>
    </row>
    <row r="84" ht="25" customHeight="1" s="151">
      <c r="A84" s="149" t="inlineStr">
        <is>
          <t xml:space="preserve">TGS MB1119-07A implemented </t>
        </is>
      </c>
      <c r="B84" s="159" t="n"/>
      <c r="C84" s="159" t="n"/>
      <c r="D84" s="159" t="n"/>
      <c r="E84" s="159" t="n"/>
      <c r="F84" s="159" t="n"/>
      <c r="G84" s="159" t="n"/>
      <c r="H84" s="159" t="n"/>
      <c r="I84" s="160" t="n"/>
    </row>
    <row r="85" ht="25" customHeight="1" s="151">
      <c r="A85" s="120" t="inlineStr">
        <is>
          <t>PRODUCTION (CONSTRUCTION STATUS &amp; PROGRESS)</t>
        </is>
      </c>
      <c r="B85" s="159" t="n"/>
      <c r="C85" s="159" t="n"/>
      <c r="D85" s="159" t="n"/>
      <c r="E85" s="159" t="n"/>
      <c r="F85" s="159" t="n"/>
      <c r="G85" s="159" t="n"/>
      <c r="H85" s="159" t="n"/>
      <c r="I85" s="160" t="n"/>
    </row>
    <row r="86" ht="25" customHeight="1" s="151">
      <c r="A86" s="63" t="inlineStr">
        <is>
          <t>Commenced Demolition Works in Foreshore Drive Shut Down</t>
        </is>
      </c>
      <c r="B86" s="64" t="n"/>
      <c r="C86" s="9" t="n"/>
      <c r="D86" s="9" t="n"/>
      <c r="E86" s="9" t="n"/>
      <c r="F86" s="64" t="n"/>
      <c r="G86" s="9" t="n"/>
      <c r="H86" s="64" t="n"/>
      <c r="I86" s="65" t="n"/>
    </row>
    <row r="87" ht="25" customHeight="1" s="151">
      <c r="A87" s="63" t="inlineStr">
        <is>
          <t>Trenched and Backfilled, Water, Gas, Irrigation and CCTV  in Foreshore Drive Shut Down</t>
        </is>
      </c>
      <c r="B87" s="64" t="n"/>
      <c r="C87" s="9" t="n"/>
      <c r="D87" s="9" t="n"/>
      <c r="E87" s="64" t="n"/>
      <c r="F87" s="64" t="n"/>
      <c r="G87" s="9" t="n"/>
      <c r="H87" s="64" t="n"/>
      <c r="I87" s="65" t="n"/>
    </row>
    <row r="88" ht="25" customHeight="1" s="151">
      <c r="A88" s="63" t="inlineStr">
        <is>
          <t>Formed and inspected Northern and Western Ramp in Foreshore Drive Shut Down</t>
        </is>
      </c>
      <c r="B88" s="64" t="n"/>
      <c r="C88" s="9" t="n"/>
      <c r="D88" s="64" t="n"/>
      <c r="E88" s="64" t="n"/>
      <c r="F88" s="64" t="n"/>
      <c r="G88" s="64" t="n"/>
      <c r="H88" s="64" t="n"/>
      <c r="I88" s="65" t="n"/>
    </row>
    <row r="89" ht="26.15" customHeight="1" s="151">
      <c r="A89" s="123" t="inlineStr">
        <is>
          <t>Photos</t>
        </is>
      </c>
      <c r="B89" s="124" t="n"/>
      <c r="C89" s="124" t="n"/>
      <c r="D89" s="124" t="n"/>
      <c r="E89" s="124" t="n"/>
      <c r="F89" s="124" t="n"/>
      <c r="G89" s="124" t="n"/>
      <c r="H89" s="124" t="n"/>
      <c r="I89" s="125" t="n"/>
    </row>
    <row r="90" ht="23.15" customHeight="1" s="151">
      <c r="A90" s="66" t="n"/>
      <c r="B90" s="67" t="n"/>
      <c r="C90" s="67" t="n"/>
      <c r="D90" s="67" t="n"/>
      <c r="E90" s="67" t="n"/>
      <c r="F90" s="67" t="n"/>
      <c r="G90" s="67" t="n"/>
      <c r="H90" s="67" t="n"/>
      <c r="I90" s="68" t="n"/>
    </row>
    <row r="91" ht="23.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H112" s="70" t="n"/>
      <c r="I112" s="71" t="n"/>
    </row>
    <row r="113" ht="25" customFormat="1" customHeight="1" s="10">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72" t="n"/>
      <c r="B128" s="73" t="n"/>
      <c r="C128" s="73" t="n"/>
      <c r="D128" s="73" t="n"/>
      <c r="E128" s="73" t="n"/>
      <c r="F128" s="73" t="n"/>
      <c r="G128" s="73" t="n"/>
      <c r="H128" s="73" t="n"/>
      <c r="I128" s="74"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2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28"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c r="A146" s="69" t="n"/>
      <c r="B146" s="70" t="n"/>
      <c r="C146" s="70" t="n"/>
      <c r="D146" s="70" t="n"/>
      <c r="E146" s="70" t="n"/>
      <c r="F146" s="70" t="n"/>
      <c r="G146" s="70" t="n"/>
      <c r="H146" s="70" t="n"/>
      <c r="I146" s="71" t="n"/>
    </row>
    <row r="147" ht="15" customHeight="1" s="151">
      <c r="A147" s="69" t="n"/>
      <c r="B147" s="70" t="n"/>
      <c r="C147" s="70" t="n"/>
      <c r="D147" s="70" t="n"/>
      <c r="E147" s="70" t="n"/>
      <c r="F147" s="70" t="n"/>
      <c r="G147" s="70" t="n"/>
      <c r="H147" s="70" t="n"/>
      <c r="I147" s="71" t="n"/>
    </row>
    <row r="148" ht="15" customHeight="1" s="151">
      <c r="A148" s="69" t="n"/>
      <c r="B148" s="70" t="n"/>
      <c r="C148" s="70" t="n"/>
      <c r="D148" s="70" t="n"/>
      <c r="E148" s="70" t="n"/>
      <c r="F148" s="70" t="n"/>
      <c r="G148" s="70" t="n"/>
      <c r="H148" s="70" t="n"/>
      <c r="I148" s="71" t="n"/>
    </row>
    <row r="149" ht="15" customHeight="1" s="151">
      <c r="A149" s="69" t="n"/>
      <c r="B149" s="70" t="n"/>
      <c r="C149" s="70" t="n"/>
      <c r="D149" s="70" t="n"/>
      <c r="E149" s="70" t="n"/>
      <c r="F149" s="70" t="n"/>
      <c r="G149" s="70" t="n"/>
      <c r="H149" s="70" t="n"/>
      <c r="I149" s="71" t="n"/>
    </row>
    <row r="150" ht="15" customHeight="1" s="151">
      <c r="A150" s="69" t="n"/>
      <c r="B150" s="70" t="n"/>
      <c r="C150" s="70" t="n"/>
      <c r="D150" s="70" t="n"/>
      <c r="E150" s="70" t="n"/>
      <c r="F150" s="70" t="n"/>
      <c r="G150" s="70" t="n"/>
      <c r="H150" s="70" t="n"/>
      <c r="I150" s="71" t="n"/>
    </row>
    <row r="151" ht="15" customHeight="1" s="151">
      <c r="A151" s="69" t="n"/>
      <c r="B151" s="70" t="n"/>
      <c r="C151" s="70" t="n"/>
      <c r="D151" s="70" t="n"/>
      <c r="E151" s="70" t="n"/>
      <c r="F151" s="70" t="n"/>
      <c r="G151" s="70" t="n"/>
      <c r="H151" s="70" t="n"/>
      <c r="I151" s="71" t="n"/>
    </row>
    <row r="152" ht="15" customHeight="1" s="151">
      <c r="A152" s="69" t="n"/>
      <c r="B152" s="70" t="n"/>
      <c r="C152" s="70" t="n"/>
      <c r="D152" s="70" t="n"/>
      <c r="E152" s="70" t="n"/>
      <c r="F152" s="70" t="n"/>
      <c r="G152" s="70" t="n"/>
      <c r="H152" s="70" t="n"/>
      <c r="I152" s="71" t="n"/>
    </row>
    <row r="153" ht="15" customHeight="1" s="151">
      <c r="A153" s="69" t="n"/>
      <c r="B153" s="70" t="n"/>
      <c r="C153" s="70" t="n"/>
      <c r="D153" s="70" t="n"/>
      <c r="E153" s="70" t="n"/>
      <c r="F153" s="70" t="n"/>
      <c r="G153" s="70" t="n"/>
      <c r="H153" s="70" t="n"/>
      <c r="I153" s="71" t="n"/>
      <c r="J153" s="75" t="n"/>
    </row>
    <row r="154" ht="15" customHeight="1" s="151">
      <c r="A154" s="69" t="n"/>
      <c r="B154" s="70" t="n"/>
      <c r="C154" s="70" t="n"/>
      <c r="D154" s="70" t="n"/>
      <c r="E154" s="70" t="n"/>
      <c r="F154" s="70" t="n"/>
      <c r="G154" s="70" t="n"/>
      <c r="H154" s="70" t="n"/>
      <c r="I154" s="71" t="n"/>
    </row>
    <row r="155" ht="15" customHeight="1" s="151">
      <c r="A155" s="69" t="n"/>
      <c r="B155" s="70" t="n"/>
      <c r="C155" s="70" t="n"/>
      <c r="D155" s="70" t="n"/>
      <c r="E155" s="70" t="n"/>
      <c r="F155" s="70" t="n"/>
      <c r="G155" s="70" t="n"/>
      <c r="H155" s="70" t="n"/>
      <c r="I155" s="71" t="n"/>
    </row>
    <row r="156" ht="15" customHeight="1" s="151">
      <c r="A156" s="69" t="n"/>
      <c r="B156" s="70" t="n"/>
      <c r="C156" s="70" t="n"/>
      <c r="D156" s="70" t="n"/>
      <c r="E156" s="70" t="n"/>
      <c r="F156" s="70" t="n"/>
      <c r="G156" s="70" t="n"/>
      <c r="H156" s="70" t="n"/>
      <c r="I156" s="71" t="n"/>
    </row>
    <row r="157" ht="15" customHeight="1" s="151">
      <c r="A157" s="69" t="n"/>
      <c r="B157" s="70" t="n"/>
      <c r="C157" s="70" t="n"/>
      <c r="D157" s="70" t="n"/>
      <c r="E157" s="70" t="n"/>
      <c r="F157" s="70" t="n"/>
      <c r="G157" s="70" t="n"/>
      <c r="H157" s="70" t="n"/>
      <c r="I157" s="71" t="n"/>
    </row>
    <row r="158" ht="15" customHeight="1" s="151">
      <c r="A158" s="69" t="n"/>
      <c r="B158" s="70" t="n"/>
      <c r="C158" s="70" t="n"/>
      <c r="D158" s="70" t="n"/>
      <c r="E158" s="70" t="n"/>
      <c r="F158" s="70" t="n"/>
      <c r="G158" s="70" t="n"/>
      <c r="H158" s="70" t="n"/>
      <c r="I158" s="71" t="n"/>
    </row>
    <row r="159" ht="15" customHeight="1" s="151">
      <c r="A159" s="69" t="n"/>
      <c r="B159" s="70" t="n"/>
      <c r="C159" s="70" t="n"/>
      <c r="D159" s="70" t="n"/>
      <c r="E159" s="70" t="n"/>
      <c r="F159" s="70" t="n"/>
      <c r="G159" s="70" t="n"/>
      <c r="H159" s="70" t="n"/>
      <c r="I159" s="71" t="n"/>
    </row>
    <row r="160" ht="16" customHeight="1" s="151">
      <c r="A160" s="69" t="n"/>
      <c r="B160" s="70" t="n"/>
      <c r="C160" s="70" t="n"/>
      <c r="D160" s="70" t="n"/>
      <c r="E160" s="70" t="n"/>
      <c r="F160" s="70" t="n"/>
      <c r="G160" s="70" t="n"/>
      <c r="H160" s="70" t="n"/>
      <c r="I160" s="71" t="n"/>
    </row>
    <row r="161" ht="30.75" customHeight="1" s="151">
      <c r="A161" s="143" t="n"/>
      <c r="E161" s="144" t="n"/>
      <c r="I161" s="113"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I196" s="8" t="n"/>
    </row>
    <row r="197">
      <c r="A197" s="7" t="n"/>
      <c r="I197" s="8" t="n"/>
    </row>
    <row r="198">
      <c r="A198" s="7" t="n"/>
      <c r="I198" s="8" t="n"/>
    </row>
    <row r="199">
      <c r="A199" s="7" t="n"/>
      <c r="I199" s="8" t="n"/>
    </row>
    <row r="200">
      <c r="A200" s="7" t="n"/>
      <c r="I200" s="8" t="n"/>
    </row>
    <row r="201">
      <c r="A201" s="7" t="n"/>
      <c r="I201" s="8" t="n"/>
    </row>
    <row r="202">
      <c r="A202" s="7" t="n"/>
      <c r="I202" s="8" t="n"/>
    </row>
    <row r="203">
      <c r="A203" s="7" t="n"/>
      <c r="I203" s="8" t="n"/>
    </row>
    <row r="204">
      <c r="A204" s="7" t="n"/>
      <c r="I204" s="8" t="n"/>
    </row>
    <row r="205">
      <c r="A205" s="7" t="n"/>
      <c r="I205" s="8" t="n"/>
    </row>
    <row r="206">
      <c r="A206" s="7" t="n"/>
      <c r="I206" s="8" t="n"/>
    </row>
    <row r="207">
      <c r="A207" s="7" t="n"/>
      <c r="I207" s="8" t="n"/>
    </row>
    <row r="208">
      <c r="A208" s="7" t="n"/>
      <c r="I208" s="8" t="n"/>
    </row>
    <row r="209">
      <c r="A209" s="7" t="n"/>
      <c r="I209" s="8" t="n"/>
    </row>
    <row r="210">
      <c r="A210" s="7" t="n"/>
      <c r="I210" s="8" t="n"/>
    </row>
    <row r="211">
      <c r="A211" s="7" t="n"/>
      <c r="I211" s="8" t="n"/>
    </row>
    <row r="212">
      <c r="A212" s="7" t="n"/>
      <c r="I212" s="8" t="n"/>
    </row>
    <row r="213">
      <c r="A213" s="7" t="n"/>
      <c r="I213" s="8" t="n"/>
    </row>
    <row r="214">
      <c r="A214" s="7" t="n"/>
      <c r="I214" s="8" t="n"/>
    </row>
    <row r="215" ht="16" customHeight="1" s="151">
      <c r="A215" s="4" t="n"/>
      <c r="B215" s="5" t="n"/>
      <c r="C215" s="5" t="n"/>
      <c r="D215" s="5" t="n"/>
      <c r="E215" s="5" t="n"/>
      <c r="F215" s="5" t="n"/>
      <c r="G215" s="5" t="n"/>
      <c r="H215" s="5" t="n"/>
      <c r="I215" s="6" t="n"/>
    </row>
    <row r="216">
      <c r="A216" s="7" t="n"/>
      <c r="I216" s="8" t="n"/>
    </row>
    <row r="217">
      <c r="A217" s="7" t="n"/>
      <c r="I217" s="8" t="n"/>
    </row>
    <row r="218">
      <c r="A218" s="7" t="n"/>
      <c r="I218" s="8" t="n"/>
    </row>
    <row r="219">
      <c r="A219" s="7" t="n"/>
      <c r="I219" s="8" t="n"/>
    </row>
    <row r="220">
      <c r="A220" s="7" t="n"/>
      <c r="I220" s="8" t="n"/>
    </row>
    <row r="221">
      <c r="A221" s="7" t="n"/>
      <c r="I221" s="8" t="n"/>
    </row>
    <row r="222" ht="16" customHeight="1" s="151">
      <c r="A222" s="4" t="n"/>
      <c r="B222" s="5" t="n"/>
      <c r="C222" s="5" t="n"/>
      <c r="D222" s="5" t="n"/>
      <c r="E222" s="5" t="n"/>
      <c r="F222" s="5" t="n"/>
      <c r="G222" s="5" t="n"/>
      <c r="H222" s="5" t="n"/>
      <c r="I222" s="6" t="n"/>
    </row>
  </sheetData>
  <mergeCells count="40">
    <mergeCell ref="A65:I65"/>
    <mergeCell ref="D13:F13"/>
    <mergeCell ref="B62:C62"/>
    <mergeCell ref="A64:B64"/>
    <mergeCell ref="G13:I13"/>
    <mergeCell ref="A84:I84"/>
    <mergeCell ref="B8:D8"/>
    <mergeCell ref="A89:I89"/>
    <mergeCell ref="B72:I72"/>
    <mergeCell ref="D61:I61"/>
    <mergeCell ref="A12:I12"/>
    <mergeCell ref="A161:D161"/>
    <mergeCell ref="C81:I81"/>
    <mergeCell ref="A71:I71"/>
    <mergeCell ref="A85:I85"/>
    <mergeCell ref="C78:I78"/>
    <mergeCell ref="D62:I62"/>
    <mergeCell ref="A5:I5"/>
    <mergeCell ref="A67:I70"/>
    <mergeCell ref="E161:I161"/>
    <mergeCell ref="B61:C61"/>
    <mergeCell ref="B9:D9"/>
    <mergeCell ref="B6:D6"/>
    <mergeCell ref="D64:I64"/>
    <mergeCell ref="B73:I73"/>
    <mergeCell ref="C74:I74"/>
    <mergeCell ref="A13:C13"/>
    <mergeCell ref="A10:I10"/>
    <mergeCell ref="A1:I4"/>
    <mergeCell ref="C79:I79"/>
    <mergeCell ref="A77:I77"/>
    <mergeCell ref="A83:I83"/>
    <mergeCell ref="B7:D7"/>
    <mergeCell ref="A82:I82"/>
    <mergeCell ref="C75:I75"/>
    <mergeCell ref="D63:I63"/>
    <mergeCell ref="A11:I11"/>
    <mergeCell ref="C80:I80"/>
    <mergeCell ref="B76:I76"/>
    <mergeCell ref="B63:C63"/>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88" min="0" max="8" man="1"/>
  </rowBreaks>
</worksheet>
</file>

<file path=xl/worksheets/sheet13.xml><?xml version="1.0" encoding="utf-8"?>
<worksheet xmlns="http://schemas.openxmlformats.org/spreadsheetml/2006/main">
  <sheetPr>
    <outlinePr summaryBelow="1" summaryRight="1"/>
    <pageSetUpPr fitToPage="1"/>
  </sheetPr>
  <dimension ref="A1:J221"/>
  <sheetViews>
    <sheetView view="pageBreakPreview" topLeftCell="A19"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45916</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108</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20 degrees  Wind:  33km/h SSW Precip: 0.4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Khegan Brockman</t>
        </is>
      </c>
      <c r="H15" s="26" t="inlineStr">
        <is>
          <t>Labourer</t>
        </is>
      </c>
      <c r="I15" s="30" t="n">
        <v>0</v>
      </c>
    </row>
    <row r="16" ht="23.15" customHeight="1" s="151">
      <c r="A16" s="25" t="inlineStr">
        <is>
          <t>GRIFFITHS, Daniel</t>
        </is>
      </c>
      <c r="B16" s="26" t="inlineStr">
        <is>
          <t>Project Manager</t>
        </is>
      </c>
      <c r="C16" s="31" t="n">
        <v>12</v>
      </c>
      <c r="D16" s="29"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v>12</v>
      </c>
      <c r="D17" s="26" t="inlineStr">
        <is>
          <t>McGahon,Aideen</t>
        </is>
      </c>
      <c r="E17" s="26" t="inlineStr">
        <is>
          <t>Operator</t>
        </is>
      </c>
      <c r="F17" s="26" t="n">
        <v>12</v>
      </c>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v>11</v>
      </c>
    </row>
    <row r="19" ht="23.15" customHeight="1" s="151">
      <c r="A19" s="25" t="inlineStr">
        <is>
          <t>THOMPSON,Cheryl</t>
        </is>
      </c>
      <c r="B19" s="26" t="inlineStr">
        <is>
          <t>HSET</t>
        </is>
      </c>
      <c r="C19" s="31" t="n"/>
      <c r="D19" s="28" t="n"/>
      <c r="E19" s="28" t="n"/>
      <c r="F19" s="26" t="n"/>
      <c r="G19" s="29" t="inlineStr">
        <is>
          <t>Mullin, Connell</t>
        </is>
      </c>
      <c r="H19" s="26" t="inlineStr">
        <is>
          <t>Operator</t>
        </is>
      </c>
      <c r="I19" s="30" t="n">
        <v>12</v>
      </c>
    </row>
    <row r="20" ht="23.15" customHeight="1" s="151">
      <c r="A20" s="25" t="inlineStr">
        <is>
          <t>SKINNER,Jamie</t>
        </is>
      </c>
      <c r="B20" s="26" t="inlineStr">
        <is>
          <t>Supervisor</t>
        </is>
      </c>
      <c r="C20" s="31" t="n">
        <v>12</v>
      </c>
      <c r="D20" s="28" t="n"/>
      <c r="E20" s="28" t="n"/>
      <c r="F20" s="26" t="n"/>
      <c r="I20" s="30" t="n"/>
    </row>
    <row r="21" ht="23.15" customHeight="1" s="151">
      <c r="A21" s="99" t="inlineStr">
        <is>
          <t>TONER, Ultan</t>
        </is>
      </c>
      <c r="B21" s="26" t="inlineStr">
        <is>
          <t>Supervisor</t>
        </is>
      </c>
      <c r="C21" s="31" t="n">
        <v>12</v>
      </c>
      <c r="D21" s="28" t="n"/>
      <c r="E21" s="28" t="n"/>
      <c r="F21" s="26" t="n"/>
      <c r="G21" s="100" t="inlineStr">
        <is>
          <t>Herrings Gas</t>
        </is>
      </c>
      <c r="H21" s="26" t="n"/>
      <c r="I21" s="30" t="n"/>
    </row>
    <row r="22" ht="23.15" customHeight="1" s="151">
      <c r="A22" s="25" t="n"/>
      <c r="B22" s="26" t="n"/>
      <c r="C22" s="31" t="n"/>
      <c r="D22" s="28" t="n"/>
      <c r="E22" s="28" t="n"/>
      <c r="F22" s="26" t="n"/>
      <c r="G22" s="29" t="inlineStr">
        <is>
          <t>Herring, Chris</t>
        </is>
      </c>
      <c r="H22" s="26" t="inlineStr">
        <is>
          <t>Gas Fitter</t>
        </is>
      </c>
      <c r="I22" s="30" t="n">
        <v>5</v>
      </c>
    </row>
    <row r="23" ht="23.15" customHeight="1" s="151">
      <c r="A23" s="25" t="n"/>
      <c r="B23" s="26" t="n"/>
      <c r="C23" s="31" t="n"/>
      <c r="D23" s="28" t="n"/>
      <c r="E23" s="28" t="n"/>
      <c r="F23" s="26" t="n"/>
      <c r="G23" s="96" t="inlineStr">
        <is>
          <t>1x Labourer</t>
        </is>
      </c>
      <c r="H23" s="26" t="inlineStr">
        <is>
          <t>Gas Fitter</t>
        </is>
      </c>
      <c r="I23" s="30" t="n">
        <v>5</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100" t="inlineStr">
        <is>
          <t>Mid Coast Civil</t>
        </is>
      </c>
      <c r="H25" s="26" t="n"/>
      <c r="I25" s="30" t="n"/>
    </row>
    <row r="26" ht="23.15" customHeight="1" s="151">
      <c r="A26" s="25" t="n"/>
      <c r="B26" s="26" t="n"/>
      <c r="C26" s="31" t="n"/>
      <c r="D26" s="28" t="n"/>
      <c r="E26" s="28" t="n"/>
      <c r="F26" s="26" t="n"/>
      <c r="G26" s="29" t="inlineStr">
        <is>
          <t>Vermeer, Paul</t>
        </is>
      </c>
      <c r="H26" s="26" t="inlineStr">
        <is>
          <t>Labourer</t>
        </is>
      </c>
      <c r="I26" s="30" t="n">
        <v>10</v>
      </c>
    </row>
    <row r="27" ht="23.15" customHeight="1" s="151">
      <c r="A27" s="25" t="n"/>
      <c r="B27" s="26" t="n"/>
      <c r="C27" s="31" t="n"/>
      <c r="D27" s="28" t="n"/>
      <c r="E27" s="28" t="n"/>
      <c r="F27" s="26" t="n"/>
      <c r="G27" s="29" t="inlineStr">
        <is>
          <t>Patroni, Rodney</t>
        </is>
      </c>
      <c r="H27" s="26" t="inlineStr">
        <is>
          <t>Labourer</t>
        </is>
      </c>
      <c r="I27" s="30" t="n">
        <v>10</v>
      </c>
    </row>
    <row r="28" ht="23.15" customHeight="1" s="151">
      <c r="A28" s="25" t="n"/>
      <c r="B28" s="26" t="n"/>
      <c r="C28" s="31" t="n"/>
      <c r="D28" s="28" t="n"/>
      <c r="E28" s="28" t="n"/>
      <c r="F28" s="26" t="n"/>
      <c r="G28" s="29" t="n"/>
      <c r="H28" s="26" t="n"/>
      <c r="I28" s="30" t="n"/>
    </row>
    <row r="29" ht="23.15" customHeight="1" s="151">
      <c r="A29" s="25" t="n"/>
      <c r="B29" s="26" t="n"/>
      <c r="C29" s="31" t="n"/>
      <c r="D29" s="28" t="n"/>
      <c r="E29" s="28" t="n"/>
      <c r="F29" s="26" t="n"/>
      <c r="G29" s="100" t="inlineStr">
        <is>
          <t>Superstruct</t>
        </is>
      </c>
      <c r="H29" s="26" t="n"/>
      <c r="I29" s="30" t="n"/>
    </row>
    <row r="30" ht="23.15" customHeight="1" s="151">
      <c r="A30" s="25" t="n"/>
      <c r="B30" s="26" t="n"/>
      <c r="C30" s="31" t="n"/>
      <c r="D30" s="28" t="n"/>
      <c r="E30" s="28" t="n"/>
      <c r="F30" s="26" t="n"/>
      <c r="G30" s="101" t="inlineStr">
        <is>
          <t>Ferstat, Blair</t>
        </is>
      </c>
      <c r="H30" s="26" t="inlineStr">
        <is>
          <t>Labourer</t>
        </is>
      </c>
      <c r="I30" s="30" t="n">
        <v>10</v>
      </c>
    </row>
    <row r="31" ht="23.15" customHeight="1" s="151">
      <c r="A31" s="25" t="n"/>
      <c r="B31" s="26" t="n"/>
      <c r="C31" s="31" t="n"/>
      <c r="D31" s="28" t="n"/>
      <c r="E31" s="28" t="n"/>
      <c r="F31" s="26" t="n"/>
      <c r="G31" s="101" t="inlineStr">
        <is>
          <t>x3 Labourers</t>
        </is>
      </c>
      <c r="H31" s="26" t="inlineStr">
        <is>
          <t>Labourer</t>
        </is>
      </c>
      <c r="I31" s="30" t="n">
        <v>30</v>
      </c>
    </row>
    <row r="32" ht="23.15" customHeight="1" s="151">
      <c r="A32" s="25" t="n"/>
      <c r="B32" s="26" t="n"/>
      <c r="C32" s="31" t="n"/>
      <c r="D32" s="28" t="n"/>
      <c r="E32" s="28" t="n"/>
      <c r="F32" s="26" t="n"/>
      <c r="G32" s="104" t="n"/>
      <c r="H32" s="77" t="n"/>
      <c r="I32" s="105" t="n"/>
    </row>
    <row r="33" ht="23.15" customHeight="1" s="151">
      <c r="A33" s="25" t="n"/>
      <c r="B33" s="26" t="n"/>
      <c r="C33" s="31" t="n"/>
      <c r="D33" s="28" t="n"/>
      <c r="E33" s="28" t="n"/>
      <c r="F33" s="26" t="n"/>
      <c r="G33" s="95" t="inlineStr">
        <is>
          <t>Oaks Civil</t>
        </is>
      </c>
      <c r="H33" s="26" t="n"/>
      <c r="I33" s="103" t="n"/>
    </row>
    <row r="34" ht="23.15" customHeight="1" s="151">
      <c r="A34" s="25" t="n"/>
      <c r="B34" s="26" t="n"/>
      <c r="C34" s="31" t="n"/>
      <c r="D34" s="28" t="n"/>
      <c r="E34" s="28" t="n"/>
      <c r="F34" s="26" t="n"/>
      <c r="G34" s="96" t="inlineStr">
        <is>
          <t>Traffic Controllers x5</t>
        </is>
      </c>
      <c r="H34" s="97" t="inlineStr">
        <is>
          <t>Traffic Controller</t>
        </is>
      </c>
      <c r="I34" s="103">
        <f>5*12.5</f>
        <v/>
      </c>
    </row>
    <row r="35" ht="23.15" customHeight="1" s="151">
      <c r="A35" s="25" t="n"/>
      <c r="B35" s="26" t="n"/>
      <c r="C35" s="31" t="n"/>
      <c r="D35" s="28" t="n"/>
      <c r="E35" s="28" t="n"/>
      <c r="F35" s="26" t="n"/>
      <c r="G35" s="29" t="n"/>
      <c r="H35" s="26" t="n"/>
      <c r="I35" s="103" t="n"/>
    </row>
    <row r="36" ht="23.15" customHeight="1" s="151">
      <c r="A36" s="25" t="n"/>
      <c r="B36" s="26" t="n"/>
      <c r="C36" s="31" t="n"/>
      <c r="D36" s="28" t="n"/>
      <c r="E36" s="28" t="n"/>
      <c r="F36" s="26" t="n"/>
      <c r="G36" s="77" t="n"/>
      <c r="H36" s="77" t="n"/>
      <c r="I36" s="36" t="n"/>
    </row>
    <row r="37" ht="23.15" customHeight="1" s="151">
      <c r="A37" s="131" t="inlineStr">
        <is>
          <t xml:space="preserve">Total Indirect Personnel onsite: </t>
        </is>
      </c>
      <c r="B37" s="34">
        <f>COUNT(C15:C37)</f>
        <v/>
      </c>
      <c r="C37" s="28" t="n"/>
      <c r="D37" s="28" t="n"/>
      <c r="E37" s="28" t="n"/>
      <c r="F37" s="26" t="n"/>
      <c r="G37" s="78" t="n"/>
      <c r="H37" s="77" t="n"/>
      <c r="I37" s="30" t="n"/>
    </row>
    <row r="38" ht="23.15" customHeight="1" s="151">
      <c r="A38" s="131" t="inlineStr">
        <is>
          <t xml:space="preserve">Total Indirect Personnel hours: </t>
        </is>
      </c>
      <c r="B38" s="34">
        <f>SUM(C15:C31)</f>
        <v/>
      </c>
      <c r="C38" s="31" t="n"/>
      <c r="D38" s="28" t="n"/>
      <c r="E38" s="28" t="n"/>
      <c r="F38" s="26" t="n"/>
      <c r="G38" s="35" t="inlineStr">
        <is>
          <t>Total Subcontractor on-site:</t>
        </is>
      </c>
      <c r="H38" s="36">
        <f>COUNT(I14:I36)+8+4</f>
        <v/>
      </c>
      <c r="I38" s="30" t="n"/>
    </row>
    <row r="39" ht="23.15" customHeight="1" s="151">
      <c r="A39" s="131" t="inlineStr">
        <is>
          <t xml:space="preserve">Total Direct Personnel onsite:  </t>
        </is>
      </c>
      <c r="B39" s="34">
        <f>COUNTIF(F15:F40,"&gt;0")</f>
        <v/>
      </c>
      <c r="C39" s="34" t="n"/>
      <c r="D39" s="28" t="n"/>
      <c r="E39" s="28" t="n"/>
      <c r="F39" s="37" t="n"/>
      <c r="G39" s="35" t="inlineStr">
        <is>
          <t>Total Subcontractor hours:</t>
        </is>
      </c>
      <c r="H39" s="36">
        <f>SUM(I11:I36)</f>
        <v/>
      </c>
      <c r="I39" s="130" t="n"/>
    </row>
    <row r="40" ht="23.15" customHeight="1" s="151">
      <c r="A40" s="131" t="inlineStr">
        <is>
          <t xml:space="preserve">Total Direct Personnel hours: </t>
        </is>
      </c>
      <c r="B40" s="34">
        <f>SUM(F15:F40)</f>
        <v/>
      </c>
      <c r="C40" s="34" t="n"/>
      <c r="D40" s="34" t="n"/>
      <c r="E40" s="34" t="n"/>
      <c r="F40" s="34" t="n"/>
      <c r="G40" s="34" t="n"/>
      <c r="H40" s="34" t="n"/>
      <c r="I40" s="130" t="n"/>
    </row>
    <row r="41" ht="25" customHeight="1" s="151">
      <c r="A41" s="39" t="inlineStr">
        <is>
          <t>PLANT &amp; EQUIPMENT</t>
        </is>
      </c>
      <c r="B41" s="40" t="n"/>
      <c r="C41" s="40" t="n"/>
      <c r="D41" s="40" t="n"/>
      <c r="E41" s="40" t="n"/>
      <c r="F41" s="40" t="n"/>
      <c r="G41" s="40" t="n"/>
      <c r="H41" s="40" t="n"/>
      <c r="I41" s="41" t="n"/>
    </row>
    <row r="42" ht="24" customHeight="1" s="151">
      <c r="A42" s="126" t="inlineStr">
        <is>
          <t>Plant</t>
        </is>
      </c>
      <c r="B42" s="127" t="inlineStr">
        <is>
          <t>ID</t>
        </is>
      </c>
      <c r="C42" s="127" t="inlineStr">
        <is>
          <t>Hours</t>
        </is>
      </c>
      <c r="D42" s="127" t="inlineStr">
        <is>
          <t xml:space="preserve"> Vehicles</t>
        </is>
      </c>
      <c r="E42" s="127" t="inlineStr">
        <is>
          <t>ID</t>
        </is>
      </c>
      <c r="F42" s="127" t="inlineStr">
        <is>
          <t>QTY</t>
        </is>
      </c>
      <c r="G42" s="42" t="inlineStr">
        <is>
          <t>Site Facilities</t>
        </is>
      </c>
      <c r="H42" s="42" t="inlineStr">
        <is>
          <t>ID</t>
        </is>
      </c>
      <c r="I42" s="43" t="inlineStr">
        <is>
          <t>Qty</t>
        </is>
      </c>
    </row>
    <row r="43" ht="23.15" customHeight="1" s="151">
      <c r="A43" s="25" t="inlineStr">
        <is>
          <t>Komatsu WA320</t>
        </is>
      </c>
      <c r="B43" s="26" t="inlineStr">
        <is>
          <t>FWL18</t>
        </is>
      </c>
      <c r="C43" s="26" t="n">
        <v>2</v>
      </c>
      <c r="D43" s="31" t="inlineStr">
        <is>
          <t>Hilux</t>
        </is>
      </c>
      <c r="E43" s="31" t="inlineStr">
        <is>
          <t>DLV90</t>
        </is>
      </c>
      <c r="F43" s="31" t="n">
        <v>1</v>
      </c>
      <c r="G43" s="31" t="inlineStr">
        <is>
          <t>Office 40ft</t>
        </is>
      </c>
      <c r="H43" s="31" t="n">
        <v>9255540</v>
      </c>
      <c r="I43" s="30" t="n">
        <v>1</v>
      </c>
    </row>
    <row r="44" ht="23.15" customHeight="1" s="151">
      <c r="A44" s="25" t="inlineStr">
        <is>
          <t>Wacker Neuson DPU</t>
        </is>
      </c>
      <c r="B44" s="26" t="inlineStr">
        <is>
          <t>DPC15</t>
        </is>
      </c>
      <c r="C44" s="26" t="n">
        <v>6</v>
      </c>
      <c r="D44" s="31" t="inlineStr">
        <is>
          <t>Hilux</t>
        </is>
      </c>
      <c r="E44" s="31" t="inlineStr">
        <is>
          <t>1DLV04</t>
        </is>
      </c>
      <c r="F44" s="31" t="n">
        <v>1</v>
      </c>
      <c r="G44" s="31" t="inlineStr">
        <is>
          <t>Sea Container 20ft</t>
        </is>
      </c>
      <c r="H44" s="26" t="n">
        <v>951200</v>
      </c>
      <c r="I44" s="30" t="n">
        <v>1</v>
      </c>
    </row>
    <row r="45" ht="23.15" customHeight="1" s="151">
      <c r="A45" s="44" t="inlineStr">
        <is>
          <t>Watercart</t>
        </is>
      </c>
      <c r="B45" s="31" t="inlineStr">
        <is>
          <t>WC04</t>
        </is>
      </c>
      <c r="C45" s="26" t="n">
        <v>5</v>
      </c>
      <c r="D45" s="31" t="n"/>
      <c r="E45" s="26" t="n"/>
      <c r="F45" s="31" t="n"/>
      <c r="G45" s="31" t="inlineStr">
        <is>
          <t>Site Sentry Tower</t>
        </is>
      </c>
      <c r="H45" s="31" t="n"/>
      <c r="I45" s="30" t="n">
        <v>2</v>
      </c>
    </row>
    <row r="46" ht="23.15" customHeight="1" s="151">
      <c r="A46" s="44" t="inlineStr">
        <is>
          <t>8T Excavator</t>
        </is>
      </c>
      <c r="B46" s="45" t="inlineStr">
        <is>
          <t>AMG 014</t>
        </is>
      </c>
      <c r="C46" s="26" t="n"/>
      <c r="D46" s="31" t="n"/>
      <c r="E46" s="31" t="n"/>
      <c r="F46" s="31" t="n"/>
      <c r="G46" s="31" t="inlineStr">
        <is>
          <t>Skip Bin</t>
        </is>
      </c>
      <c r="H46" s="31" t="n"/>
      <c r="I46" s="30" t="n">
        <v>1</v>
      </c>
    </row>
    <row r="47" ht="23.15" customHeight="1" s="151">
      <c r="A47" s="31" t="inlineStr">
        <is>
          <t>Mini Tipper</t>
        </is>
      </c>
      <c r="B47" s="31" t="inlineStr">
        <is>
          <t>SLS05</t>
        </is>
      </c>
      <c r="C47" s="31" t="n">
        <v>8</v>
      </c>
      <c r="D47" s="31" t="n"/>
      <c r="E47" s="31" t="n"/>
      <c r="F47" s="31" t="n"/>
      <c r="G47" s="31" t="inlineStr">
        <is>
          <t>Hydrocarbon Bund</t>
        </is>
      </c>
      <c r="H47" s="31" t="n"/>
      <c r="I47" s="30" t="n">
        <v>1</v>
      </c>
    </row>
    <row r="48" ht="23.15" customHeight="1" s="151">
      <c r="A48" s="76" t="inlineStr">
        <is>
          <t>1 t Excavator</t>
        </is>
      </c>
      <c r="B48" s="31" t="inlineStr">
        <is>
          <t>SLS03</t>
        </is>
      </c>
      <c r="C48" s="31" t="n">
        <v>6</v>
      </c>
      <c r="D48" s="31" t="n"/>
      <c r="E48" s="31" t="n"/>
      <c r="F48" s="31" t="n"/>
      <c r="G48" s="31" t="inlineStr">
        <is>
          <t>Temp Fence</t>
        </is>
      </c>
      <c r="H48" s="26" t="n"/>
      <c r="I48" s="30" t="n">
        <v>1</v>
      </c>
    </row>
    <row r="49" ht="24" customHeight="1" s="151">
      <c r="A49" s="76" t="inlineStr">
        <is>
          <t>14t Excavator with GPS</t>
        </is>
      </c>
      <c r="B49" s="31" t="inlineStr">
        <is>
          <t>EX153</t>
        </is>
      </c>
      <c r="C49" s="31" t="n">
        <v>8</v>
      </c>
      <c r="D49" s="31" t="n"/>
      <c r="E49" s="31" t="n"/>
      <c r="F49" s="31" t="n"/>
      <c r="G49" s="2" t="n"/>
      <c r="H49" s="2" t="n"/>
      <c r="I49" s="3" t="n"/>
    </row>
    <row r="50" ht="24" customHeight="1" s="151">
      <c r="A50" s="76" t="inlineStr">
        <is>
          <t>5t Excavator</t>
        </is>
      </c>
      <c r="B50" s="31" t="inlineStr">
        <is>
          <t>A118</t>
        </is>
      </c>
      <c r="C50" s="31" t="n">
        <v>5</v>
      </c>
      <c r="D50" s="31" t="n"/>
      <c r="E50" s="31" t="n"/>
      <c r="F50" s="31" t="n"/>
      <c r="G50" s="2" t="n"/>
      <c r="H50" s="2" t="n"/>
      <c r="I50" s="3" t="n"/>
    </row>
    <row r="51" ht="24" customHeight="1" s="151">
      <c r="A51" s="44" t="inlineStr">
        <is>
          <t>Padfoot/ Smooth Drum Roller</t>
        </is>
      </c>
      <c r="B51" s="31" t="inlineStr">
        <is>
          <t>RR 03</t>
        </is>
      </c>
      <c r="C51" s="26" t="n">
        <v>3</v>
      </c>
      <c r="D51" s="31" t="n"/>
      <c r="E51" s="31" t="n"/>
      <c r="F51" s="31" t="n"/>
      <c r="G51" s="2" t="n"/>
      <c r="H51" s="2" t="n"/>
      <c r="I51" s="3" t="n"/>
    </row>
    <row r="52" ht="24" customHeight="1" s="151">
      <c r="A52" s="44" t="inlineStr">
        <is>
          <t>Multi Roller</t>
        </is>
      </c>
      <c r="B52" s="31" t="n">
        <v>256</v>
      </c>
      <c r="C52" s="26" t="n">
        <v>3</v>
      </c>
      <c r="D52" s="31" t="n"/>
      <c r="E52" s="31" t="n"/>
      <c r="F52" s="31" t="n"/>
      <c r="G52" s="2" t="n"/>
      <c r="H52" s="2" t="n"/>
      <c r="I52" s="3" t="n"/>
    </row>
    <row r="53" ht="24" customHeight="1" s="151">
      <c r="A53" s="44" t="inlineStr">
        <is>
          <t>Positrak SSL</t>
        </is>
      </c>
      <c r="B53" s="31" t="inlineStr">
        <is>
          <t>SSL08</t>
        </is>
      </c>
      <c r="C53" s="26" t="n">
        <v>5</v>
      </c>
      <c r="D53" s="31" t="n"/>
      <c r="E53" s="31" t="n"/>
      <c r="F53" s="31" t="n"/>
      <c r="G53" s="2" t="n"/>
      <c r="H53" s="2" t="n"/>
      <c r="I53" s="3" t="n"/>
    </row>
    <row r="54" ht="24" customHeight="1" s="151">
      <c r="A54" s="44" t="inlineStr">
        <is>
          <t>6 Wheel Tipper</t>
        </is>
      </c>
      <c r="B54" s="31" t="inlineStr">
        <is>
          <t>T091</t>
        </is>
      </c>
      <c r="C54" s="26" t="n">
        <v>5</v>
      </c>
      <c r="D54" s="31" t="n"/>
      <c r="E54" s="31" t="n"/>
      <c r="F54" s="31" t="n"/>
      <c r="G54" s="2" t="n"/>
      <c r="H54" s="2" t="n"/>
      <c r="I54" s="3" t="n"/>
    </row>
    <row r="55" ht="24" customHeight="1" s="151">
      <c r="A55" s="44" t="inlineStr">
        <is>
          <t>Grader</t>
        </is>
      </c>
      <c r="B55" s="31" t="inlineStr">
        <is>
          <t>SLS01</t>
        </is>
      </c>
      <c r="C55" s="26" t="n"/>
      <c r="D55" s="31" t="n"/>
      <c r="E55" s="31" t="n"/>
      <c r="F55" s="31" t="n"/>
      <c r="G55" s="2" t="n"/>
      <c r="H55" s="2" t="n"/>
      <c r="I55" s="3" t="n"/>
    </row>
    <row r="56" ht="24" customHeight="1" s="151">
      <c r="A56" s="44" t="n"/>
      <c r="B56" s="31" t="n"/>
      <c r="C56" s="26" t="n"/>
      <c r="D56" s="2" t="n"/>
      <c r="E56" s="2" t="n"/>
      <c r="F56" s="2" t="n"/>
      <c r="G56" s="2" t="n"/>
      <c r="H56" s="2" t="n"/>
      <c r="I56" s="3" t="n"/>
    </row>
    <row r="57" ht="18" customHeight="1" s="151">
      <c r="A57" s="46" t="n">
        <v>0</v>
      </c>
      <c r="B57" s="128" t="inlineStr">
        <is>
          <t xml:space="preserve">Repairs Required </t>
        </is>
      </c>
      <c r="C57" s="118" t="n"/>
      <c r="D57" s="129" t="inlineStr">
        <is>
          <t>N/A</t>
        </is>
      </c>
      <c r="E57" s="159" t="n"/>
      <c r="F57" s="159" t="n"/>
      <c r="G57" s="159" t="n"/>
      <c r="H57" s="159" t="n"/>
      <c r="I57" s="160" t="n"/>
    </row>
    <row r="58" ht="18" customHeight="1" s="151">
      <c r="A58" s="47" t="n">
        <v>1</v>
      </c>
      <c r="B58" s="128" t="inlineStr">
        <is>
          <t>Scheduled Service</t>
        </is>
      </c>
      <c r="C58" s="118" t="n"/>
      <c r="D58" s="156" t="inlineStr">
        <is>
          <t>Smooth Drum Roller</t>
        </is>
      </c>
      <c r="E58" s="159" t="n"/>
      <c r="F58" s="159" t="n"/>
      <c r="G58" s="159" t="n"/>
      <c r="H58" s="159" t="n"/>
      <c r="I58" s="160" t="n"/>
    </row>
    <row r="59" ht="18" customHeight="1" s="151">
      <c r="A59" s="48" t="n">
        <v>0</v>
      </c>
      <c r="B59" s="128" t="n"/>
      <c r="C59" s="118" t="n"/>
      <c r="D59" s="129" t="inlineStr">
        <is>
          <t>N/A</t>
        </is>
      </c>
      <c r="E59" s="159" t="n"/>
      <c r="F59" s="159" t="n"/>
      <c r="G59" s="159" t="n"/>
      <c r="H59" s="159" t="n"/>
      <c r="I59" s="160" t="n"/>
    </row>
    <row r="60" ht="23.15" customHeight="1" s="151">
      <c r="A60" s="131" t="inlineStr">
        <is>
          <t xml:space="preserve">Total Plant and Equipment Hours: </t>
        </is>
      </c>
      <c r="B60" s="118" t="n"/>
      <c r="C60" s="49">
        <f>SUM(C43:C56)</f>
        <v/>
      </c>
      <c r="D60" s="132" t="n"/>
      <c r="E60" s="159" t="n"/>
      <c r="F60" s="159" t="n"/>
      <c r="G60" s="159" t="n"/>
      <c r="H60" s="159" t="n"/>
      <c r="I60" s="160" t="n"/>
    </row>
    <row r="61" ht="25" customHeight="1" s="151">
      <c r="A61" s="120" t="inlineStr">
        <is>
          <t>DELAYS-OPPORTUNITY</t>
        </is>
      </c>
      <c r="B61" s="159" t="n"/>
      <c r="C61" s="159" t="n"/>
      <c r="D61" s="159" t="n"/>
      <c r="E61" s="159" t="n"/>
      <c r="F61" s="159" t="n"/>
      <c r="G61" s="159" t="n"/>
      <c r="H61" s="159" t="n"/>
      <c r="I61" s="160" t="n"/>
    </row>
    <row r="62" ht="20.15" customHeight="1" s="151">
      <c r="A62" s="50" t="n"/>
      <c r="B62" s="51" t="n"/>
      <c r="C62" s="51" t="n"/>
      <c r="D62" s="51" t="n"/>
      <c r="E62" s="51" t="n"/>
      <c r="F62" s="51" t="n"/>
      <c r="G62" s="51" t="n"/>
      <c r="H62" s="51" t="n"/>
      <c r="I62" s="52" t="n"/>
    </row>
    <row r="63" ht="15" customHeight="1" s="151" thickBot="1">
      <c r="A63" s="155" t="inlineStr">
        <is>
          <t xml:space="preserve">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
Noted Additional Material needed to be removed beneath the pavers
Confirmed alignment shift of south eastern tie in to flush kerb alignment </t>
        </is>
      </c>
      <c r="B63" s="124" t="n"/>
      <c r="C63" s="124" t="n"/>
      <c r="D63" s="124" t="n"/>
      <c r="E63" s="124" t="n"/>
      <c r="F63" s="124" t="n"/>
      <c r="G63" s="124" t="n"/>
      <c r="H63" s="124" t="n"/>
      <c r="I63" s="125" t="n"/>
    </row>
    <row r="64">
      <c r="A64" s="111" t="n"/>
      <c r="I64" s="113" t="n"/>
    </row>
    <row r="65" ht="49.5" customHeight="1" s="151">
      <c r="A65" s="111" t="n"/>
      <c r="I65" s="113" t="n"/>
    </row>
    <row r="66" ht="107.5" customHeight="1" s="151" thickBot="1">
      <c r="A66" s="134" t="n"/>
      <c r="B66" s="135" t="n"/>
      <c r="C66" s="135" t="n"/>
      <c r="D66" s="135" t="n"/>
      <c r="E66" s="135" t="n"/>
      <c r="F66" s="135" t="n"/>
      <c r="G66" s="135" t="n"/>
      <c r="H66" s="135" t="n"/>
      <c r="I66" s="136" t="n"/>
    </row>
    <row r="67" ht="25" customHeight="1" s="151">
      <c r="A67" s="137" t="inlineStr">
        <is>
          <t>HSEQ MESSAGES</t>
        </is>
      </c>
      <c r="B67" s="138" t="n"/>
      <c r="C67" s="138" t="n"/>
      <c r="D67" s="138" t="n"/>
      <c r="E67" s="138" t="n"/>
      <c r="F67" s="138" t="n"/>
      <c r="G67" s="138" t="n"/>
      <c r="H67" s="138" t="n"/>
      <c r="I67" s="139" t="n"/>
    </row>
    <row r="68" ht="18" customHeight="1" s="151">
      <c r="A68" s="53" t="inlineStr">
        <is>
          <t>TCD - Monthly Safety Focus:</t>
        </is>
      </c>
      <c r="B68" s="140" t="inlineStr">
        <is>
          <t>Underground Services</t>
        </is>
      </c>
      <c r="C68" s="159" t="n"/>
      <c r="D68" s="159" t="n"/>
      <c r="E68" s="159" t="n"/>
      <c r="F68" s="159" t="n"/>
      <c r="G68" s="159" t="n"/>
      <c r="H68" s="159" t="n"/>
      <c r="I68" s="118" t="n"/>
    </row>
    <row r="69" ht="24" customHeight="1" s="151">
      <c r="A69" s="53" t="inlineStr">
        <is>
          <t>TCD - Daily Safety Focus:</t>
        </is>
      </c>
      <c r="B69" s="141" t="inlineStr">
        <is>
          <t>Shut Down Area, Positive Comms and Keep Clear of Machinery</t>
        </is>
      </c>
      <c r="C69" s="159" t="n"/>
      <c r="D69" s="159" t="n"/>
      <c r="E69" s="159" t="n"/>
      <c r="F69" s="159" t="n"/>
      <c r="G69" s="159" t="n"/>
      <c r="H69" s="159" t="n"/>
      <c r="I69" s="160" t="n"/>
    </row>
    <row r="70" ht="18" customHeight="1" s="151">
      <c r="A70" s="54" t="inlineStr">
        <is>
          <t xml:space="preserve">Hazards Reported: </t>
        </is>
      </c>
      <c r="B70" s="55" t="inlineStr">
        <is>
          <t>Nil</t>
        </is>
      </c>
      <c r="C70" s="141" t="n"/>
      <c r="D70" s="159" t="n"/>
      <c r="E70" s="159" t="n"/>
      <c r="F70" s="159" t="n"/>
      <c r="G70" s="159" t="n"/>
      <c r="H70" s="159" t="n"/>
      <c r="I70" s="160" t="n"/>
    </row>
    <row r="71" ht="18" customHeight="1" s="151">
      <c r="A71" s="54" t="inlineStr">
        <is>
          <t>Incident Free Days</t>
        </is>
      </c>
      <c r="B71" s="55" t="n">
        <v>21</v>
      </c>
      <c r="C71" s="140" t="n"/>
      <c r="D71" s="159" t="n"/>
      <c r="E71" s="159" t="n"/>
      <c r="F71" s="159" t="n"/>
      <c r="G71" s="159" t="n"/>
      <c r="H71" s="159" t="n"/>
      <c r="I71" s="118" t="n"/>
    </row>
    <row r="72" ht="18" customHeight="1" s="151">
      <c r="A72" s="56" t="inlineStr">
        <is>
          <t>Other Notes</t>
        </is>
      </c>
      <c r="B72" s="142" t="n"/>
      <c r="C72" s="124" t="n"/>
      <c r="D72" s="124" t="n"/>
      <c r="E72" s="124" t="n"/>
      <c r="F72" s="124" t="n"/>
      <c r="G72" s="124" t="n"/>
      <c r="H72" s="124" t="n"/>
      <c r="I72" s="125" t="n"/>
    </row>
    <row r="73" ht="20.25" customHeight="1" s="151">
      <c r="A73" s="120" t="inlineStr">
        <is>
          <t xml:space="preserve">INCIDENTS &amp; REPORTS </t>
        </is>
      </c>
      <c r="B73" s="159" t="n"/>
      <c r="C73" s="159" t="n"/>
      <c r="D73" s="159" t="n"/>
      <c r="E73" s="159" t="n"/>
      <c r="F73" s="159" t="n"/>
      <c r="G73" s="159" t="n"/>
      <c r="H73" s="159" t="n"/>
      <c r="I73" s="160" t="n"/>
    </row>
    <row r="74" ht="25" customHeight="1" s="151">
      <c r="A74" s="57" t="n"/>
      <c r="B74" s="127" t="inlineStr">
        <is>
          <t>QTY</t>
        </is>
      </c>
      <c r="C74" s="130" t="inlineStr">
        <is>
          <t>Comments</t>
        </is>
      </c>
      <c r="D74" s="159" t="n"/>
      <c r="E74" s="159" t="n"/>
      <c r="F74" s="159" t="n"/>
      <c r="G74" s="159" t="n"/>
      <c r="H74" s="159" t="n"/>
      <c r="I74" s="160" t="n"/>
    </row>
    <row r="75" ht="25" customHeight="1" s="151">
      <c r="A75" s="58" t="inlineStr">
        <is>
          <t>INCIDENT</t>
        </is>
      </c>
      <c r="B75" s="127" t="n">
        <v>0</v>
      </c>
      <c r="C75" s="129" t="inlineStr">
        <is>
          <t>NA</t>
        </is>
      </c>
      <c r="D75" s="159" t="n"/>
      <c r="E75" s="159" t="n"/>
      <c r="F75" s="159" t="n"/>
      <c r="G75" s="159" t="n"/>
      <c r="H75" s="159" t="n"/>
      <c r="I75" s="160" t="n"/>
    </row>
    <row r="76" ht="25" customHeight="1" s="151">
      <c r="A76" s="59" t="inlineStr">
        <is>
          <t>IR</t>
        </is>
      </c>
      <c r="B76" s="60" t="n">
        <v>0</v>
      </c>
      <c r="C76" s="145" t="inlineStr">
        <is>
          <t>NA</t>
        </is>
      </c>
      <c r="D76" s="124" t="n"/>
      <c r="E76" s="124" t="n"/>
      <c r="F76" s="124" t="n"/>
      <c r="G76" s="124" t="n"/>
      <c r="H76" s="124" t="n"/>
      <c r="I76" s="125" t="n"/>
    </row>
    <row r="77" ht="25" customHeight="1" s="151" thickBot="1">
      <c r="A77" s="61" t="inlineStr">
        <is>
          <t>NCR</t>
        </is>
      </c>
      <c r="B77" s="62" t="n">
        <v>0</v>
      </c>
      <c r="C77" s="146" t="inlineStr">
        <is>
          <t>NA</t>
        </is>
      </c>
      <c r="D77" s="147" t="n"/>
      <c r="E77" s="147" t="n"/>
      <c r="F77" s="147" t="n"/>
      <c r="G77" s="147" t="n"/>
      <c r="H77" s="147" t="n"/>
      <c r="I77" s="148" t="n"/>
    </row>
    <row r="78" ht="20.25" customHeight="1" s="151">
      <c r="A78" s="137" t="inlineStr">
        <is>
          <t>COMMUNICATIONS</t>
        </is>
      </c>
      <c r="B78" s="138" t="n"/>
      <c r="C78" s="138" t="n"/>
      <c r="D78" s="138" t="n"/>
      <c r="E78" s="138" t="n"/>
      <c r="F78" s="138" t="n"/>
      <c r="G78" s="138" t="n"/>
      <c r="H78" s="138" t="n"/>
      <c r="I78" s="139" t="n"/>
    </row>
    <row r="79" ht="25" customHeight="1" s="151">
      <c r="A79" s="149" t="inlineStr">
        <is>
          <t>TGS MB1119-05 Scheme D implemented</t>
        </is>
      </c>
      <c r="B79" s="159" t="n"/>
      <c r="C79" s="159" t="n"/>
      <c r="D79" s="159" t="n"/>
      <c r="E79" s="159" t="n"/>
      <c r="F79" s="159" t="n"/>
      <c r="G79" s="159" t="n"/>
      <c r="H79" s="159" t="n"/>
      <c r="I79" s="160" t="n"/>
    </row>
    <row r="80" ht="25" customHeight="1" s="151">
      <c r="A80" s="149" t="inlineStr">
        <is>
          <t xml:space="preserve">TGS MB1119-07A implemented </t>
        </is>
      </c>
      <c r="B80" s="159" t="n"/>
      <c r="C80" s="159" t="n"/>
      <c r="D80" s="159" t="n"/>
      <c r="E80" s="159" t="n"/>
      <c r="F80" s="159" t="n"/>
      <c r="G80" s="159" t="n"/>
      <c r="H80" s="159" t="n"/>
      <c r="I80" s="160" t="n"/>
    </row>
    <row r="81" ht="25" customHeight="1" s="151">
      <c r="A81" s="120" t="inlineStr">
        <is>
          <t>PRODUCTION (CONSTRUCTION STATUS &amp; PROGRESS)</t>
        </is>
      </c>
      <c r="B81" s="159" t="n"/>
      <c r="C81" s="159" t="n"/>
      <c r="D81" s="159" t="n"/>
      <c r="E81" s="159" t="n"/>
      <c r="F81" s="159" t="n"/>
      <c r="G81" s="159" t="n"/>
      <c r="H81" s="159" t="n"/>
      <c r="I81" s="160" t="n"/>
    </row>
    <row r="82" ht="25" customHeight="1" s="151">
      <c r="A82" s="98" t="inlineStr">
        <is>
          <t>Ongoing Demolition Works in Foreshore Drive Shut Down</t>
        </is>
      </c>
      <c r="B82" s="64" t="n"/>
      <c r="C82" s="9" t="n"/>
      <c r="D82" s="9" t="n"/>
      <c r="E82" s="9" t="n"/>
      <c r="F82" s="64" t="n"/>
      <c r="G82" s="9" t="n"/>
      <c r="H82" s="64" t="n"/>
      <c r="I82" s="65" t="n"/>
    </row>
    <row r="83" ht="25" customHeight="1" s="151">
      <c r="A83" s="98" t="inlineStr">
        <is>
          <t>Basecourse Top up and Roll</t>
        </is>
      </c>
      <c r="B83" s="64" t="n"/>
      <c r="C83" s="9" t="n"/>
      <c r="D83" s="9" t="n"/>
      <c r="E83" s="64" t="n"/>
      <c r="F83" s="64" t="n"/>
      <c r="G83" s="9" t="n"/>
      <c r="H83" s="64" t="n"/>
      <c r="I83" s="65" t="n"/>
    </row>
    <row r="84" ht="25" customHeight="1" s="151">
      <c r="A84" s="98" t="inlineStr">
        <is>
          <t>Commenced Trimming of basecourse</t>
        </is>
      </c>
      <c r="B84" s="64" t="n"/>
      <c r="C84" s="9" t="n"/>
      <c r="D84" s="9" t="n"/>
      <c r="E84" s="64" t="n"/>
      <c r="F84" s="64" t="n"/>
      <c r="G84" s="9" t="n"/>
      <c r="H84" s="64" t="n"/>
      <c r="I84" s="65" t="n"/>
    </row>
    <row r="85" ht="25" customHeight="1" s="151">
      <c r="A85" s="98" t="inlineStr">
        <is>
          <t>Pressure Testing Compelted</t>
        </is>
      </c>
      <c r="B85" s="64" t="n"/>
      <c r="C85" s="9" t="n"/>
      <c r="D85" s="9" t="n"/>
      <c r="E85" s="64" t="n"/>
      <c r="F85" s="64" t="n"/>
      <c r="G85" s="9" t="n"/>
      <c r="H85" s="64" t="n"/>
      <c r="I85" s="65" t="n"/>
    </row>
    <row r="86" ht="25" customHeight="1" s="151">
      <c r="A86" s="98" t="inlineStr">
        <is>
          <t>Connected Irrigation Mainline</t>
        </is>
      </c>
      <c r="B86" s="64" t="n"/>
      <c r="C86" s="9" t="n"/>
      <c r="D86" s="9" t="n"/>
      <c r="E86" s="64" t="n"/>
      <c r="F86" s="64" t="n"/>
      <c r="G86" s="9" t="n"/>
      <c r="H86" s="64" t="n"/>
      <c r="I86" s="65" t="n"/>
    </row>
    <row r="87" ht="25" customHeight="1" s="151">
      <c r="A87" s="98" t="inlineStr">
        <is>
          <t>Poured Northern and Western Ramp, Formed and Poured Southern Ramp</t>
        </is>
      </c>
      <c r="B87" s="64" t="n"/>
      <c r="C87" s="9" t="n"/>
      <c r="D87" s="64" t="n"/>
      <c r="E87" s="64" t="n"/>
      <c r="F87" s="64" t="n"/>
      <c r="G87" s="64" t="n"/>
      <c r="H87" s="64" t="n"/>
      <c r="I87" s="65" t="n"/>
    </row>
    <row r="88" ht="26.15" customHeight="1" s="151" thickBot="1">
      <c r="A88" s="123" t="inlineStr">
        <is>
          <t>Photos</t>
        </is>
      </c>
      <c r="B88" s="124" t="n"/>
      <c r="C88" s="124" t="n"/>
      <c r="D88" s="124" t="n"/>
      <c r="E88" s="124" t="n"/>
      <c r="F88" s="124" t="n"/>
      <c r="G88" s="124" t="n"/>
      <c r="H88" s="124" t="n"/>
      <c r="I88" s="125" t="n"/>
    </row>
    <row r="89" ht="23.15" customHeight="1" s="151">
      <c r="A89" s="66" t="n"/>
      <c r="B89" s="67" t="n"/>
      <c r="C89" s="67" t="n"/>
      <c r="D89" s="67" t="n"/>
      <c r="E89" s="67" t="n"/>
      <c r="F89" s="67" t="n"/>
      <c r="G89" s="67" t="n"/>
      <c r="H89" s="67" t="n"/>
      <c r="I89" s="68" t="n"/>
    </row>
    <row r="90" ht="23.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H111" s="70" t="n"/>
      <c r="I111" s="71" t="n"/>
    </row>
    <row r="112" ht="25" customFormat="1" customHeight="1" s="10">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thickBot="1">
      <c r="A127" s="72" t="n"/>
      <c r="B127" s="73" t="n"/>
      <c r="C127" s="73" t="n"/>
      <c r="D127" s="73" t="n"/>
      <c r="E127" s="73" t="n"/>
      <c r="F127" s="73" t="n"/>
      <c r="G127" s="73" t="n"/>
      <c r="H127" s="73" t="n"/>
      <c r="I127" s="74"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2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28"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c r="A146" s="69" t="n"/>
      <c r="B146" s="70" t="n"/>
      <c r="C146" s="70" t="n"/>
      <c r="D146" s="70" t="n"/>
      <c r="E146" s="70" t="n"/>
      <c r="F146" s="70" t="n"/>
      <c r="G146" s="70" t="n"/>
      <c r="H146" s="70" t="n"/>
      <c r="I146" s="71" t="n"/>
    </row>
    <row r="147" ht="15" customHeight="1" s="151">
      <c r="A147" s="69" t="n"/>
      <c r="B147" s="70" t="n"/>
      <c r="C147" s="70" t="n"/>
      <c r="D147" s="70" t="n"/>
      <c r="E147" s="70" t="n"/>
      <c r="F147" s="70" t="n"/>
      <c r="G147" s="70" t="n"/>
      <c r="H147" s="70" t="n"/>
      <c r="I147" s="71" t="n"/>
    </row>
    <row r="148" ht="15" customHeight="1" s="151">
      <c r="A148" s="69" t="n"/>
      <c r="B148" s="70" t="n"/>
      <c r="C148" s="70" t="n"/>
      <c r="D148" s="70" t="n"/>
      <c r="E148" s="70" t="n"/>
      <c r="F148" s="70" t="n"/>
      <c r="G148" s="70" t="n"/>
      <c r="H148" s="70" t="n"/>
      <c r="I148" s="71" t="n"/>
    </row>
    <row r="149" ht="15" customHeight="1" s="151">
      <c r="A149" s="69" t="n"/>
      <c r="B149" s="70" t="n"/>
      <c r="C149" s="70" t="n"/>
      <c r="D149" s="70" t="n"/>
      <c r="E149" s="70" t="n"/>
      <c r="F149" s="70" t="n"/>
      <c r="G149" s="70" t="n"/>
      <c r="H149" s="70" t="n"/>
      <c r="I149" s="71" t="n"/>
    </row>
    <row r="150" ht="15" customHeight="1" s="151">
      <c r="A150" s="69" t="n"/>
      <c r="B150" s="70" t="n"/>
      <c r="C150" s="70" t="n"/>
      <c r="D150" s="70" t="n"/>
      <c r="E150" s="70" t="n"/>
      <c r="F150" s="70" t="n"/>
      <c r="G150" s="70" t="n"/>
      <c r="H150" s="70" t="n"/>
      <c r="I150" s="71" t="n"/>
    </row>
    <row r="151" ht="15" customHeight="1" s="151">
      <c r="A151" s="69" t="n"/>
      <c r="B151" s="70" t="n"/>
      <c r="C151" s="70" t="n"/>
      <c r="D151" s="70" t="n"/>
      <c r="E151" s="70" t="n"/>
      <c r="F151" s="70" t="n"/>
      <c r="G151" s="70" t="n"/>
      <c r="H151" s="70" t="n"/>
      <c r="I151" s="71" t="n"/>
    </row>
    <row r="152" ht="15" customHeight="1" s="151" thickBot="1">
      <c r="A152" s="69" t="n"/>
      <c r="B152" s="70" t="n"/>
      <c r="C152" s="70" t="n"/>
      <c r="D152" s="70" t="n"/>
      <c r="E152" s="70" t="n"/>
      <c r="F152" s="70" t="n"/>
      <c r="G152" s="70" t="n"/>
      <c r="H152" s="70" t="n"/>
      <c r="I152" s="71" t="n"/>
      <c r="J152" s="75" t="n"/>
    </row>
    <row r="153" ht="15" customHeight="1" s="151">
      <c r="A153" s="69" t="n"/>
      <c r="B153" s="70" t="n"/>
      <c r="C153" s="70" t="n"/>
      <c r="D153" s="70" t="n"/>
      <c r="E153" s="70" t="n"/>
      <c r="F153" s="70" t="n"/>
      <c r="G153" s="70" t="n"/>
      <c r="H153" s="70" t="n"/>
      <c r="I153" s="71" t="n"/>
    </row>
    <row r="154" ht="15" customHeight="1" s="151">
      <c r="A154" s="69" t="n"/>
      <c r="B154" s="70" t="n"/>
      <c r="C154" s="70" t="n"/>
      <c r="D154" s="70" t="n"/>
      <c r="E154" s="70" t="n"/>
      <c r="F154" s="70" t="n"/>
      <c r="G154" s="70" t="n"/>
      <c r="H154" s="70" t="n"/>
      <c r="I154" s="71" t="n"/>
    </row>
    <row r="155" ht="15" customHeight="1" s="151">
      <c r="A155" s="69" t="n"/>
      <c r="B155" s="70" t="n"/>
      <c r="C155" s="70" t="n"/>
      <c r="D155" s="70" t="n"/>
      <c r="E155" s="70" t="n"/>
      <c r="F155" s="70" t="n"/>
      <c r="G155" s="70" t="n"/>
      <c r="H155" s="70" t="n"/>
      <c r="I155" s="71" t="n"/>
    </row>
    <row r="156" ht="15" customHeight="1" s="151">
      <c r="A156" s="69" t="n"/>
      <c r="B156" s="70" t="n"/>
      <c r="C156" s="70" t="n"/>
      <c r="D156" s="70" t="n"/>
      <c r="E156" s="70" t="n"/>
      <c r="F156" s="70" t="n"/>
      <c r="G156" s="70" t="n"/>
      <c r="H156" s="70" t="n"/>
      <c r="I156" s="71" t="n"/>
    </row>
    <row r="157" ht="15" customHeight="1" s="151">
      <c r="A157" s="69" t="n"/>
      <c r="B157" s="70" t="n"/>
      <c r="C157" s="70" t="n"/>
      <c r="D157" s="70" t="n"/>
      <c r="E157" s="70" t="n"/>
      <c r="F157" s="70" t="n"/>
      <c r="G157" s="70" t="n"/>
      <c r="H157" s="70" t="n"/>
      <c r="I157" s="71" t="n"/>
    </row>
    <row r="158" ht="15" customHeight="1" s="151">
      <c r="A158" s="69" t="n"/>
      <c r="B158" s="70" t="n"/>
      <c r="C158" s="70" t="n"/>
      <c r="D158" s="70" t="n"/>
      <c r="E158" s="70" t="n"/>
      <c r="F158" s="70" t="n"/>
      <c r="G158" s="70" t="n"/>
      <c r="H158" s="70" t="n"/>
      <c r="I158" s="71" t="n"/>
    </row>
    <row r="159" ht="16" customHeight="1" s="151">
      <c r="A159" s="69" t="n"/>
      <c r="B159" s="70" t="n"/>
      <c r="C159" s="70" t="n"/>
      <c r="D159" s="70" t="n"/>
      <c r="E159" s="70" t="n"/>
      <c r="F159" s="70" t="n"/>
      <c r="G159" s="70" t="n"/>
      <c r="H159" s="70" t="n"/>
      <c r="I159" s="71" t="n"/>
    </row>
    <row r="160" ht="30.75" customHeight="1" s="151">
      <c r="A160" s="143" t="n"/>
      <c r="E160" s="144" t="n"/>
      <c r="I160" s="113"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I195" s="8" t="n"/>
    </row>
    <row r="196">
      <c r="A196" s="7" t="n"/>
      <c r="I196" s="8" t="n"/>
    </row>
    <row r="197">
      <c r="A197" s="7" t="n"/>
      <c r="I197" s="8" t="n"/>
    </row>
    <row r="198">
      <c r="A198" s="7" t="n"/>
      <c r="I198" s="8" t="n"/>
    </row>
    <row r="199">
      <c r="A199" s="7" t="n"/>
      <c r="I199" s="8" t="n"/>
    </row>
    <row r="200">
      <c r="A200" s="7" t="n"/>
      <c r="I200" s="8" t="n"/>
    </row>
    <row r="201">
      <c r="A201" s="7" t="n"/>
      <c r="I201" s="8" t="n"/>
    </row>
    <row r="202">
      <c r="A202" s="7" t="n"/>
      <c r="I202" s="8" t="n"/>
    </row>
    <row r="203">
      <c r="A203" s="7" t="n"/>
      <c r="I203" s="8" t="n"/>
    </row>
    <row r="204">
      <c r="A204" s="7" t="n"/>
      <c r="I204" s="8" t="n"/>
    </row>
    <row r="205">
      <c r="A205" s="7" t="n"/>
      <c r="I205" s="8" t="n"/>
    </row>
    <row r="206">
      <c r="A206" s="7" t="n"/>
      <c r="I206" s="8" t="n"/>
    </row>
    <row r="207">
      <c r="A207" s="7" t="n"/>
      <c r="I207" s="8" t="n"/>
    </row>
    <row r="208">
      <c r="A208" s="7" t="n"/>
      <c r="I208" s="8" t="n"/>
    </row>
    <row r="209">
      <c r="A209" s="7" t="n"/>
      <c r="I209" s="8" t="n"/>
    </row>
    <row r="210">
      <c r="A210" s="7" t="n"/>
      <c r="I210" s="8" t="n"/>
    </row>
    <row r="211">
      <c r="A211" s="7" t="n"/>
      <c r="I211" s="8" t="n"/>
    </row>
    <row r="212">
      <c r="A212" s="7" t="n"/>
      <c r="I212" s="8" t="n"/>
    </row>
    <row r="213">
      <c r="A213" s="7" t="n"/>
      <c r="I213" s="8" t="n"/>
    </row>
    <row r="214" ht="16" customHeight="1" s="151" thickBot="1">
      <c r="A214" s="4" t="n"/>
      <c r="B214" s="5" t="n"/>
      <c r="C214" s="5" t="n"/>
      <c r="D214" s="5" t="n"/>
      <c r="E214" s="5" t="n"/>
      <c r="F214" s="5" t="n"/>
      <c r="G214" s="5" t="n"/>
      <c r="H214" s="5" t="n"/>
      <c r="I214" s="6" t="n"/>
    </row>
    <row r="215">
      <c r="A215" s="7" t="n"/>
      <c r="I215" s="8" t="n"/>
    </row>
    <row r="216">
      <c r="A216" s="7" t="n"/>
      <c r="I216" s="8" t="n"/>
    </row>
    <row r="217">
      <c r="A217" s="7" t="n"/>
      <c r="I217" s="8" t="n"/>
    </row>
    <row r="218">
      <c r="A218" s="7" t="n"/>
      <c r="I218" s="8" t="n"/>
    </row>
    <row r="219">
      <c r="A219" s="7" t="n"/>
      <c r="I219" s="8" t="n"/>
    </row>
    <row r="220">
      <c r="A220" s="7" t="n"/>
      <c r="I220" s="8" t="n"/>
    </row>
    <row r="221" ht="16" customHeight="1" s="151" thickBot="1">
      <c r="A221" s="4" t="n"/>
      <c r="B221" s="5" t="n"/>
      <c r="C221" s="5" t="n"/>
      <c r="D221" s="5" t="n"/>
      <c r="E221" s="5" t="n"/>
      <c r="F221" s="5" t="n"/>
      <c r="G221" s="5" t="n"/>
      <c r="H221" s="5" t="n"/>
      <c r="I221" s="6" t="n"/>
    </row>
  </sheetData>
  <mergeCells count="40">
    <mergeCell ref="D57:I57"/>
    <mergeCell ref="D13:F13"/>
    <mergeCell ref="C70:I70"/>
    <mergeCell ref="G13:I13"/>
    <mergeCell ref="B59:C59"/>
    <mergeCell ref="A60:B60"/>
    <mergeCell ref="B8:D8"/>
    <mergeCell ref="E160:I160"/>
    <mergeCell ref="A63:I66"/>
    <mergeCell ref="B72:I72"/>
    <mergeCell ref="A80:I80"/>
    <mergeCell ref="A12:I12"/>
    <mergeCell ref="B58:C58"/>
    <mergeCell ref="A5:I5"/>
    <mergeCell ref="C77:I77"/>
    <mergeCell ref="B9:D9"/>
    <mergeCell ref="D58:I58"/>
    <mergeCell ref="B57:C57"/>
    <mergeCell ref="B6:D6"/>
    <mergeCell ref="C76:I76"/>
    <mergeCell ref="A81:I81"/>
    <mergeCell ref="A13:C13"/>
    <mergeCell ref="C74:I74"/>
    <mergeCell ref="A10:I10"/>
    <mergeCell ref="A1:I4"/>
    <mergeCell ref="B69:I69"/>
    <mergeCell ref="D59:I59"/>
    <mergeCell ref="A67:I67"/>
    <mergeCell ref="B7:D7"/>
    <mergeCell ref="D60:I60"/>
    <mergeCell ref="C75:I75"/>
    <mergeCell ref="B68:I68"/>
    <mergeCell ref="A73:I73"/>
    <mergeCell ref="A11:I11"/>
    <mergeCell ref="A88:I88"/>
    <mergeCell ref="A79:I79"/>
    <mergeCell ref="A61:I61"/>
    <mergeCell ref="A160:D160"/>
    <mergeCell ref="A78:I78"/>
    <mergeCell ref="C71:I71"/>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87" min="0" max="8" man="1"/>
  </rowBreaks>
</worksheet>
</file>

<file path=xl/worksheets/sheet14.xml><?xml version="1.0" encoding="utf-8"?>
<worksheet xmlns="http://schemas.openxmlformats.org/spreadsheetml/2006/main">
  <sheetPr>
    <outlinePr summaryBelow="1" summaryRight="1"/>
    <pageSetUpPr fitToPage="1"/>
  </sheetPr>
  <dimension ref="A1:J216"/>
  <sheetViews>
    <sheetView view="pageBreakPreview" topLeftCell="A76"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45917</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109</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21 degrees  Wind: 39km/h SSW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v>12</v>
      </c>
      <c r="D15" s="26" t="inlineStr">
        <is>
          <t>Asmatullayev, Ikhtiyar</t>
        </is>
      </c>
      <c r="E15" s="26" t="inlineStr">
        <is>
          <t>Labourer</t>
        </is>
      </c>
      <c r="F15" s="26" t="n">
        <v>12</v>
      </c>
      <c r="G15" s="29" t="inlineStr">
        <is>
          <t>Khegan Brockman</t>
        </is>
      </c>
      <c r="H15" s="26" t="inlineStr">
        <is>
          <t>Labourer</t>
        </is>
      </c>
      <c r="I15" s="30" t="n">
        <v>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Daniel McAuffile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v>11</v>
      </c>
    </row>
    <row r="19" ht="23.15" customHeight="1" s="151">
      <c r="A19" s="25" t="inlineStr">
        <is>
          <t>THOMPSON,Cheryl</t>
        </is>
      </c>
      <c r="B19" s="26" t="inlineStr">
        <is>
          <t>HSET</t>
        </is>
      </c>
      <c r="C19" s="31" t="n"/>
      <c r="D19" s="28" t="n"/>
      <c r="E19" s="28" t="n"/>
      <c r="F19" s="26" t="n"/>
      <c r="G19" s="29" t="inlineStr">
        <is>
          <t>Mullin, Connell</t>
        </is>
      </c>
      <c r="H19" s="26" t="inlineStr">
        <is>
          <t>Operator</t>
        </is>
      </c>
      <c r="I19" s="30" t="n">
        <v>12</v>
      </c>
    </row>
    <row r="20" ht="23.15" customHeight="1" s="151">
      <c r="A20" s="25" t="inlineStr">
        <is>
          <t>SKINNER,Jamie</t>
        </is>
      </c>
      <c r="B20" s="26" t="inlineStr">
        <is>
          <t>Supervisor</t>
        </is>
      </c>
      <c r="C20" s="31" t="n">
        <v>12</v>
      </c>
      <c r="D20" s="28" t="n"/>
      <c r="E20" s="28" t="n"/>
      <c r="F20" s="26" t="n"/>
      <c r="I20" s="30" t="n"/>
    </row>
    <row r="21" ht="23.15" customHeight="1" s="151">
      <c r="A21" s="99" t="inlineStr">
        <is>
          <t>TONER, Ultan</t>
        </is>
      </c>
      <c r="B21" s="26" t="inlineStr">
        <is>
          <t>Supervisor</t>
        </is>
      </c>
      <c r="C21" s="31" t="n">
        <v>12</v>
      </c>
      <c r="D21" s="28" t="n"/>
      <c r="E21" s="28" t="n"/>
      <c r="F21" s="26" t="n"/>
      <c r="G21" s="100" t="inlineStr">
        <is>
          <t>Mid Coast Civil</t>
        </is>
      </c>
      <c r="H21" s="26" t="n"/>
      <c r="I21" s="30" t="n"/>
    </row>
    <row r="22" ht="23.15" customHeight="1" s="151">
      <c r="A22" s="25" t="n"/>
      <c r="B22" s="26" t="n"/>
      <c r="C22" s="31" t="n"/>
      <c r="D22" s="28" t="n"/>
      <c r="E22" s="28" t="n"/>
      <c r="F22" s="26" t="n"/>
      <c r="G22" s="29" t="inlineStr">
        <is>
          <t>Vermeer, Paul</t>
        </is>
      </c>
      <c r="H22" s="26" t="inlineStr">
        <is>
          <t>Labourer</t>
        </is>
      </c>
      <c r="I22" s="30" t="n">
        <v>10</v>
      </c>
    </row>
    <row r="23" ht="23.15" customHeight="1" s="151">
      <c r="A23" s="25" t="n"/>
      <c r="B23" s="26" t="n"/>
      <c r="C23" s="31" t="n"/>
      <c r="D23" s="28" t="n"/>
      <c r="E23" s="28" t="n"/>
      <c r="F23" s="26" t="n"/>
      <c r="G23" s="29" t="inlineStr">
        <is>
          <t>Patroni, Rodney</t>
        </is>
      </c>
      <c r="H23" s="26" t="inlineStr">
        <is>
          <t>Labourer</t>
        </is>
      </c>
      <c r="I23" s="30" t="n">
        <v>10</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100" t="inlineStr">
        <is>
          <t>Superstruct</t>
        </is>
      </c>
      <c r="H25" s="26" t="n"/>
      <c r="I25" s="30" t="n"/>
    </row>
    <row r="26" ht="23.15" customHeight="1" s="151">
      <c r="A26" s="25" t="n"/>
      <c r="B26" s="26" t="n"/>
      <c r="C26" s="31" t="n"/>
      <c r="D26" s="28" t="n"/>
      <c r="E26" s="28" t="n"/>
      <c r="F26" s="26" t="n"/>
      <c r="G26" s="101" t="inlineStr">
        <is>
          <t>Ferstat, Blair</t>
        </is>
      </c>
      <c r="H26" s="26" t="inlineStr">
        <is>
          <t>Labourer</t>
        </is>
      </c>
      <c r="I26" s="30" t="n">
        <v>3</v>
      </c>
    </row>
    <row r="27" ht="23.15" customHeight="1" s="151">
      <c r="A27" s="25" t="n"/>
      <c r="B27" s="26" t="n"/>
      <c r="C27" s="31" t="n"/>
      <c r="D27" s="28" t="n"/>
      <c r="E27" s="28" t="n"/>
      <c r="F27" s="26" t="n"/>
      <c r="G27" s="101" t="inlineStr">
        <is>
          <t>x3 Labourers</t>
        </is>
      </c>
      <c r="H27" s="26" t="inlineStr">
        <is>
          <t>Labourer</t>
        </is>
      </c>
      <c r="I27" s="30" t="n">
        <v>9</v>
      </c>
    </row>
    <row r="28" ht="23.15" customHeight="1" s="151">
      <c r="A28" s="25" t="n"/>
      <c r="B28" s="26" t="n"/>
      <c r="C28" s="31" t="n"/>
      <c r="D28" s="28" t="n"/>
      <c r="E28" s="28" t="n"/>
      <c r="F28" s="26" t="n"/>
      <c r="G28" s="29" t="n"/>
      <c r="H28" s="26" t="n"/>
      <c r="I28" s="30" t="n"/>
    </row>
    <row r="29" ht="23.15" customHeight="1" s="151">
      <c r="A29" s="25" t="n"/>
      <c r="B29" s="26" t="n"/>
      <c r="C29" s="31" t="n"/>
      <c r="D29" s="28" t="n"/>
      <c r="E29" s="28" t="n"/>
      <c r="F29" s="26" t="n"/>
      <c r="G29" s="95" t="inlineStr">
        <is>
          <t>Oaks Civil</t>
        </is>
      </c>
      <c r="H29" s="26" t="n"/>
      <c r="I29" s="103" t="n"/>
    </row>
    <row r="30" ht="23.15" customHeight="1" s="151">
      <c r="A30" s="25" t="n"/>
      <c r="B30" s="26" t="n"/>
      <c r="C30" s="31" t="n"/>
      <c r="D30" s="28" t="n"/>
      <c r="E30" s="28" t="n"/>
      <c r="F30" s="26" t="n"/>
      <c r="G30" s="96" t="inlineStr">
        <is>
          <t>Traffic Controllers x5</t>
        </is>
      </c>
      <c r="H30" s="97" t="inlineStr">
        <is>
          <t>Traffic Controller</t>
        </is>
      </c>
      <c r="I30" s="103">
        <f>5*12.5</f>
        <v/>
      </c>
    </row>
    <row r="31" ht="23.15" customHeight="1" s="151">
      <c r="A31" s="25" t="n"/>
      <c r="B31" s="26" t="n"/>
      <c r="C31" s="31" t="n"/>
      <c r="D31" s="28" t="n"/>
      <c r="E31" s="28" t="n"/>
      <c r="F31" s="26" t="n"/>
      <c r="G31" s="29" t="n"/>
      <c r="H31" s="26" t="n"/>
      <c r="I31" s="103" t="n"/>
    </row>
    <row r="32" ht="23.15" customHeight="1" s="151">
      <c r="A32" s="25" t="n"/>
      <c r="B32" s="26" t="n"/>
      <c r="C32" s="31" t="n"/>
      <c r="D32" s="28" t="n"/>
      <c r="E32" s="28" t="n"/>
      <c r="F32" s="26" t="n"/>
      <c r="G32" s="77" t="n"/>
      <c r="H32" s="77" t="n"/>
      <c r="I32" s="36" t="n"/>
    </row>
    <row r="33" ht="23.15" customHeight="1" s="151">
      <c r="A33" s="131" t="inlineStr">
        <is>
          <t xml:space="preserve">Total Indirect Personnel onsite: </t>
        </is>
      </c>
      <c r="B33" s="34">
        <f>COUNT(C15:C33)</f>
        <v/>
      </c>
      <c r="C33" s="28" t="n"/>
      <c r="D33" s="28" t="n"/>
      <c r="E33" s="28" t="n"/>
      <c r="F33" s="26" t="n"/>
      <c r="G33" s="78" t="n"/>
      <c r="H33" s="77" t="n"/>
      <c r="I33" s="30" t="n"/>
    </row>
    <row r="34" ht="23.15" customHeight="1" s="151">
      <c r="A34" s="131" t="inlineStr">
        <is>
          <t xml:space="preserve">Total Indirect Personnel hours: </t>
        </is>
      </c>
      <c r="B34" s="34">
        <f>SUM(C15:C30)</f>
        <v/>
      </c>
      <c r="C34" s="31" t="n"/>
      <c r="D34" s="28" t="n"/>
      <c r="E34" s="28" t="n"/>
      <c r="F34" s="26" t="n"/>
      <c r="G34" s="35" t="inlineStr">
        <is>
          <t>Total Subcontractor on-site:</t>
        </is>
      </c>
      <c r="H34" s="36">
        <f>COUNT(I15:I32)+8+4</f>
        <v/>
      </c>
      <c r="I34" s="30" t="n"/>
    </row>
    <row r="35" ht="23.15" customHeight="1" s="151">
      <c r="A35" s="131" t="inlineStr">
        <is>
          <t xml:space="preserve">Total Direct Personnel onsite:  </t>
        </is>
      </c>
      <c r="B35" s="34">
        <f>COUNTIF(F15:F36,"&gt;0")</f>
        <v/>
      </c>
      <c r="C35" s="34" t="n"/>
      <c r="D35" s="28" t="n"/>
      <c r="E35" s="28" t="n"/>
      <c r="F35" s="37" t="n"/>
      <c r="G35" s="35" t="inlineStr">
        <is>
          <t>Total Subcontractor hours:</t>
        </is>
      </c>
      <c r="H35" s="36">
        <f>SUM(I11:I32)</f>
        <v/>
      </c>
      <c r="I35" s="130" t="n"/>
    </row>
    <row r="36" ht="23.15" customHeight="1" s="151">
      <c r="A36" s="131" t="inlineStr">
        <is>
          <t xml:space="preserve">Total Direct Personnel hours: </t>
        </is>
      </c>
      <c r="B36" s="34">
        <f>SUM(F15:F36)</f>
        <v/>
      </c>
      <c r="C36" s="34" t="n"/>
      <c r="D36" s="34" t="n"/>
      <c r="E36" s="34" t="n"/>
      <c r="F36" s="34" t="n"/>
      <c r="G36" s="34" t="n"/>
      <c r="H36" s="34" t="n"/>
      <c r="I36" s="130" t="n"/>
    </row>
    <row r="37" ht="25" customHeight="1" s="151">
      <c r="A37" s="39" t="inlineStr">
        <is>
          <t>PLANT &amp; EQUIPMENT</t>
        </is>
      </c>
      <c r="B37" s="40" t="n"/>
      <c r="C37" s="40" t="n"/>
      <c r="D37" s="40" t="n"/>
      <c r="E37" s="40" t="n"/>
      <c r="F37" s="40" t="n"/>
      <c r="G37" s="40" t="n"/>
      <c r="H37" s="40" t="n"/>
      <c r="I37" s="41" t="n"/>
    </row>
    <row r="38" ht="24" customHeight="1" s="151">
      <c r="A38" s="126" t="inlineStr">
        <is>
          <t>Plant</t>
        </is>
      </c>
      <c r="B38" s="127" t="inlineStr">
        <is>
          <t>ID</t>
        </is>
      </c>
      <c r="C38" s="127" t="inlineStr">
        <is>
          <t>Hours</t>
        </is>
      </c>
      <c r="D38" s="127" t="inlineStr">
        <is>
          <t xml:space="preserve"> Vehicles</t>
        </is>
      </c>
      <c r="E38" s="127" t="inlineStr">
        <is>
          <t>ID</t>
        </is>
      </c>
      <c r="F38" s="127" t="inlineStr">
        <is>
          <t>QTY</t>
        </is>
      </c>
      <c r="G38" s="42" t="inlineStr">
        <is>
          <t>Site Facilities</t>
        </is>
      </c>
      <c r="H38" s="42" t="inlineStr">
        <is>
          <t>ID</t>
        </is>
      </c>
      <c r="I38" s="43" t="inlineStr">
        <is>
          <t>Qty</t>
        </is>
      </c>
    </row>
    <row r="39" ht="23.15" customHeight="1" s="151">
      <c r="A39" s="25" t="inlineStr">
        <is>
          <t>Komatsu WA320</t>
        </is>
      </c>
      <c r="B39" s="26" t="inlineStr">
        <is>
          <t>FWL18</t>
        </is>
      </c>
      <c r="C39" s="26" t="n">
        <v>2</v>
      </c>
      <c r="D39" s="31" t="inlineStr">
        <is>
          <t>Hilux</t>
        </is>
      </c>
      <c r="E39" s="31" t="inlineStr">
        <is>
          <t>DLV90</t>
        </is>
      </c>
      <c r="F39" s="31" t="n">
        <v>1</v>
      </c>
      <c r="G39" s="31" t="inlineStr">
        <is>
          <t>Office 40ft</t>
        </is>
      </c>
      <c r="H39" s="31" t="n">
        <v>9255540</v>
      </c>
      <c r="I39" s="30" t="n">
        <v>1</v>
      </c>
    </row>
    <row r="40" ht="23.15" customHeight="1" s="151">
      <c r="A40" s="25" t="inlineStr">
        <is>
          <t>Wacker Neuson DPU</t>
        </is>
      </c>
      <c r="B40" s="26" t="inlineStr">
        <is>
          <t>DPC15</t>
        </is>
      </c>
      <c r="C40" s="26" t="n"/>
      <c r="D40" s="31" t="inlineStr">
        <is>
          <t>Hilux</t>
        </is>
      </c>
      <c r="E40" s="31" t="inlineStr">
        <is>
          <t>1DLV04</t>
        </is>
      </c>
      <c r="F40" s="31" t="n">
        <v>1</v>
      </c>
      <c r="G40" s="31" t="inlineStr">
        <is>
          <t>Sea Container 20ft</t>
        </is>
      </c>
      <c r="H40" s="26" t="n">
        <v>951200</v>
      </c>
      <c r="I40" s="30" t="n">
        <v>1</v>
      </c>
    </row>
    <row r="41" ht="23.15" customHeight="1" s="151">
      <c r="A41" s="44" t="inlineStr">
        <is>
          <t>Watercart</t>
        </is>
      </c>
      <c r="B41" s="31" t="inlineStr">
        <is>
          <t>WC04</t>
        </is>
      </c>
      <c r="C41" s="26" t="n">
        <v>5</v>
      </c>
      <c r="D41" s="31" t="n"/>
      <c r="E41" s="26" t="n"/>
      <c r="F41" s="31" t="n"/>
      <c r="G41" s="31" t="inlineStr">
        <is>
          <t>Site Sentry Tower</t>
        </is>
      </c>
      <c r="H41" s="31" t="n"/>
      <c r="I41" s="30" t="n">
        <v>2</v>
      </c>
    </row>
    <row r="42" ht="23.15" customHeight="1" s="151">
      <c r="A42" s="44" t="inlineStr">
        <is>
          <t>8T Excavator</t>
        </is>
      </c>
      <c r="B42" s="45" t="inlineStr">
        <is>
          <t>AMG 014</t>
        </is>
      </c>
      <c r="C42" s="26" t="n"/>
      <c r="D42" s="31" t="n"/>
      <c r="E42" s="31" t="n"/>
      <c r="F42" s="31" t="n"/>
      <c r="G42" s="31" t="inlineStr">
        <is>
          <t>Skip Bin</t>
        </is>
      </c>
      <c r="H42" s="31" t="n"/>
      <c r="I42" s="30" t="n">
        <v>1</v>
      </c>
    </row>
    <row r="43" ht="23.15" customHeight="1" s="151">
      <c r="A43" s="31" t="inlineStr">
        <is>
          <t>Mini Tipper</t>
        </is>
      </c>
      <c r="B43" s="31" t="inlineStr">
        <is>
          <t>SLS05</t>
        </is>
      </c>
      <c r="C43" s="31" t="n">
        <v>6</v>
      </c>
      <c r="D43" s="31" t="n"/>
      <c r="E43" s="31" t="n"/>
      <c r="F43" s="31" t="n"/>
      <c r="G43" s="31" t="inlineStr">
        <is>
          <t>Hydrocarbon Bund</t>
        </is>
      </c>
      <c r="H43" s="31" t="n"/>
      <c r="I43" s="30" t="n">
        <v>1</v>
      </c>
    </row>
    <row r="44" ht="23.15" customHeight="1" s="151">
      <c r="A44" s="76" t="inlineStr">
        <is>
          <t>1 t Excavator</t>
        </is>
      </c>
      <c r="B44" s="31" t="inlineStr">
        <is>
          <t>SLS03</t>
        </is>
      </c>
      <c r="C44" s="31" t="n">
        <v>7</v>
      </c>
      <c r="D44" s="31" t="n"/>
      <c r="E44" s="31" t="n"/>
      <c r="F44" s="31" t="n"/>
      <c r="G44" s="31" t="inlineStr">
        <is>
          <t>Temp Fence</t>
        </is>
      </c>
      <c r="H44" s="26" t="n"/>
      <c r="I44" s="30" t="n">
        <v>1</v>
      </c>
    </row>
    <row r="45" ht="24" customHeight="1" s="151">
      <c r="A45" s="76" t="inlineStr">
        <is>
          <t>14t Excavator with GPS</t>
        </is>
      </c>
      <c r="B45" s="31" t="inlineStr">
        <is>
          <t>EX153</t>
        </is>
      </c>
      <c r="C45" s="31" t="n">
        <v>8</v>
      </c>
      <c r="D45" s="31" t="n"/>
      <c r="E45" s="31" t="n"/>
      <c r="F45" s="31" t="n"/>
      <c r="G45" s="2" t="n"/>
      <c r="H45" s="2" t="n"/>
      <c r="I45" s="3" t="n"/>
    </row>
    <row r="46" ht="24" customHeight="1" s="151">
      <c r="A46" s="76" t="inlineStr">
        <is>
          <t>5t Excavator</t>
        </is>
      </c>
      <c r="B46" s="31" t="inlineStr">
        <is>
          <t>A118</t>
        </is>
      </c>
      <c r="C46" s="31" t="n">
        <v>8</v>
      </c>
      <c r="D46" s="31" t="n"/>
      <c r="E46" s="31" t="n"/>
      <c r="F46" s="31" t="n"/>
      <c r="G46" s="2" t="n"/>
      <c r="H46" s="2" t="n"/>
      <c r="I46" s="3" t="n"/>
    </row>
    <row r="47" ht="24" customHeight="1" s="151">
      <c r="A47" s="44" t="inlineStr">
        <is>
          <t>Padfoot/ Smooth Drum Roller</t>
        </is>
      </c>
      <c r="B47" s="31" t="inlineStr">
        <is>
          <t>RR 03</t>
        </is>
      </c>
      <c r="C47" s="26" t="n"/>
      <c r="D47" s="31" t="n"/>
      <c r="E47" s="31" t="n"/>
      <c r="F47" s="31" t="n"/>
      <c r="G47" s="2" t="n"/>
      <c r="H47" s="2" t="n"/>
      <c r="I47" s="3" t="n"/>
    </row>
    <row r="48" ht="24" customHeight="1" s="151">
      <c r="A48" s="44" t="inlineStr">
        <is>
          <t>Multi Roller</t>
        </is>
      </c>
      <c r="B48" s="31" t="n">
        <v>256</v>
      </c>
      <c r="C48" s="26" t="n">
        <v>3</v>
      </c>
      <c r="D48" s="31" t="n"/>
      <c r="E48" s="31" t="n"/>
      <c r="F48" s="31" t="n"/>
      <c r="G48" s="2" t="n"/>
      <c r="H48" s="2" t="n"/>
      <c r="I48" s="3" t="n"/>
    </row>
    <row r="49" ht="24" customHeight="1" s="151">
      <c r="A49" s="44" t="inlineStr">
        <is>
          <t>Positrak SSL</t>
        </is>
      </c>
      <c r="B49" s="31" t="inlineStr">
        <is>
          <t>SSL08</t>
        </is>
      </c>
      <c r="C49" s="26" t="n">
        <v>8</v>
      </c>
      <c r="D49" s="31" t="n"/>
      <c r="E49" s="31" t="n"/>
      <c r="F49" s="31" t="n"/>
      <c r="G49" s="2" t="n"/>
      <c r="H49" s="2" t="n"/>
      <c r="I49" s="3" t="n"/>
    </row>
    <row r="50" ht="24" customHeight="1" s="151">
      <c r="A50" s="44" t="inlineStr">
        <is>
          <t>6 Wheel Tipper</t>
        </is>
      </c>
      <c r="B50" s="31" t="inlineStr">
        <is>
          <t>T091</t>
        </is>
      </c>
      <c r="C50" s="26" t="n">
        <v>5</v>
      </c>
      <c r="D50" s="31" t="n"/>
      <c r="E50" s="31" t="n"/>
      <c r="F50" s="31" t="n"/>
      <c r="G50" s="2" t="n"/>
      <c r="H50" s="2" t="n"/>
      <c r="I50" s="3" t="n"/>
    </row>
    <row r="51" ht="24" customHeight="1" s="151">
      <c r="A51" s="44" t="inlineStr">
        <is>
          <t>Grader</t>
        </is>
      </c>
      <c r="B51" s="31" t="inlineStr">
        <is>
          <t>SLS01</t>
        </is>
      </c>
      <c r="C51" s="26" t="n"/>
      <c r="D51" s="31" t="n"/>
      <c r="E51" s="31" t="n"/>
      <c r="F51" s="31" t="n"/>
      <c r="G51" s="2" t="n"/>
      <c r="H51" s="2" t="n"/>
      <c r="I51" s="3" t="n"/>
    </row>
    <row r="52" ht="24" customHeight="1" s="151">
      <c r="A52" s="44" t="n"/>
      <c r="B52" s="31" t="n"/>
      <c r="C52" s="26" t="n"/>
      <c r="D52" s="2" t="n"/>
      <c r="E52" s="2" t="n"/>
      <c r="F52" s="2" t="n"/>
      <c r="G52" s="2" t="n"/>
      <c r="H52" s="2" t="n"/>
      <c r="I52" s="3" t="n"/>
    </row>
    <row r="53" ht="18" customHeight="1" s="151">
      <c r="A53" s="46" t="n">
        <v>0</v>
      </c>
      <c r="B53" s="128" t="inlineStr">
        <is>
          <t xml:space="preserve">Repairs Required </t>
        </is>
      </c>
      <c r="C53" s="118" t="n"/>
      <c r="D53" s="129" t="inlineStr">
        <is>
          <t>N/A</t>
        </is>
      </c>
      <c r="E53" s="159" t="n"/>
      <c r="F53" s="159" t="n"/>
      <c r="G53" s="159" t="n"/>
      <c r="H53" s="159" t="n"/>
      <c r="I53" s="160" t="n"/>
    </row>
    <row r="54" ht="18" customHeight="1" s="151">
      <c r="A54" s="47" t="n">
        <v>1</v>
      </c>
      <c r="B54" s="128" t="inlineStr">
        <is>
          <t>Scheduled Service</t>
        </is>
      </c>
      <c r="C54" s="118" t="n"/>
      <c r="D54" s="156" t="inlineStr">
        <is>
          <t>Smooth Drum Roller</t>
        </is>
      </c>
      <c r="E54" s="159" t="n"/>
      <c r="F54" s="159" t="n"/>
      <c r="G54" s="159" t="n"/>
      <c r="H54" s="159" t="n"/>
      <c r="I54" s="160" t="n"/>
    </row>
    <row r="55" ht="18" customHeight="1" s="151">
      <c r="A55" s="48" t="n">
        <v>0</v>
      </c>
      <c r="B55" s="128" t="n"/>
      <c r="C55" s="118" t="n"/>
      <c r="D55" s="129" t="inlineStr">
        <is>
          <t>N/A</t>
        </is>
      </c>
      <c r="E55" s="159" t="n"/>
      <c r="F55" s="159" t="n"/>
      <c r="G55" s="159" t="n"/>
      <c r="H55" s="159" t="n"/>
      <c r="I55" s="160" t="n"/>
    </row>
    <row r="56" ht="23.15" customHeight="1" s="151">
      <c r="A56" s="131" t="inlineStr">
        <is>
          <t xml:space="preserve">Total Plant and Equipment Hours: </t>
        </is>
      </c>
      <c r="B56" s="118" t="n"/>
      <c r="C56" s="49">
        <f>SUM(C39:C52)</f>
        <v/>
      </c>
      <c r="D56" s="132" t="n"/>
      <c r="E56" s="159" t="n"/>
      <c r="F56" s="159" t="n"/>
      <c r="G56" s="159" t="n"/>
      <c r="H56" s="159" t="n"/>
      <c r="I56" s="160" t="n"/>
    </row>
    <row r="57" ht="25" customHeight="1" s="151">
      <c r="A57" s="120" t="inlineStr">
        <is>
          <t>DELAYS-OPPORTUNITY</t>
        </is>
      </c>
      <c r="B57" s="159" t="n"/>
      <c r="C57" s="159" t="n"/>
      <c r="D57" s="159" t="n"/>
      <c r="E57" s="159" t="n"/>
      <c r="F57" s="159" t="n"/>
      <c r="G57" s="159" t="n"/>
      <c r="H57" s="159" t="n"/>
      <c r="I57" s="160" t="n"/>
    </row>
    <row r="58" ht="20.15" customHeight="1" s="151">
      <c r="A58" s="50" t="n"/>
      <c r="B58" s="51" t="n"/>
      <c r="C58" s="51" t="n"/>
      <c r="D58" s="51" t="n"/>
      <c r="E58" s="51" t="n"/>
      <c r="F58" s="51" t="n"/>
      <c r="G58" s="51" t="n"/>
      <c r="H58" s="51" t="n"/>
      <c r="I58" s="52" t="n"/>
    </row>
    <row r="59" ht="15" customHeight="1" s="151" thickBot="1">
      <c r="A59" s="155" t="inlineStr">
        <is>
          <t xml:space="preserve">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
Noted Additional Material needed to be removed beneath the pavers
Confirmed alignment shift of south eastern tie in to flush kerb alignment </t>
        </is>
      </c>
      <c r="B59" s="124" t="n"/>
      <c r="C59" s="124" t="n"/>
      <c r="D59" s="124" t="n"/>
      <c r="E59" s="124" t="n"/>
      <c r="F59" s="124" t="n"/>
      <c r="G59" s="124" t="n"/>
      <c r="H59" s="124" t="n"/>
      <c r="I59" s="125" t="n"/>
    </row>
    <row r="60">
      <c r="A60" s="111" t="n"/>
      <c r="I60" s="113" t="n"/>
    </row>
    <row r="61" ht="49.5" customHeight="1" s="151">
      <c r="A61" s="111" t="n"/>
      <c r="I61" s="113" t="n"/>
    </row>
    <row r="62" ht="107.5" customHeight="1" s="151" thickBot="1">
      <c r="A62" s="134" t="n"/>
      <c r="B62" s="135" t="n"/>
      <c r="C62" s="135" t="n"/>
      <c r="D62" s="135" t="n"/>
      <c r="E62" s="135" t="n"/>
      <c r="F62" s="135" t="n"/>
      <c r="G62" s="135" t="n"/>
      <c r="H62" s="135" t="n"/>
      <c r="I62" s="136" t="n"/>
    </row>
    <row r="63" ht="25" customHeight="1" s="151">
      <c r="A63" s="137" t="inlineStr">
        <is>
          <t>HSEQ MESSAGES</t>
        </is>
      </c>
      <c r="B63" s="138" t="n"/>
      <c r="C63" s="138" t="n"/>
      <c r="D63" s="138" t="n"/>
      <c r="E63" s="138" t="n"/>
      <c r="F63" s="138" t="n"/>
      <c r="G63" s="138" t="n"/>
      <c r="H63" s="138" t="n"/>
      <c r="I63" s="139" t="n"/>
    </row>
    <row r="64" ht="18" customHeight="1" s="151">
      <c r="A64" s="53" t="inlineStr">
        <is>
          <t>TCD - Monthly Safety Focus:</t>
        </is>
      </c>
      <c r="B64" s="140" t="inlineStr">
        <is>
          <t>Underground Services</t>
        </is>
      </c>
      <c r="C64" s="159" t="n"/>
      <c r="D64" s="159" t="n"/>
      <c r="E64" s="159" t="n"/>
      <c r="F64" s="159" t="n"/>
      <c r="G64" s="159" t="n"/>
      <c r="H64" s="159" t="n"/>
      <c r="I64" s="118" t="n"/>
    </row>
    <row r="65" ht="24" customHeight="1" s="151">
      <c r="A65" s="53" t="inlineStr">
        <is>
          <t>TCD - Daily Safety Focus:</t>
        </is>
      </c>
      <c r="B65" s="141" t="inlineStr">
        <is>
          <t>Shut Down Area, Positive Comms and Keep Clear of Machinery</t>
        </is>
      </c>
      <c r="C65" s="159" t="n"/>
      <c r="D65" s="159" t="n"/>
      <c r="E65" s="159" t="n"/>
      <c r="F65" s="159" t="n"/>
      <c r="G65" s="159" t="n"/>
      <c r="H65" s="159" t="n"/>
      <c r="I65" s="160" t="n"/>
    </row>
    <row r="66" ht="18" customHeight="1" s="151">
      <c r="A66" s="54" t="inlineStr">
        <is>
          <t xml:space="preserve">Hazards Reported: </t>
        </is>
      </c>
      <c r="B66" s="55" t="inlineStr">
        <is>
          <t>Nil</t>
        </is>
      </c>
      <c r="C66" s="141" t="n"/>
      <c r="D66" s="159" t="n"/>
      <c r="E66" s="159" t="n"/>
      <c r="F66" s="159" t="n"/>
      <c r="G66" s="159" t="n"/>
      <c r="H66" s="159" t="n"/>
      <c r="I66" s="160" t="n"/>
    </row>
    <row r="67" ht="18" customHeight="1" s="151">
      <c r="A67" s="54" t="inlineStr">
        <is>
          <t>Incident Free Days</t>
        </is>
      </c>
      <c r="B67" s="55" t="n">
        <v>22</v>
      </c>
      <c r="C67" s="140" t="n"/>
      <c r="D67" s="159" t="n"/>
      <c r="E67" s="159" t="n"/>
      <c r="F67" s="159" t="n"/>
      <c r="G67" s="159" t="n"/>
      <c r="H67" s="159" t="n"/>
      <c r="I67" s="118" t="n"/>
    </row>
    <row r="68" ht="18" customHeight="1" s="151">
      <c r="A68" s="56" t="inlineStr">
        <is>
          <t>Other Notes</t>
        </is>
      </c>
      <c r="B68" s="142" t="n"/>
      <c r="C68" s="124" t="n"/>
      <c r="D68" s="124" t="n"/>
      <c r="E68" s="124" t="n"/>
      <c r="F68" s="124" t="n"/>
      <c r="G68" s="124" t="n"/>
      <c r="H68" s="124" t="n"/>
      <c r="I68" s="125" t="n"/>
    </row>
    <row r="69" ht="20.25" customHeight="1" s="151">
      <c r="A69" s="120" t="inlineStr">
        <is>
          <t xml:space="preserve">INCIDENTS &amp; REPORTS </t>
        </is>
      </c>
      <c r="B69" s="159" t="n"/>
      <c r="C69" s="159" t="n"/>
      <c r="D69" s="159" t="n"/>
      <c r="E69" s="159" t="n"/>
      <c r="F69" s="159" t="n"/>
      <c r="G69" s="159" t="n"/>
      <c r="H69" s="159" t="n"/>
      <c r="I69" s="160" t="n"/>
    </row>
    <row r="70" ht="25" customHeight="1" s="151">
      <c r="A70" s="57" t="n"/>
      <c r="B70" s="127" t="inlineStr">
        <is>
          <t>QTY</t>
        </is>
      </c>
      <c r="C70" s="130" t="inlineStr">
        <is>
          <t>Comments</t>
        </is>
      </c>
      <c r="D70" s="159" t="n"/>
      <c r="E70" s="159" t="n"/>
      <c r="F70" s="159" t="n"/>
      <c r="G70" s="159" t="n"/>
      <c r="H70" s="159" t="n"/>
      <c r="I70" s="160" t="n"/>
    </row>
    <row r="71" ht="25" customHeight="1" s="151">
      <c r="A71" s="58" t="inlineStr">
        <is>
          <t>INCIDENT</t>
        </is>
      </c>
      <c r="B71" s="127" t="n">
        <v>0</v>
      </c>
      <c r="C71" s="129" t="inlineStr">
        <is>
          <t>NA</t>
        </is>
      </c>
      <c r="D71" s="159" t="n"/>
      <c r="E71" s="159" t="n"/>
      <c r="F71" s="159" t="n"/>
      <c r="G71" s="159" t="n"/>
      <c r="H71" s="159" t="n"/>
      <c r="I71" s="160" t="n"/>
    </row>
    <row r="72" ht="25" customHeight="1" s="151">
      <c r="A72" s="59" t="inlineStr">
        <is>
          <t>IR</t>
        </is>
      </c>
      <c r="B72" s="60" t="n">
        <v>0</v>
      </c>
      <c r="C72" s="145" t="inlineStr">
        <is>
          <t>NA</t>
        </is>
      </c>
      <c r="D72" s="124" t="n"/>
      <c r="E72" s="124" t="n"/>
      <c r="F72" s="124" t="n"/>
      <c r="G72" s="124" t="n"/>
      <c r="H72" s="124" t="n"/>
      <c r="I72" s="125" t="n"/>
    </row>
    <row r="73" ht="25" customHeight="1" s="151" thickBot="1">
      <c r="A73" s="61" t="inlineStr">
        <is>
          <t>NCR</t>
        </is>
      </c>
      <c r="B73" s="62" t="n">
        <v>0</v>
      </c>
      <c r="C73" s="146" t="inlineStr">
        <is>
          <t>NA</t>
        </is>
      </c>
      <c r="D73" s="147" t="n"/>
      <c r="E73" s="147" t="n"/>
      <c r="F73" s="147" t="n"/>
      <c r="G73" s="147" t="n"/>
      <c r="H73" s="147" t="n"/>
      <c r="I73" s="148" t="n"/>
    </row>
    <row r="74" ht="20.25" customHeight="1" s="151">
      <c r="A74" s="137" t="inlineStr">
        <is>
          <t>COMMUNICATIONS</t>
        </is>
      </c>
      <c r="B74" s="138" t="n"/>
      <c r="C74" s="138" t="n"/>
      <c r="D74" s="138" t="n"/>
      <c r="E74" s="138" t="n"/>
      <c r="F74" s="138" t="n"/>
      <c r="G74" s="138" t="n"/>
      <c r="H74" s="138" t="n"/>
      <c r="I74" s="139" t="n"/>
    </row>
    <row r="75" ht="25" customHeight="1" s="151">
      <c r="A75" s="149" t="inlineStr">
        <is>
          <t>TGS MB1119-05 Scheme D implemented</t>
        </is>
      </c>
      <c r="B75" s="159" t="n"/>
      <c r="C75" s="159" t="n"/>
      <c r="D75" s="159" t="n"/>
      <c r="E75" s="159" t="n"/>
      <c r="F75" s="159" t="n"/>
      <c r="G75" s="159" t="n"/>
      <c r="H75" s="159" t="n"/>
      <c r="I75" s="160" t="n"/>
    </row>
    <row r="76" ht="25" customHeight="1" s="151">
      <c r="A76" s="149" t="inlineStr">
        <is>
          <t xml:space="preserve">TGS MB1119-07A implemented </t>
        </is>
      </c>
      <c r="B76" s="159" t="n"/>
      <c r="C76" s="159" t="n"/>
      <c r="D76" s="159" t="n"/>
      <c r="E76" s="159" t="n"/>
      <c r="F76" s="159" t="n"/>
      <c r="G76" s="159" t="n"/>
      <c r="H76" s="159" t="n"/>
      <c r="I76" s="160" t="n"/>
    </row>
    <row r="77" ht="25" customHeight="1" s="151">
      <c r="A77" s="149" t="inlineStr">
        <is>
          <t>Progress Meeting</t>
        </is>
      </c>
      <c r="B77" s="159" t="n"/>
      <c r="C77" s="159" t="n"/>
      <c r="D77" s="159" t="n"/>
      <c r="E77" s="159" t="n"/>
      <c r="F77" s="159" t="n"/>
      <c r="G77" s="159" t="n"/>
      <c r="H77" s="159" t="n"/>
      <c r="I77" s="160" t="n"/>
    </row>
    <row r="78" ht="25" customHeight="1" s="151">
      <c r="A78" s="120" t="inlineStr">
        <is>
          <t>PRODUCTION (CONSTRUCTION STATUS &amp; PROGRESS)</t>
        </is>
      </c>
      <c r="B78" s="159" t="n"/>
      <c r="C78" s="159" t="n"/>
      <c r="D78" s="159" t="n"/>
      <c r="E78" s="159" t="n"/>
      <c r="F78" s="159" t="n"/>
      <c r="G78" s="159" t="n"/>
      <c r="H78" s="159" t="n"/>
      <c r="I78" s="160" t="n"/>
    </row>
    <row r="79" ht="25" customHeight="1" s="151">
      <c r="A79" s="98" t="inlineStr">
        <is>
          <t>Ongoing Basecourse Top up and Roll</t>
        </is>
      </c>
      <c r="B79" s="64" t="n"/>
      <c r="C79" s="9" t="n"/>
      <c r="D79" s="9" t="n"/>
      <c r="E79" s="64" t="n"/>
      <c r="F79" s="64" t="n"/>
      <c r="G79" s="9" t="n"/>
      <c r="H79" s="64" t="n"/>
      <c r="I79" s="65" t="n"/>
    </row>
    <row r="80" ht="25" customHeight="1" s="151">
      <c r="A80" s="98" t="inlineStr">
        <is>
          <t>Ongoing Trimming of basecourse</t>
        </is>
      </c>
      <c r="B80" s="64" t="n"/>
      <c r="C80" s="9" t="n"/>
      <c r="D80" s="9" t="n"/>
      <c r="E80" s="64" t="n"/>
      <c r="F80" s="64" t="n"/>
      <c r="G80" s="9" t="n"/>
      <c r="H80" s="64" t="n"/>
      <c r="I80" s="65" t="n"/>
    </row>
    <row r="81" ht="25" customHeight="1" s="151">
      <c r="A81" s="98" t="inlineStr">
        <is>
          <t>Removal of top of of Pits to allow for trimming nearby</t>
        </is>
      </c>
      <c r="B81" s="64" t="n"/>
      <c r="C81" s="9" t="n"/>
      <c r="D81" s="9" t="n"/>
      <c r="E81" s="64" t="n"/>
      <c r="F81" s="64" t="n"/>
      <c r="G81" s="9" t="n"/>
      <c r="H81" s="64" t="n"/>
      <c r="I81" s="65" t="n"/>
    </row>
    <row r="82" ht="25" customHeight="1" s="151">
      <c r="A82" s="98" t="inlineStr">
        <is>
          <t>Stripping of Formwork</t>
        </is>
      </c>
      <c r="B82" s="64" t="n"/>
      <c r="C82" s="9" t="n"/>
      <c r="D82" s="64" t="n"/>
      <c r="E82" s="64" t="n"/>
      <c r="F82" s="64" t="n"/>
      <c r="G82" s="64" t="n"/>
      <c r="H82" s="64" t="n"/>
      <c r="I82" s="65" t="n"/>
    </row>
    <row r="83" ht="26.15" customHeight="1" s="151" thickBot="1">
      <c r="A83" s="123" t="inlineStr">
        <is>
          <t>Photos</t>
        </is>
      </c>
      <c r="B83" s="124" t="n"/>
      <c r="C83" s="124" t="n"/>
      <c r="D83" s="124" t="n"/>
      <c r="E83" s="124" t="n"/>
      <c r="F83" s="124" t="n"/>
      <c r="G83" s="124" t="n"/>
      <c r="H83" s="124" t="n"/>
      <c r="I83" s="125" t="n"/>
    </row>
    <row r="84" ht="23.15" customHeight="1" s="151">
      <c r="A84" s="66" t="n"/>
      <c r="B84" s="67" t="n"/>
      <c r="C84" s="67" t="n"/>
      <c r="D84" s="67" t="n"/>
      <c r="E84" s="67" t="n"/>
      <c r="F84" s="67" t="n"/>
      <c r="G84" s="67" t="n"/>
      <c r="H84" s="67" t="n"/>
      <c r="I84" s="68" t="n"/>
    </row>
    <row r="85" ht="23.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H106" s="70" t="n"/>
      <c r="I106" s="71" t="n"/>
    </row>
    <row r="107" ht="25" customFormat="1" customHeight="1" s="10">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thickBot="1">
      <c r="A122" s="72" t="n"/>
      <c r="B122" s="73" t="n"/>
      <c r="C122" s="73" t="n"/>
      <c r="D122" s="73" t="n"/>
      <c r="E122" s="73" t="n"/>
      <c r="F122" s="73" t="n"/>
      <c r="G122" s="73" t="n"/>
      <c r="H122" s="73" t="n"/>
      <c r="I122" s="74"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2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28"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c r="A146" s="69" t="n"/>
      <c r="B146" s="70" t="n"/>
      <c r="C146" s="70" t="n"/>
      <c r="D146" s="70" t="n"/>
      <c r="E146" s="70" t="n"/>
      <c r="F146" s="70" t="n"/>
      <c r="G146" s="70" t="n"/>
      <c r="H146" s="70" t="n"/>
      <c r="I146" s="71" t="n"/>
    </row>
    <row r="147" ht="15" customHeight="1" s="151" thickBot="1">
      <c r="A147" s="69" t="n"/>
      <c r="B147" s="70" t="n"/>
      <c r="C147" s="70" t="n"/>
      <c r="D147" s="70" t="n"/>
      <c r="E147" s="70" t="n"/>
      <c r="F147" s="70" t="n"/>
      <c r="G147" s="70" t="n"/>
      <c r="H147" s="70" t="n"/>
      <c r="I147" s="71" t="n"/>
      <c r="J147" s="75" t="n"/>
    </row>
    <row r="148" ht="15" customHeight="1" s="151">
      <c r="A148" s="69" t="n"/>
      <c r="B148" s="70" t="n"/>
      <c r="C148" s="70" t="n"/>
      <c r="D148" s="70" t="n"/>
      <c r="E148" s="70" t="n"/>
      <c r="F148" s="70" t="n"/>
      <c r="G148" s="70" t="n"/>
      <c r="H148" s="70" t="n"/>
      <c r="I148" s="71" t="n"/>
    </row>
    <row r="149" ht="15" customHeight="1" s="151">
      <c r="A149" s="69" t="n"/>
      <c r="B149" s="70" t="n"/>
      <c r="C149" s="70" t="n"/>
      <c r="D149" s="70" t="n"/>
      <c r="E149" s="70" t="n"/>
      <c r="F149" s="70" t="n"/>
      <c r="G149" s="70" t="n"/>
      <c r="H149" s="70" t="n"/>
      <c r="I149" s="71" t="n"/>
    </row>
    <row r="150" ht="15" customHeight="1" s="151">
      <c r="A150" s="69" t="n"/>
      <c r="B150" s="70" t="n"/>
      <c r="C150" s="70" t="n"/>
      <c r="D150" s="70" t="n"/>
      <c r="E150" s="70" t="n"/>
      <c r="F150" s="70" t="n"/>
      <c r="G150" s="70" t="n"/>
      <c r="H150" s="70" t="n"/>
      <c r="I150" s="71" t="n"/>
    </row>
    <row r="151" ht="15" customHeight="1" s="151">
      <c r="A151" s="69" t="n"/>
      <c r="B151" s="70" t="n"/>
      <c r="C151" s="70" t="n"/>
      <c r="D151" s="70" t="n"/>
      <c r="E151" s="70" t="n"/>
      <c r="F151" s="70" t="n"/>
      <c r="G151" s="70" t="n"/>
      <c r="H151" s="70" t="n"/>
      <c r="I151" s="71" t="n"/>
    </row>
    <row r="152" ht="15" customHeight="1" s="151">
      <c r="A152" s="69" t="n"/>
      <c r="B152" s="70" t="n"/>
      <c r="C152" s="70" t="n"/>
      <c r="D152" s="70" t="n"/>
      <c r="E152" s="70" t="n"/>
      <c r="F152" s="70" t="n"/>
      <c r="G152" s="70" t="n"/>
      <c r="H152" s="70" t="n"/>
      <c r="I152" s="71" t="n"/>
    </row>
    <row r="153" ht="15" customHeight="1" s="151">
      <c r="A153" s="69" t="n"/>
      <c r="B153" s="70" t="n"/>
      <c r="C153" s="70" t="n"/>
      <c r="D153" s="70" t="n"/>
      <c r="E153" s="70" t="n"/>
      <c r="F153" s="70" t="n"/>
      <c r="G153" s="70" t="n"/>
      <c r="H153" s="70" t="n"/>
      <c r="I153" s="71" t="n"/>
    </row>
    <row r="154" ht="16" customHeight="1" s="151">
      <c r="A154" s="69" t="n"/>
      <c r="B154" s="70" t="n"/>
      <c r="C154" s="70" t="n"/>
      <c r="D154" s="70" t="n"/>
      <c r="E154" s="70" t="n"/>
      <c r="F154" s="70" t="n"/>
      <c r="G154" s="70" t="n"/>
      <c r="H154" s="70" t="n"/>
      <c r="I154" s="71" t="n"/>
    </row>
    <row r="155" ht="30.75" customHeight="1" s="151">
      <c r="A155" s="143" t="n"/>
      <c r="E155" s="144" t="n"/>
      <c r="I155" s="113"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c r="A201" s="7" t="n"/>
      <c r="I201" s="8" t="n"/>
    </row>
    <row r="202">
      <c r="A202" s="7" t="n"/>
      <c r="I202" s="8" t="n"/>
    </row>
    <row r="203">
      <c r="A203" s="7" t="n"/>
      <c r="I203" s="8" t="n"/>
    </row>
    <row r="204">
      <c r="A204" s="7" t="n"/>
      <c r="I204" s="8" t="n"/>
    </row>
    <row r="205">
      <c r="A205" s="7" t="n"/>
      <c r="I205" s="8" t="n"/>
    </row>
    <row r="206">
      <c r="A206" s="7" t="n"/>
      <c r="I206" s="8" t="n"/>
    </row>
    <row r="207">
      <c r="A207" s="7" t="n"/>
      <c r="I207" s="8" t="n"/>
    </row>
    <row r="208">
      <c r="A208" s="7" t="n"/>
      <c r="I208" s="8" t="n"/>
    </row>
    <row r="209" ht="16" customHeight="1" s="151" thickBot="1">
      <c r="A209" s="4" t="n"/>
      <c r="B209" s="5" t="n"/>
      <c r="C209" s="5" t="n"/>
      <c r="D209" s="5" t="n"/>
      <c r="E209" s="5" t="n"/>
      <c r="F209" s="5" t="n"/>
      <c r="G209" s="5" t="n"/>
      <c r="H209" s="5" t="n"/>
      <c r="I209" s="6" t="n"/>
    </row>
    <row r="210">
      <c r="A210" s="7" t="n"/>
      <c r="I210" s="8" t="n"/>
    </row>
    <row r="211">
      <c r="A211" s="7" t="n"/>
      <c r="I211" s="8" t="n"/>
    </row>
    <row r="212">
      <c r="A212" s="7" t="n"/>
      <c r="I212" s="8" t="n"/>
    </row>
    <row r="213">
      <c r="A213" s="7" t="n"/>
      <c r="I213" s="8" t="n"/>
    </row>
    <row r="214">
      <c r="A214" s="7" t="n"/>
      <c r="I214" s="8" t="n"/>
    </row>
    <row r="215">
      <c r="A215" s="7" t="n"/>
      <c r="I215" s="8" t="n"/>
    </row>
    <row r="216" ht="16" customHeight="1" s="151" thickBot="1">
      <c r="A216" s="4" t="n"/>
      <c r="B216" s="5" t="n"/>
      <c r="C216" s="5" t="n"/>
      <c r="D216" s="5" t="n"/>
      <c r="E216" s="5" t="n"/>
      <c r="F216" s="5" t="n"/>
      <c r="G216" s="5" t="n"/>
      <c r="H216" s="5" t="n"/>
      <c r="I216" s="6" t="n"/>
    </row>
  </sheetData>
  <mergeCells count="41">
    <mergeCell ref="D13:F13"/>
    <mergeCell ref="B54:C54"/>
    <mergeCell ref="C70:I70"/>
    <mergeCell ref="G13:I13"/>
    <mergeCell ref="A75:I75"/>
    <mergeCell ref="B8:D8"/>
    <mergeCell ref="A74:I74"/>
    <mergeCell ref="C72:I72"/>
    <mergeCell ref="C67:I67"/>
    <mergeCell ref="A12:I12"/>
    <mergeCell ref="A155:D155"/>
    <mergeCell ref="D53:I53"/>
    <mergeCell ref="C66:I66"/>
    <mergeCell ref="A57:I57"/>
    <mergeCell ref="A5:I5"/>
    <mergeCell ref="A59:I62"/>
    <mergeCell ref="A76:I76"/>
    <mergeCell ref="D56:I56"/>
    <mergeCell ref="B9:D9"/>
    <mergeCell ref="E155:I155"/>
    <mergeCell ref="A56:B56"/>
    <mergeCell ref="B6:D6"/>
    <mergeCell ref="B53:C53"/>
    <mergeCell ref="D55:I55"/>
    <mergeCell ref="A13:C13"/>
    <mergeCell ref="A63:I63"/>
    <mergeCell ref="A10:I10"/>
    <mergeCell ref="A1:I4"/>
    <mergeCell ref="D54:I54"/>
    <mergeCell ref="C73:I73"/>
    <mergeCell ref="A77:I77"/>
    <mergeCell ref="A83:I83"/>
    <mergeCell ref="B7:D7"/>
    <mergeCell ref="B65:I65"/>
    <mergeCell ref="B55:C55"/>
    <mergeCell ref="B68:I68"/>
    <mergeCell ref="A11:I11"/>
    <mergeCell ref="B64:I64"/>
    <mergeCell ref="A69:I69"/>
    <mergeCell ref="A78:I78"/>
    <mergeCell ref="C71:I71"/>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82" min="0" max="8" man="1"/>
  </rowBreaks>
</worksheet>
</file>

<file path=xl/worksheets/sheet15.xml><?xml version="1.0" encoding="utf-8"?>
<worksheet xmlns="http://schemas.openxmlformats.org/spreadsheetml/2006/main">
  <sheetPr>
    <outlinePr summaryBelow="1" summaryRight="1"/>
    <pageSetUpPr fitToPage="1"/>
  </sheetPr>
  <dimension ref="A1:J212"/>
  <sheetViews>
    <sheetView view="pageBreakPreview" topLeftCell="A80"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45918</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110</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21 degrees  Wind: 39km/h SSW Precip: 0.6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Khegan Brockman</t>
        </is>
      </c>
      <c r="H15" s="26" t="inlineStr">
        <is>
          <t>Labourer</t>
        </is>
      </c>
      <c r="I15" s="30" t="n">
        <v>0</v>
      </c>
    </row>
    <row r="16" ht="23.15" customHeight="1" s="151">
      <c r="A16" s="25" t="inlineStr">
        <is>
          <t>GRIFFITHS, Daniel</t>
        </is>
      </c>
      <c r="B16" s="26" t="inlineStr">
        <is>
          <t>Project Manager</t>
        </is>
      </c>
      <c r="C16" s="31" t="n">
        <v>12</v>
      </c>
      <c r="D16" s="29" t="inlineStr">
        <is>
          <t>Hanly,Thomas</t>
        </is>
      </c>
      <c r="E16" s="26" t="inlineStr">
        <is>
          <t>Operator</t>
        </is>
      </c>
      <c r="F16" s="26" t="n"/>
      <c r="G16" s="29" t="inlineStr">
        <is>
          <t>Daniel McAuffile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v>11</v>
      </c>
    </row>
    <row r="19" ht="23.15" customHeight="1" s="151">
      <c r="A19" s="25" t="inlineStr">
        <is>
          <t>THOMPSON,Cheryl</t>
        </is>
      </c>
      <c r="B19" s="26" t="inlineStr">
        <is>
          <t>HSET</t>
        </is>
      </c>
      <c r="C19" s="31" t="n"/>
      <c r="D19" s="28" t="n"/>
      <c r="E19" s="28" t="n"/>
      <c r="F19" s="26" t="n"/>
      <c r="G19" s="29" t="inlineStr">
        <is>
          <t>Mullin, Connell</t>
        </is>
      </c>
      <c r="H19" s="26" t="inlineStr">
        <is>
          <t>Operator</t>
        </is>
      </c>
      <c r="I19" s="30" t="n">
        <v>12</v>
      </c>
    </row>
    <row r="20" ht="23.15" customHeight="1" s="151">
      <c r="A20" s="25" t="inlineStr">
        <is>
          <t>SKINNER,Jamie</t>
        </is>
      </c>
      <c r="B20" s="26" t="inlineStr">
        <is>
          <t>Supervisor</t>
        </is>
      </c>
      <c r="C20" s="31" t="n">
        <v>12</v>
      </c>
      <c r="D20" s="28" t="n"/>
      <c r="E20" s="28" t="n"/>
      <c r="F20" s="26" t="n"/>
      <c r="I20" s="30" t="n"/>
    </row>
    <row r="21" ht="23.15" customHeight="1" s="151">
      <c r="A21" s="99" t="inlineStr">
        <is>
          <t>TONER, Ultan</t>
        </is>
      </c>
      <c r="B21" s="26" t="inlineStr">
        <is>
          <t>Supervisor</t>
        </is>
      </c>
      <c r="C21" s="31" t="n">
        <v>12</v>
      </c>
      <c r="D21" s="28" t="n"/>
      <c r="E21" s="28" t="n"/>
      <c r="F21" s="26" t="n"/>
      <c r="G21" s="100" t="inlineStr">
        <is>
          <t>Mid Coast Civil</t>
        </is>
      </c>
      <c r="H21" s="26" t="n"/>
      <c r="I21" s="30" t="n"/>
    </row>
    <row r="22" ht="23.15" customHeight="1" s="151">
      <c r="A22" s="25" t="n"/>
      <c r="B22" s="26" t="n"/>
      <c r="C22" s="31" t="n"/>
      <c r="D22" s="28" t="n"/>
      <c r="E22" s="28" t="n"/>
      <c r="F22" s="26" t="n"/>
      <c r="G22" s="29" t="inlineStr">
        <is>
          <t>Vermeer, Paul</t>
        </is>
      </c>
      <c r="H22" s="26" t="inlineStr">
        <is>
          <t>Labourer</t>
        </is>
      </c>
      <c r="I22" s="30" t="n">
        <v>10</v>
      </c>
    </row>
    <row r="23" ht="23.15" customHeight="1" s="151">
      <c r="A23" s="25" t="n"/>
      <c r="B23" s="26" t="n"/>
      <c r="C23" s="31" t="n"/>
      <c r="D23" s="28" t="n"/>
      <c r="E23" s="28" t="n"/>
      <c r="F23" s="26" t="n"/>
      <c r="G23" s="29" t="inlineStr">
        <is>
          <t>Patroni, Rodney</t>
        </is>
      </c>
      <c r="H23" s="26" t="inlineStr">
        <is>
          <t>Labourer</t>
        </is>
      </c>
      <c r="I23" s="30" t="n">
        <v>10</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95" t="inlineStr">
        <is>
          <t>Oaks Civil</t>
        </is>
      </c>
      <c r="H25" s="26" t="n"/>
      <c r="I25" s="103" t="n"/>
    </row>
    <row r="26" ht="23.15" customHeight="1" s="151">
      <c r="A26" s="25" t="n"/>
      <c r="B26" s="26" t="n"/>
      <c r="C26" s="31" t="n"/>
      <c r="D26" s="28" t="n"/>
      <c r="E26" s="28" t="n"/>
      <c r="F26" s="26" t="n"/>
      <c r="G26" s="96" t="inlineStr">
        <is>
          <t>Traffic Controllers x5</t>
        </is>
      </c>
      <c r="H26" s="97" t="inlineStr">
        <is>
          <t>Traffic Controller</t>
        </is>
      </c>
      <c r="I26" s="103">
        <f>5*12.5</f>
        <v/>
      </c>
    </row>
    <row r="27" ht="23.15" customHeight="1" s="151">
      <c r="A27" s="25" t="n"/>
      <c r="B27" s="26" t="n"/>
      <c r="C27" s="31" t="n"/>
      <c r="D27" s="28" t="n"/>
      <c r="E27" s="28" t="n"/>
      <c r="F27" s="26" t="n"/>
      <c r="G27" s="29" t="n"/>
      <c r="H27" s="26" t="n"/>
      <c r="I27" s="103" t="n"/>
    </row>
    <row r="28" ht="23.15" customHeight="1" s="151">
      <c r="A28" s="25" t="n"/>
      <c r="B28" s="26" t="n"/>
      <c r="C28" s="31" t="n"/>
      <c r="D28" s="28" t="n"/>
      <c r="E28" s="28" t="n"/>
      <c r="F28" s="26" t="n"/>
      <c r="G28" s="77" t="n"/>
      <c r="H28" s="77" t="n"/>
      <c r="I28" s="36" t="n"/>
    </row>
    <row r="29" ht="23.15" customHeight="1" s="151">
      <c r="A29" s="131" t="inlineStr">
        <is>
          <t xml:space="preserve">Total Indirect Personnel onsite: </t>
        </is>
      </c>
      <c r="B29" s="34">
        <f>COUNT(C15:C29)</f>
        <v/>
      </c>
      <c r="C29" s="28" t="n"/>
      <c r="D29" s="28" t="n"/>
      <c r="E29" s="28" t="n"/>
      <c r="F29" s="26" t="n"/>
      <c r="G29" s="78" t="n"/>
      <c r="H29" s="77" t="n"/>
      <c r="I29" s="30" t="n"/>
    </row>
    <row r="30" ht="23.15" customHeight="1" s="151">
      <c r="A30" s="131" t="inlineStr">
        <is>
          <t xml:space="preserve">Total Indirect Personnel hours: </t>
        </is>
      </c>
      <c r="B30" s="34">
        <f>SUM(C15:C26)</f>
        <v/>
      </c>
      <c r="C30" s="31" t="n"/>
      <c r="D30" s="28" t="n"/>
      <c r="E30" s="28" t="n"/>
      <c r="F30" s="26" t="n"/>
      <c r="G30" s="35" t="inlineStr">
        <is>
          <t>Total Subcontractor on-site:</t>
        </is>
      </c>
      <c r="H30" s="36">
        <f>COUNT(I15:I28)+8+4</f>
        <v/>
      </c>
      <c r="I30" s="30" t="n"/>
    </row>
    <row r="31" ht="23.15" customHeight="1" s="151">
      <c r="A31" s="131" t="inlineStr">
        <is>
          <t xml:space="preserve">Total Direct Personnel onsite:  </t>
        </is>
      </c>
      <c r="B31" s="34">
        <f>COUNTIF(F15:F32,"&gt;0")</f>
        <v/>
      </c>
      <c r="C31" s="34" t="n"/>
      <c r="D31" s="28" t="n"/>
      <c r="E31" s="28" t="n"/>
      <c r="F31" s="37" t="n"/>
      <c r="G31" s="35" t="inlineStr">
        <is>
          <t>Total Subcontractor hours:</t>
        </is>
      </c>
      <c r="H31" s="36">
        <f>SUM(I11:I28)</f>
        <v/>
      </c>
      <c r="I31" s="130" t="n"/>
    </row>
    <row r="32" ht="23.15" customHeight="1" s="151">
      <c r="A32" s="131" t="inlineStr">
        <is>
          <t xml:space="preserve">Total Direct Personnel hours: </t>
        </is>
      </c>
      <c r="B32" s="34">
        <f>SUM(F15:F32)</f>
        <v/>
      </c>
      <c r="C32" s="34" t="n"/>
      <c r="D32" s="34" t="n"/>
      <c r="E32" s="34" t="n"/>
      <c r="F32" s="34" t="n"/>
      <c r="G32" s="34" t="n"/>
      <c r="H32" s="34" t="n"/>
      <c r="I32" s="130" t="n"/>
    </row>
    <row r="33" ht="25" customHeight="1" s="151">
      <c r="A33" s="39" t="inlineStr">
        <is>
          <t>PLANT &amp; EQUIPMENT</t>
        </is>
      </c>
      <c r="B33" s="40" t="n"/>
      <c r="C33" s="40" t="n"/>
      <c r="D33" s="40" t="n"/>
      <c r="E33" s="40" t="n"/>
      <c r="F33" s="40" t="n"/>
      <c r="G33" s="40" t="n"/>
      <c r="H33" s="40" t="n"/>
      <c r="I33" s="41" t="n"/>
    </row>
    <row r="34" ht="24" customHeight="1" s="151">
      <c r="A34" s="126" t="inlineStr">
        <is>
          <t>Plant</t>
        </is>
      </c>
      <c r="B34" s="127" t="inlineStr">
        <is>
          <t>ID</t>
        </is>
      </c>
      <c r="C34" s="127" t="inlineStr">
        <is>
          <t>Hours</t>
        </is>
      </c>
      <c r="D34" s="127" t="inlineStr">
        <is>
          <t xml:space="preserve"> Vehicles</t>
        </is>
      </c>
      <c r="E34" s="127" t="inlineStr">
        <is>
          <t>ID</t>
        </is>
      </c>
      <c r="F34" s="127" t="inlineStr">
        <is>
          <t>QTY</t>
        </is>
      </c>
      <c r="G34" s="42" t="inlineStr">
        <is>
          <t>Site Facilities</t>
        </is>
      </c>
      <c r="H34" s="42" t="inlineStr">
        <is>
          <t>ID</t>
        </is>
      </c>
      <c r="I34" s="43" t="inlineStr">
        <is>
          <t>Qty</t>
        </is>
      </c>
    </row>
    <row r="35" ht="23.15" customHeight="1" s="151">
      <c r="A35" s="25" t="inlineStr">
        <is>
          <t>Komatsu WA320</t>
        </is>
      </c>
      <c r="B35" s="26" t="inlineStr">
        <is>
          <t>FWL18</t>
        </is>
      </c>
      <c r="C35" s="26" t="n">
        <v>2</v>
      </c>
      <c r="D35" s="31" t="inlineStr">
        <is>
          <t>Hilux</t>
        </is>
      </c>
      <c r="E35" s="31" t="inlineStr">
        <is>
          <t>DLV90</t>
        </is>
      </c>
      <c r="F35" s="31" t="n">
        <v>1</v>
      </c>
      <c r="G35" s="31" t="inlineStr">
        <is>
          <t>Office 40ft</t>
        </is>
      </c>
      <c r="H35" s="31" t="n">
        <v>9255540</v>
      </c>
      <c r="I35" s="30" t="n">
        <v>1</v>
      </c>
    </row>
    <row r="36" ht="23.15" customHeight="1" s="151">
      <c r="A36" s="25" t="inlineStr">
        <is>
          <t>Wacker Neuson DPU</t>
        </is>
      </c>
      <c r="B36" s="26" t="inlineStr">
        <is>
          <t>DPC15</t>
        </is>
      </c>
      <c r="C36" s="26" t="n">
        <v>6</v>
      </c>
      <c r="D36" s="31" t="inlineStr">
        <is>
          <t>Hilux</t>
        </is>
      </c>
      <c r="E36" s="31" t="inlineStr">
        <is>
          <t>1DLV04</t>
        </is>
      </c>
      <c r="F36" s="31" t="n">
        <v>1</v>
      </c>
      <c r="G36" s="31" t="inlineStr">
        <is>
          <t>Sea Container 20ft</t>
        </is>
      </c>
      <c r="H36" s="26" t="n">
        <v>951200</v>
      </c>
      <c r="I36" s="30" t="n">
        <v>1</v>
      </c>
    </row>
    <row r="37" ht="23.15" customHeight="1" s="151">
      <c r="A37" s="44" t="inlineStr">
        <is>
          <t>Watercart</t>
        </is>
      </c>
      <c r="B37" s="31" t="inlineStr">
        <is>
          <t>WC04</t>
        </is>
      </c>
      <c r="C37" s="26" t="n">
        <v>5</v>
      </c>
      <c r="D37" s="31" t="n"/>
      <c r="E37" s="26" t="n"/>
      <c r="F37" s="31" t="n"/>
      <c r="G37" s="31" t="inlineStr">
        <is>
          <t>Site Sentry Tower</t>
        </is>
      </c>
      <c r="H37" s="31" t="n"/>
      <c r="I37" s="30" t="n">
        <v>2</v>
      </c>
    </row>
    <row r="38" ht="23.15" customHeight="1" s="151">
      <c r="A38" s="44" t="inlineStr">
        <is>
          <t>8T Excavator</t>
        </is>
      </c>
      <c r="B38" s="45" t="inlineStr">
        <is>
          <t>AMG 014</t>
        </is>
      </c>
      <c r="C38" s="26" t="n"/>
      <c r="D38" s="31" t="n"/>
      <c r="E38" s="31" t="n"/>
      <c r="F38" s="31" t="n"/>
      <c r="G38" s="31" t="inlineStr">
        <is>
          <t>Skip Bin</t>
        </is>
      </c>
      <c r="H38" s="31" t="n"/>
      <c r="I38" s="30" t="n">
        <v>1</v>
      </c>
    </row>
    <row r="39" ht="23.15" customHeight="1" s="151">
      <c r="A39" s="31" t="inlineStr">
        <is>
          <t>Mini Tipper</t>
        </is>
      </c>
      <c r="B39" s="31" t="inlineStr">
        <is>
          <t>SLS05</t>
        </is>
      </c>
      <c r="C39" s="31" t="n">
        <v>8</v>
      </c>
      <c r="D39" s="31" t="n"/>
      <c r="E39" s="31" t="n"/>
      <c r="F39" s="31" t="n"/>
      <c r="G39" s="31" t="inlineStr">
        <is>
          <t>Hydrocarbon Bund</t>
        </is>
      </c>
      <c r="H39" s="31" t="n"/>
      <c r="I39" s="30" t="n">
        <v>1</v>
      </c>
    </row>
    <row r="40" ht="23.15" customHeight="1" s="151">
      <c r="A40" s="76" t="inlineStr">
        <is>
          <t>1 t Excavator</t>
        </is>
      </c>
      <c r="B40" s="31" t="inlineStr">
        <is>
          <t>SLS03</t>
        </is>
      </c>
      <c r="C40" s="31" t="n">
        <v>6</v>
      </c>
      <c r="D40" s="31" t="n"/>
      <c r="E40" s="31" t="n"/>
      <c r="F40" s="31" t="n"/>
      <c r="G40" s="31" t="inlineStr">
        <is>
          <t>Temp Fence</t>
        </is>
      </c>
      <c r="H40" s="26" t="n"/>
      <c r="I40" s="30" t="n">
        <v>1</v>
      </c>
    </row>
    <row r="41" ht="24" customHeight="1" s="151">
      <c r="A41" s="76" t="inlineStr">
        <is>
          <t>14t Excavator with GPS</t>
        </is>
      </c>
      <c r="B41" s="31" t="inlineStr">
        <is>
          <t>EX153</t>
        </is>
      </c>
      <c r="C41" s="31" t="n">
        <v>8</v>
      </c>
      <c r="D41" s="31" t="n"/>
      <c r="E41" s="31" t="n"/>
      <c r="F41" s="31" t="n"/>
      <c r="G41" s="2" t="n"/>
      <c r="H41" s="2" t="n"/>
      <c r="I41" s="3" t="n"/>
    </row>
    <row r="42" ht="24" customHeight="1" s="151">
      <c r="A42" s="76" t="inlineStr">
        <is>
          <t>5t Excavator</t>
        </is>
      </c>
      <c r="B42" s="31" t="inlineStr">
        <is>
          <t>A118</t>
        </is>
      </c>
      <c r="C42" s="31" t="n">
        <v>5</v>
      </c>
      <c r="D42" s="31" t="n"/>
      <c r="E42" s="31" t="n"/>
      <c r="F42" s="31" t="n"/>
      <c r="G42" s="2" t="n"/>
      <c r="H42" s="2" t="n"/>
      <c r="I42" s="3" t="n"/>
    </row>
    <row r="43" ht="24" customHeight="1" s="151">
      <c r="A43" s="44" t="inlineStr">
        <is>
          <t>Padfoot/ Smooth Drum Roller</t>
        </is>
      </c>
      <c r="B43" s="31" t="inlineStr">
        <is>
          <t>RR 03</t>
        </is>
      </c>
      <c r="C43" s="26" t="n">
        <v>3</v>
      </c>
      <c r="D43" s="31" t="n"/>
      <c r="E43" s="31" t="n"/>
      <c r="F43" s="31" t="n"/>
      <c r="G43" s="2" t="n"/>
      <c r="H43" s="2" t="n"/>
      <c r="I43" s="3" t="n"/>
    </row>
    <row r="44" ht="24" customHeight="1" s="151">
      <c r="A44" s="44" t="inlineStr">
        <is>
          <t>Multi Roller</t>
        </is>
      </c>
      <c r="B44" s="31" t="n">
        <v>256</v>
      </c>
      <c r="C44" s="26" t="n">
        <v>3</v>
      </c>
      <c r="D44" s="31" t="n"/>
      <c r="E44" s="31" t="n"/>
      <c r="F44" s="31" t="n"/>
      <c r="G44" s="2" t="n"/>
      <c r="H44" s="2" t="n"/>
      <c r="I44" s="3" t="n"/>
    </row>
    <row r="45" ht="24" customHeight="1" s="151">
      <c r="A45" s="44" t="inlineStr">
        <is>
          <t>Positrak SSL</t>
        </is>
      </c>
      <c r="B45" s="31" t="inlineStr">
        <is>
          <t>SSL08</t>
        </is>
      </c>
      <c r="C45" s="26" t="n">
        <v>5</v>
      </c>
      <c r="D45" s="31" t="n"/>
      <c r="E45" s="31" t="n"/>
      <c r="F45" s="31" t="n"/>
      <c r="G45" s="2" t="n"/>
      <c r="H45" s="2" t="n"/>
      <c r="I45" s="3" t="n"/>
    </row>
    <row r="46" ht="24" customHeight="1" s="151">
      <c r="A46" s="44" t="inlineStr">
        <is>
          <t>6 Wheel Tipper</t>
        </is>
      </c>
      <c r="B46" s="31" t="inlineStr">
        <is>
          <t>T091</t>
        </is>
      </c>
      <c r="C46" s="26" t="n">
        <v>5</v>
      </c>
      <c r="D46" s="31" t="n"/>
      <c r="E46" s="31" t="n"/>
      <c r="F46" s="31" t="n"/>
      <c r="G46" s="2" t="n"/>
      <c r="H46" s="2" t="n"/>
      <c r="I46" s="3" t="n"/>
    </row>
    <row r="47" ht="24" customHeight="1" s="151">
      <c r="A47" s="44" t="inlineStr">
        <is>
          <t>Grader</t>
        </is>
      </c>
      <c r="B47" s="31" t="inlineStr">
        <is>
          <t>SLS01</t>
        </is>
      </c>
      <c r="C47" s="26" t="n"/>
      <c r="D47" s="31" t="n"/>
      <c r="E47" s="31" t="n"/>
      <c r="F47" s="31" t="n"/>
      <c r="G47" s="2" t="n"/>
      <c r="H47" s="2" t="n"/>
      <c r="I47" s="3" t="n"/>
    </row>
    <row r="48" ht="24" customHeight="1" s="151">
      <c r="A48" s="44" t="n"/>
      <c r="B48" s="31" t="n"/>
      <c r="C48" s="26" t="n"/>
      <c r="D48" s="2" t="n"/>
      <c r="E48" s="2" t="n"/>
      <c r="F48" s="2" t="n"/>
      <c r="G48" s="2" t="n"/>
      <c r="H48" s="2" t="n"/>
      <c r="I48" s="3" t="n"/>
    </row>
    <row r="49" ht="18" customHeight="1" s="151">
      <c r="A49" s="46" t="n">
        <v>0</v>
      </c>
      <c r="B49" s="128" t="inlineStr">
        <is>
          <t xml:space="preserve">Repairs Required </t>
        </is>
      </c>
      <c r="C49" s="118" t="n"/>
      <c r="D49" s="129" t="inlineStr">
        <is>
          <t>N/A</t>
        </is>
      </c>
      <c r="E49" s="159" t="n"/>
      <c r="F49" s="159" t="n"/>
      <c r="G49" s="159" t="n"/>
      <c r="H49" s="159" t="n"/>
      <c r="I49" s="160" t="n"/>
    </row>
    <row r="50" ht="18" customHeight="1" s="151">
      <c r="A50" s="47" t="n">
        <v>1</v>
      </c>
      <c r="B50" s="128" t="inlineStr">
        <is>
          <t>Scheduled Service</t>
        </is>
      </c>
      <c r="C50" s="118" t="n"/>
      <c r="D50" s="156" t="inlineStr">
        <is>
          <t>Smooth Drum Roller</t>
        </is>
      </c>
      <c r="E50" s="159" t="n"/>
      <c r="F50" s="159" t="n"/>
      <c r="G50" s="159" t="n"/>
      <c r="H50" s="159" t="n"/>
      <c r="I50" s="160" t="n"/>
    </row>
    <row r="51" ht="18" customHeight="1" s="151">
      <c r="A51" s="48" t="n">
        <v>0</v>
      </c>
      <c r="B51" s="128" t="n"/>
      <c r="C51" s="118" t="n"/>
      <c r="D51" s="129" t="inlineStr">
        <is>
          <t>N/A</t>
        </is>
      </c>
      <c r="E51" s="159" t="n"/>
      <c r="F51" s="159" t="n"/>
      <c r="G51" s="159" t="n"/>
      <c r="H51" s="159" t="n"/>
      <c r="I51" s="160" t="n"/>
    </row>
    <row r="52" ht="23.15" customHeight="1" s="151">
      <c r="A52" s="131" t="inlineStr">
        <is>
          <t xml:space="preserve">Total Plant and Equipment Hours: </t>
        </is>
      </c>
      <c r="B52" s="118" t="n"/>
      <c r="C52" s="49">
        <f>SUM(C35:C48)</f>
        <v/>
      </c>
      <c r="D52" s="132" t="n"/>
      <c r="E52" s="159" t="n"/>
      <c r="F52" s="159" t="n"/>
      <c r="G52" s="159" t="n"/>
      <c r="H52" s="159" t="n"/>
      <c r="I52" s="160" t="n"/>
    </row>
    <row r="53" ht="25" customHeight="1" s="151">
      <c r="A53" s="120" t="inlineStr">
        <is>
          <t>DELAYS-OPPORTUNITY</t>
        </is>
      </c>
      <c r="B53" s="159" t="n"/>
      <c r="C53" s="159" t="n"/>
      <c r="D53" s="159" t="n"/>
      <c r="E53" s="159" t="n"/>
      <c r="F53" s="159" t="n"/>
      <c r="G53" s="159" t="n"/>
      <c r="H53" s="159" t="n"/>
      <c r="I53" s="160" t="n"/>
    </row>
    <row r="54" ht="20.15" customHeight="1" s="151">
      <c r="A54" s="50" t="n"/>
      <c r="B54" s="51" t="n"/>
      <c r="C54" s="51" t="n"/>
      <c r="D54" s="51" t="n"/>
      <c r="E54" s="51" t="n"/>
      <c r="F54" s="51" t="n"/>
      <c r="G54" s="51" t="n"/>
      <c r="H54" s="51" t="n"/>
      <c r="I54" s="52" t="n"/>
    </row>
    <row r="55" ht="15" customHeight="1" s="151" thickBot="1">
      <c r="A55" s="155" t="inlineStr">
        <is>
          <t>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
Noted Additional Material needed to be removed beneath the pavers
Confirmed alignment shift of south eastern tie in to flush kerb alignment 
Flush Kerb Alignment near paving enterence amended to avoid clash with drainage pit</t>
        </is>
      </c>
      <c r="B55" s="124" t="n"/>
      <c r="C55" s="124" t="n"/>
      <c r="D55" s="124" t="n"/>
      <c r="E55" s="124" t="n"/>
      <c r="F55" s="124" t="n"/>
      <c r="G55" s="124" t="n"/>
      <c r="H55" s="124" t="n"/>
      <c r="I55" s="125" t="n"/>
    </row>
    <row r="56">
      <c r="A56" s="111" t="n"/>
      <c r="I56" s="113" t="n"/>
    </row>
    <row r="57" ht="49.5" customHeight="1" s="151">
      <c r="A57" s="111" t="n"/>
      <c r="I57" s="113" t="n"/>
    </row>
    <row r="58" ht="129" customHeight="1" s="151" thickBot="1">
      <c r="A58" s="134" t="n"/>
      <c r="B58" s="135" t="n"/>
      <c r="C58" s="135" t="n"/>
      <c r="D58" s="135" t="n"/>
      <c r="E58" s="135" t="n"/>
      <c r="F58" s="135" t="n"/>
      <c r="G58" s="135" t="n"/>
      <c r="H58" s="135" t="n"/>
      <c r="I58" s="136" t="n"/>
    </row>
    <row r="59" ht="25" customHeight="1" s="151">
      <c r="A59" s="137" t="inlineStr">
        <is>
          <t>HSEQ MESSAGES</t>
        </is>
      </c>
      <c r="B59" s="138" t="n"/>
      <c r="C59" s="138" t="n"/>
      <c r="D59" s="138" t="n"/>
      <c r="E59" s="138" t="n"/>
      <c r="F59" s="138" t="n"/>
      <c r="G59" s="138" t="n"/>
      <c r="H59" s="138" t="n"/>
      <c r="I59" s="139" t="n"/>
    </row>
    <row r="60" ht="18" customHeight="1" s="151">
      <c r="A60" s="53" t="inlineStr">
        <is>
          <t>TCD - Monthly Safety Focus:</t>
        </is>
      </c>
      <c r="B60" s="140" t="inlineStr">
        <is>
          <t>Underground Services</t>
        </is>
      </c>
      <c r="C60" s="159" t="n"/>
      <c r="D60" s="159" t="n"/>
      <c r="E60" s="159" t="n"/>
      <c r="F60" s="159" t="n"/>
      <c r="G60" s="159" t="n"/>
      <c r="H60" s="159" t="n"/>
      <c r="I60" s="118" t="n"/>
    </row>
    <row r="61" ht="24" customHeight="1" s="151">
      <c r="A61" s="53" t="inlineStr">
        <is>
          <t>TCD - Daily Safety Focus:</t>
        </is>
      </c>
      <c r="B61" s="141" t="inlineStr">
        <is>
          <t>Shut Down Area, Positive Comms and Keep Clear of Machinery</t>
        </is>
      </c>
      <c r="C61" s="159" t="n"/>
      <c r="D61" s="159" t="n"/>
      <c r="E61" s="159" t="n"/>
      <c r="F61" s="159" t="n"/>
      <c r="G61" s="159" t="n"/>
      <c r="H61" s="159" t="n"/>
      <c r="I61" s="160" t="n"/>
    </row>
    <row r="62" ht="18" customHeight="1" s="151">
      <c r="A62" s="54" t="inlineStr">
        <is>
          <t xml:space="preserve">Hazards Reported: </t>
        </is>
      </c>
      <c r="B62" s="55" t="inlineStr">
        <is>
          <t>Nil</t>
        </is>
      </c>
      <c r="C62" s="141" t="n"/>
      <c r="D62" s="159" t="n"/>
      <c r="E62" s="159" t="n"/>
      <c r="F62" s="159" t="n"/>
      <c r="G62" s="159" t="n"/>
      <c r="H62" s="159" t="n"/>
      <c r="I62" s="160" t="n"/>
    </row>
    <row r="63" ht="18" customHeight="1" s="151">
      <c r="A63" s="54" t="inlineStr">
        <is>
          <t>Incident Free Days</t>
        </is>
      </c>
      <c r="B63" s="55" t="n">
        <v>23</v>
      </c>
      <c r="C63" s="140" t="n"/>
      <c r="D63" s="159" t="n"/>
      <c r="E63" s="159" t="n"/>
      <c r="F63" s="159" t="n"/>
      <c r="G63" s="159" t="n"/>
      <c r="H63" s="159" t="n"/>
      <c r="I63" s="118" t="n"/>
    </row>
    <row r="64" ht="18" customHeight="1" s="151">
      <c r="A64" s="56" t="inlineStr">
        <is>
          <t>Other Notes</t>
        </is>
      </c>
      <c r="B64" s="142" t="n"/>
      <c r="C64" s="124" t="n"/>
      <c r="D64" s="124" t="n"/>
      <c r="E64" s="124" t="n"/>
      <c r="F64" s="124" t="n"/>
      <c r="G64" s="124" t="n"/>
      <c r="H64" s="124" t="n"/>
      <c r="I64" s="125" t="n"/>
    </row>
    <row r="65" ht="20.25" customHeight="1" s="151">
      <c r="A65" s="120" t="inlineStr">
        <is>
          <t xml:space="preserve">INCIDENTS &amp; REPORTS </t>
        </is>
      </c>
      <c r="B65" s="159" t="n"/>
      <c r="C65" s="159" t="n"/>
      <c r="D65" s="159" t="n"/>
      <c r="E65" s="159" t="n"/>
      <c r="F65" s="159" t="n"/>
      <c r="G65" s="159" t="n"/>
      <c r="H65" s="159" t="n"/>
      <c r="I65" s="160" t="n"/>
    </row>
    <row r="66" ht="25" customHeight="1" s="151">
      <c r="A66" s="57" t="n"/>
      <c r="B66" s="127" t="inlineStr">
        <is>
          <t>QTY</t>
        </is>
      </c>
      <c r="C66" s="130" t="inlineStr">
        <is>
          <t>Comments</t>
        </is>
      </c>
      <c r="D66" s="159" t="n"/>
      <c r="E66" s="159" t="n"/>
      <c r="F66" s="159" t="n"/>
      <c r="G66" s="159" t="n"/>
      <c r="H66" s="159" t="n"/>
      <c r="I66" s="160" t="n"/>
    </row>
    <row r="67" ht="25" customHeight="1" s="151">
      <c r="A67" s="58" t="inlineStr">
        <is>
          <t>INCIDENT</t>
        </is>
      </c>
      <c r="B67" s="127" t="n">
        <v>0</v>
      </c>
      <c r="C67" s="129" t="inlineStr">
        <is>
          <t>NA</t>
        </is>
      </c>
      <c r="D67" s="159" t="n"/>
      <c r="E67" s="159" t="n"/>
      <c r="F67" s="159" t="n"/>
      <c r="G67" s="159" t="n"/>
      <c r="H67" s="159" t="n"/>
      <c r="I67" s="160" t="n"/>
    </row>
    <row r="68" ht="25" customHeight="1" s="151">
      <c r="A68" s="59" t="inlineStr">
        <is>
          <t>IR</t>
        </is>
      </c>
      <c r="B68" s="60" t="n">
        <v>0</v>
      </c>
      <c r="C68" s="145" t="inlineStr">
        <is>
          <t>NA</t>
        </is>
      </c>
      <c r="D68" s="124" t="n"/>
      <c r="E68" s="124" t="n"/>
      <c r="F68" s="124" t="n"/>
      <c r="G68" s="124" t="n"/>
      <c r="H68" s="124" t="n"/>
      <c r="I68" s="125" t="n"/>
    </row>
    <row r="69" ht="25" customHeight="1" s="151" thickBot="1">
      <c r="A69" s="61" t="inlineStr">
        <is>
          <t>NCR</t>
        </is>
      </c>
      <c r="B69" s="62" t="n">
        <v>0</v>
      </c>
      <c r="C69" s="146" t="inlineStr">
        <is>
          <t>NA</t>
        </is>
      </c>
      <c r="D69" s="147" t="n"/>
      <c r="E69" s="147" t="n"/>
      <c r="F69" s="147" t="n"/>
      <c r="G69" s="147" t="n"/>
      <c r="H69" s="147" t="n"/>
      <c r="I69" s="148" t="n"/>
    </row>
    <row r="70" ht="20.25" customHeight="1" s="151">
      <c r="A70" s="137" t="inlineStr">
        <is>
          <t>COMMUNICATIONS</t>
        </is>
      </c>
      <c r="B70" s="138" t="n"/>
      <c r="C70" s="138" t="n"/>
      <c r="D70" s="138" t="n"/>
      <c r="E70" s="138" t="n"/>
      <c r="F70" s="138" t="n"/>
      <c r="G70" s="138" t="n"/>
      <c r="H70" s="138" t="n"/>
      <c r="I70" s="139" t="n"/>
    </row>
    <row r="71" ht="25" customHeight="1" s="151">
      <c r="A71" s="149" t="inlineStr">
        <is>
          <t>TGS MB1119-05 Scheme D implemented</t>
        </is>
      </c>
      <c r="B71" s="159" t="n"/>
      <c r="C71" s="159" t="n"/>
      <c r="D71" s="159" t="n"/>
      <c r="E71" s="159" t="n"/>
      <c r="F71" s="159" t="n"/>
      <c r="G71" s="159" t="n"/>
      <c r="H71" s="159" t="n"/>
      <c r="I71" s="160" t="n"/>
    </row>
    <row r="72" ht="25" customHeight="1" s="151">
      <c r="A72" s="149" t="inlineStr">
        <is>
          <t xml:space="preserve">TGS MB1119-07A implemented </t>
        </is>
      </c>
      <c r="B72" s="159" t="n"/>
      <c r="C72" s="159" t="n"/>
      <c r="D72" s="159" t="n"/>
      <c r="E72" s="159" t="n"/>
      <c r="F72" s="159" t="n"/>
      <c r="G72" s="159" t="n"/>
      <c r="H72" s="159" t="n"/>
      <c r="I72" s="160" t="n"/>
    </row>
    <row r="73" ht="25" customHeight="1" s="151">
      <c r="A73" s="120" t="inlineStr">
        <is>
          <t>PRODUCTION (CONSTRUCTION STATUS &amp; PROGRESS)</t>
        </is>
      </c>
      <c r="B73" s="159" t="n"/>
      <c r="C73" s="159" t="n"/>
      <c r="D73" s="159" t="n"/>
      <c r="E73" s="159" t="n"/>
      <c r="F73" s="159" t="n"/>
      <c r="G73" s="159" t="n"/>
      <c r="H73" s="159" t="n"/>
      <c r="I73" s="160" t="n"/>
    </row>
    <row r="74" ht="25" customHeight="1" s="151">
      <c r="A74" s="98" t="inlineStr">
        <is>
          <t>Ongoing Basecourse Top up and Roll</t>
        </is>
      </c>
      <c r="B74" s="64" t="n"/>
      <c r="C74" s="9" t="n"/>
      <c r="D74" s="9" t="n"/>
      <c r="E74" s="64" t="n"/>
      <c r="F74" s="64" t="n"/>
      <c r="G74" s="9" t="n"/>
      <c r="H74" s="64" t="n"/>
      <c r="I74" s="65" t="n"/>
    </row>
    <row r="75" ht="25" customHeight="1" s="151">
      <c r="A75" s="98" t="inlineStr">
        <is>
          <t>Ongoing Trimming of basecourse</t>
        </is>
      </c>
      <c r="B75" s="64" t="n"/>
      <c r="C75" s="9" t="n"/>
      <c r="D75" s="9" t="n"/>
      <c r="E75" s="64" t="n"/>
      <c r="F75" s="64" t="n"/>
      <c r="G75" s="9" t="n"/>
      <c r="H75" s="64" t="n"/>
      <c r="I75" s="65" t="n"/>
    </row>
    <row r="76" ht="25" customHeight="1" s="151">
      <c r="A76" s="98" t="inlineStr">
        <is>
          <t>Raising of Pits in Shutdown Area</t>
        </is>
      </c>
      <c r="B76" s="64" t="n"/>
      <c r="C76" s="9" t="n"/>
      <c r="D76" s="9" t="n"/>
      <c r="E76" s="64" t="n"/>
      <c r="F76" s="64" t="n"/>
      <c r="G76" s="9" t="n"/>
      <c r="H76" s="64" t="n"/>
      <c r="I76" s="65" t="n"/>
    </row>
    <row r="77" ht="25" customHeight="1" s="151">
      <c r="A77" s="98" t="inlineStr">
        <is>
          <t>Trimming of batters and verges</t>
        </is>
      </c>
      <c r="B77" s="64" t="n"/>
      <c r="C77" s="9" t="n"/>
      <c r="D77" s="9" t="n"/>
      <c r="E77" s="64" t="n"/>
      <c r="F77" s="64" t="n"/>
      <c r="G77" s="9" t="n"/>
      <c r="H77" s="64" t="n"/>
      <c r="I77" s="65" t="n"/>
    </row>
    <row r="78" ht="25" customHeight="1" s="151">
      <c r="A78" s="98" t="inlineStr">
        <is>
          <t>Commence Reinstatement of Verges to Museum Place</t>
        </is>
      </c>
      <c r="B78" s="64" t="n"/>
      <c r="C78" s="9" t="n"/>
      <c r="D78" s="64" t="n"/>
      <c r="E78" s="64" t="n"/>
      <c r="F78" s="64" t="n"/>
      <c r="G78" s="64" t="n"/>
      <c r="H78" s="64" t="n"/>
      <c r="I78" s="65" t="n"/>
    </row>
    <row r="79" ht="26.15" customHeight="1" s="151" thickBot="1">
      <c r="A79" s="123" t="inlineStr">
        <is>
          <t>Photos</t>
        </is>
      </c>
      <c r="B79" s="124" t="n"/>
      <c r="C79" s="124" t="n"/>
      <c r="D79" s="124" t="n"/>
      <c r="E79" s="124" t="n"/>
      <c r="F79" s="124" t="n"/>
      <c r="G79" s="124" t="n"/>
      <c r="H79" s="124" t="n"/>
      <c r="I79" s="125" t="n"/>
    </row>
    <row r="80" ht="23.15" customHeight="1" s="151">
      <c r="A80" s="66" t="n"/>
      <c r="B80" s="67" t="n"/>
      <c r="C80" s="67" t="n"/>
      <c r="D80" s="67" t="n"/>
      <c r="E80" s="67" t="n"/>
      <c r="F80" s="67" t="n"/>
      <c r="G80" s="67" t="n"/>
      <c r="H80" s="67" t="n"/>
      <c r="I80" s="68" t="n"/>
    </row>
    <row r="81" ht="23.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H102" s="70" t="n"/>
      <c r="I102" s="71" t="n"/>
    </row>
    <row r="103" ht="25" customFormat="1" customHeight="1" s="10">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thickBot="1">
      <c r="A118" s="72" t="n"/>
      <c r="B118" s="73" t="n"/>
      <c r="C118" s="73" t="n"/>
      <c r="D118" s="73" t="n"/>
      <c r="E118" s="73" t="n"/>
      <c r="F118" s="73" t="n"/>
      <c r="G118" s="73" t="n"/>
      <c r="H118" s="73" t="n"/>
      <c r="I118" s="74"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2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28"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thickBot="1">
      <c r="A143" s="69" t="n"/>
      <c r="B143" s="70" t="n"/>
      <c r="C143" s="70" t="n"/>
      <c r="D143" s="70" t="n"/>
      <c r="E143" s="70" t="n"/>
      <c r="F143" s="70" t="n"/>
      <c r="G143" s="70" t="n"/>
      <c r="H143" s="70" t="n"/>
      <c r="I143" s="71" t="n"/>
      <c r="J143" s="75"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c r="A146" s="69" t="n"/>
      <c r="B146" s="70" t="n"/>
      <c r="C146" s="70" t="n"/>
      <c r="D146" s="70" t="n"/>
      <c r="E146" s="70" t="n"/>
      <c r="F146" s="70" t="n"/>
      <c r="G146" s="70" t="n"/>
      <c r="H146" s="70" t="n"/>
      <c r="I146" s="71" t="n"/>
    </row>
    <row r="147" ht="15" customHeight="1" s="151">
      <c r="A147" s="69" t="n"/>
      <c r="B147" s="70" t="n"/>
      <c r="C147" s="70" t="n"/>
      <c r="D147" s="70" t="n"/>
      <c r="E147" s="70" t="n"/>
      <c r="F147" s="70" t="n"/>
      <c r="G147" s="70" t="n"/>
      <c r="H147" s="70" t="n"/>
      <c r="I147" s="71" t="n"/>
    </row>
    <row r="148" ht="15" customHeight="1" s="151">
      <c r="A148" s="69" t="n"/>
      <c r="B148" s="70" t="n"/>
      <c r="C148" s="70" t="n"/>
      <c r="D148" s="70" t="n"/>
      <c r="E148" s="70" t="n"/>
      <c r="F148" s="70" t="n"/>
      <c r="G148" s="70" t="n"/>
      <c r="H148" s="70" t="n"/>
      <c r="I148" s="71" t="n"/>
    </row>
    <row r="149" ht="15" customHeight="1" s="151">
      <c r="A149" s="69" t="n"/>
      <c r="B149" s="70" t="n"/>
      <c r="C149" s="70" t="n"/>
      <c r="D149" s="70" t="n"/>
      <c r="E149" s="70" t="n"/>
      <c r="F149" s="70" t="n"/>
      <c r="G149" s="70" t="n"/>
      <c r="H149" s="70" t="n"/>
      <c r="I149" s="71" t="n"/>
    </row>
    <row r="150" ht="16" customHeight="1" s="151">
      <c r="A150" s="69" t="n"/>
      <c r="B150" s="70" t="n"/>
      <c r="C150" s="70" t="n"/>
      <c r="D150" s="70" t="n"/>
      <c r="E150" s="70" t="n"/>
      <c r="F150" s="70" t="n"/>
      <c r="G150" s="70" t="n"/>
      <c r="H150" s="70" t="n"/>
      <c r="I150" s="71" t="n"/>
    </row>
    <row r="151" ht="30.75" customHeight="1" s="151">
      <c r="A151" s="143" t="n"/>
      <c r="E151" s="144" t="n"/>
      <c r="I151" s="113"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c r="A201" s="7" t="n"/>
      <c r="I201" s="8" t="n"/>
    </row>
    <row r="202">
      <c r="A202" s="7" t="n"/>
      <c r="I202" s="8" t="n"/>
    </row>
    <row r="203">
      <c r="A203" s="7" t="n"/>
      <c r="I203" s="8" t="n"/>
    </row>
    <row r="204">
      <c r="A204" s="7" t="n"/>
      <c r="I204" s="8" t="n"/>
    </row>
    <row r="205" ht="16" customHeight="1" s="151" thickBot="1">
      <c r="A205" s="4" t="n"/>
      <c r="B205" s="5" t="n"/>
      <c r="C205" s="5" t="n"/>
      <c r="D205" s="5" t="n"/>
      <c r="E205" s="5" t="n"/>
      <c r="F205" s="5" t="n"/>
      <c r="G205" s="5" t="n"/>
      <c r="H205" s="5" t="n"/>
      <c r="I205" s="6" t="n"/>
    </row>
    <row r="206">
      <c r="A206" s="7" t="n"/>
      <c r="I206" s="8" t="n"/>
    </row>
    <row r="207">
      <c r="A207" s="7" t="n"/>
      <c r="I207" s="8" t="n"/>
    </row>
    <row r="208">
      <c r="A208" s="7" t="n"/>
      <c r="I208" s="8" t="n"/>
    </row>
    <row r="209">
      <c r="A209" s="7" t="n"/>
      <c r="I209" s="8" t="n"/>
    </row>
    <row r="210">
      <c r="A210" s="7" t="n"/>
      <c r="I210" s="8" t="n"/>
    </row>
    <row r="211">
      <c r="A211" s="7" t="n"/>
      <c r="I211" s="8" t="n"/>
    </row>
    <row r="212" ht="16" customHeight="1" s="151" thickBot="1">
      <c r="A212" s="4" t="n"/>
      <c r="B212" s="5" t="n"/>
      <c r="C212" s="5" t="n"/>
      <c r="D212" s="5" t="n"/>
      <c r="E212" s="5" t="n"/>
      <c r="F212" s="5" t="n"/>
      <c r="G212" s="5" t="n"/>
      <c r="H212" s="5" t="n"/>
      <c r="I212" s="6" t="n"/>
    </row>
  </sheetData>
  <mergeCells count="40">
    <mergeCell ref="D49:I49"/>
    <mergeCell ref="A65:I65"/>
    <mergeCell ref="D13:F13"/>
    <mergeCell ref="G13:I13"/>
    <mergeCell ref="B8:D8"/>
    <mergeCell ref="E151:I151"/>
    <mergeCell ref="C67:I67"/>
    <mergeCell ref="A12:I12"/>
    <mergeCell ref="C66:I66"/>
    <mergeCell ref="C69:I69"/>
    <mergeCell ref="A71:I71"/>
    <mergeCell ref="A5:I5"/>
    <mergeCell ref="B9:D9"/>
    <mergeCell ref="B60:I60"/>
    <mergeCell ref="C68:I68"/>
    <mergeCell ref="C62:I62"/>
    <mergeCell ref="A53:I53"/>
    <mergeCell ref="B61:I61"/>
    <mergeCell ref="B6:D6"/>
    <mergeCell ref="A72:I72"/>
    <mergeCell ref="D51:I51"/>
    <mergeCell ref="A13:C13"/>
    <mergeCell ref="A10:I10"/>
    <mergeCell ref="A1:I4"/>
    <mergeCell ref="D50:I50"/>
    <mergeCell ref="B7:D7"/>
    <mergeCell ref="C63:I63"/>
    <mergeCell ref="B49:C49"/>
    <mergeCell ref="A55:I58"/>
    <mergeCell ref="A59:I59"/>
    <mergeCell ref="A73:I73"/>
    <mergeCell ref="A52:B52"/>
    <mergeCell ref="B64:I64"/>
    <mergeCell ref="A11:I11"/>
    <mergeCell ref="B51:C51"/>
    <mergeCell ref="A70:I70"/>
    <mergeCell ref="A79:I79"/>
    <mergeCell ref="A151:D151"/>
    <mergeCell ref="B50:C50"/>
    <mergeCell ref="D52:I52"/>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8" min="0" max="8" man="1"/>
  </rowBreaks>
</worksheet>
</file>

<file path=xl/worksheets/sheet16.xml><?xml version="1.0" encoding="utf-8"?>
<worksheet xmlns="http://schemas.openxmlformats.org/spreadsheetml/2006/main">
  <sheetPr>
    <outlinePr summaryBelow="1" summaryRight="1"/>
    <pageSetUpPr fitToPage="1"/>
  </sheetPr>
  <dimension ref="A1:J215"/>
  <sheetViews>
    <sheetView view="pageBreakPreview" topLeftCell="A129" zoomScale="40" zoomScaleNormal="55" zoomScaleSheetLayoutView="40" workbookViewId="0">
      <selection activeCell="A50" sqref="A50:I5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45919</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111</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22 degrees  Wind: 41km/h SSW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Khegan Brockman</t>
        </is>
      </c>
      <c r="H15" s="26" t="inlineStr">
        <is>
          <t>Labourer</t>
        </is>
      </c>
      <c r="I15" s="30" t="n">
        <v>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Daniel McAuffile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O'Brian, Jamie</t>
        </is>
      </c>
      <c r="H17" s="26" t="inlineStr">
        <is>
          <t>Operator</t>
        </is>
      </c>
      <c r="I17" s="30" t="n">
        <v>10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v>7</v>
      </c>
    </row>
    <row r="19" ht="23.15" customHeight="1" s="151">
      <c r="A19" s="25" t="inlineStr">
        <is>
          <t>THOMPSON,Cheryl</t>
        </is>
      </c>
      <c r="B19" s="26" t="inlineStr">
        <is>
          <t>HSET</t>
        </is>
      </c>
      <c r="C19" s="31" t="n"/>
      <c r="D19" s="28" t="n"/>
      <c r="E19" s="28" t="n"/>
      <c r="F19" s="26" t="n"/>
      <c r="G19" s="29" t="inlineStr">
        <is>
          <t>Mullin, Connell</t>
        </is>
      </c>
      <c r="H19" s="26" t="inlineStr">
        <is>
          <t>Operator</t>
        </is>
      </c>
      <c r="I19" s="30" t="n">
        <v>12</v>
      </c>
    </row>
    <row r="20" ht="23.15" customHeight="1" s="151">
      <c r="A20" s="25" t="inlineStr">
        <is>
          <t>SKINNER,Jamie</t>
        </is>
      </c>
      <c r="B20" s="26" t="inlineStr">
        <is>
          <t>Supervisor</t>
        </is>
      </c>
      <c r="C20" s="31" t="n">
        <v>12</v>
      </c>
      <c r="D20" s="28" t="n"/>
      <c r="E20" s="28" t="n"/>
      <c r="F20" s="26" t="n"/>
      <c r="I20" s="30" t="n"/>
    </row>
    <row r="21" ht="23.15" customHeight="1" s="151">
      <c r="A21" s="99" t="inlineStr">
        <is>
          <t>TONER, Ultan</t>
        </is>
      </c>
      <c r="B21" s="26" t="inlineStr">
        <is>
          <t>Supervisor</t>
        </is>
      </c>
      <c r="C21" s="31" t="n">
        <v>12</v>
      </c>
      <c r="D21" s="28" t="n"/>
      <c r="E21" s="28" t="n"/>
      <c r="F21" s="26" t="n"/>
      <c r="G21" s="100" t="inlineStr">
        <is>
          <t>Mid Coast Civil</t>
        </is>
      </c>
      <c r="H21" s="26" t="n"/>
      <c r="I21" s="30" t="n"/>
    </row>
    <row r="22" ht="23.15" customHeight="1" s="151">
      <c r="A22" s="25" t="n"/>
      <c r="B22" s="26" t="n"/>
      <c r="C22" s="31" t="n"/>
      <c r="D22" s="28" t="n"/>
      <c r="E22" s="28" t="n"/>
      <c r="F22" s="26" t="n"/>
      <c r="G22" s="29" t="inlineStr">
        <is>
          <t>Vermeer, Paul</t>
        </is>
      </c>
      <c r="H22" s="26" t="inlineStr">
        <is>
          <t>Labourer</t>
        </is>
      </c>
      <c r="I22" s="30" t="n">
        <v>10</v>
      </c>
    </row>
    <row r="23" ht="23.15" customHeight="1" s="151">
      <c r="A23" s="25" t="n"/>
      <c r="B23" s="26" t="n"/>
      <c r="C23" s="31" t="n"/>
      <c r="D23" s="28" t="n"/>
      <c r="E23" s="28" t="n"/>
      <c r="F23" s="26" t="n"/>
      <c r="G23" s="29" t="inlineStr">
        <is>
          <t>Patroni, Rodney</t>
        </is>
      </c>
      <c r="H23" s="26" t="inlineStr">
        <is>
          <t>Labourer</t>
        </is>
      </c>
      <c r="I23" s="30" t="n">
        <v>10</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102" t="inlineStr">
        <is>
          <t>Midwest Kerbing</t>
        </is>
      </c>
      <c r="H25" s="26" t="n"/>
      <c r="I25" s="30" t="n"/>
    </row>
    <row r="26" ht="23.15" customHeight="1" s="151">
      <c r="A26" s="25" t="n"/>
      <c r="B26" s="26" t="n"/>
      <c r="C26" s="31" t="n"/>
      <c r="D26" s="28" t="n"/>
      <c r="E26" s="28" t="n"/>
      <c r="F26" s="26" t="n"/>
      <c r="G26" s="29" t="inlineStr">
        <is>
          <t>Daly,Troy</t>
        </is>
      </c>
      <c r="H26" s="26" t="inlineStr">
        <is>
          <t>Specialist</t>
        </is>
      </c>
      <c r="I26" s="30" t="n">
        <v>8</v>
      </c>
    </row>
    <row r="27" ht="23.15" customHeight="1" s="151">
      <c r="A27" s="25" t="n"/>
      <c r="B27" s="26" t="n"/>
      <c r="C27" s="31" t="n"/>
      <c r="D27" s="28" t="n"/>
      <c r="E27" s="28" t="n"/>
      <c r="F27" s="26" t="n"/>
      <c r="G27" s="29" t="inlineStr">
        <is>
          <t>x3 labourers</t>
        </is>
      </c>
      <c r="H27" s="26" t="inlineStr">
        <is>
          <t>Specialist</t>
        </is>
      </c>
      <c r="I27" s="30" t="n">
        <v>24</v>
      </c>
    </row>
    <row r="28" ht="23.15" customHeight="1" s="151">
      <c r="A28" s="25" t="n"/>
      <c r="B28" s="26" t="n"/>
      <c r="C28" s="31" t="n"/>
      <c r="D28" s="28" t="n"/>
      <c r="E28" s="28" t="n"/>
      <c r="F28" s="26" t="n"/>
      <c r="G28" s="29" t="n"/>
      <c r="H28" s="26" t="n"/>
      <c r="I28" s="103" t="n"/>
    </row>
    <row r="29" ht="23.15" customHeight="1" s="151">
      <c r="A29" s="25" t="n"/>
      <c r="B29" s="26" t="n"/>
      <c r="C29" s="31" t="n"/>
      <c r="D29" s="28" t="n"/>
      <c r="E29" s="28" t="n"/>
      <c r="F29" s="26" t="n"/>
      <c r="G29" s="95" t="inlineStr">
        <is>
          <t>Oaks Civil</t>
        </is>
      </c>
      <c r="H29" s="26" t="n"/>
      <c r="I29" s="103" t="n"/>
    </row>
    <row r="30" ht="23.15" customHeight="1" s="151">
      <c r="A30" s="25" t="n"/>
      <c r="B30" s="26" t="n"/>
      <c r="C30" s="31" t="n"/>
      <c r="D30" s="28" t="n"/>
      <c r="E30" s="28" t="n"/>
      <c r="F30" s="26" t="n"/>
      <c r="G30" s="96" t="inlineStr">
        <is>
          <t>Traffic Controllers x5</t>
        </is>
      </c>
      <c r="H30" s="97" t="inlineStr">
        <is>
          <t>Traffic Controller</t>
        </is>
      </c>
      <c r="I30" s="103">
        <f>5*12.5</f>
        <v/>
      </c>
    </row>
    <row r="31" ht="23.15" customHeight="1" s="151">
      <c r="A31" s="25" t="n"/>
      <c r="B31" s="26" t="n"/>
      <c r="C31" s="31" t="n"/>
      <c r="D31" s="28" t="n"/>
      <c r="E31" s="28" t="n"/>
      <c r="F31" s="26" t="n"/>
      <c r="G31" s="29" t="n"/>
      <c r="H31" s="26" t="n"/>
      <c r="I31" s="103" t="n"/>
    </row>
    <row r="32" ht="23.15" customHeight="1" s="151">
      <c r="A32" s="25" t="n"/>
      <c r="B32" s="26" t="n"/>
      <c r="C32" s="31" t="n"/>
      <c r="D32" s="28" t="n"/>
      <c r="E32" s="28" t="n"/>
      <c r="F32" s="26" t="n"/>
      <c r="G32" s="77" t="n"/>
      <c r="H32" s="77" t="n"/>
      <c r="I32" s="36" t="n"/>
    </row>
    <row r="33" ht="23.15" customHeight="1" s="151">
      <c r="A33" s="131" t="inlineStr">
        <is>
          <t xml:space="preserve">Total Indirect Personnel onsite: </t>
        </is>
      </c>
      <c r="B33" s="34">
        <f>COUNT(C15:C33)</f>
        <v/>
      </c>
      <c r="C33" s="28" t="n"/>
      <c r="D33" s="28" t="n"/>
      <c r="E33" s="28" t="n"/>
      <c r="F33" s="26" t="n"/>
      <c r="G33" s="78" t="n"/>
      <c r="H33" s="77" t="n"/>
      <c r="I33" s="30" t="n"/>
    </row>
    <row r="34" ht="23.15" customHeight="1" s="151">
      <c r="A34" s="131" t="inlineStr">
        <is>
          <t xml:space="preserve">Total Indirect Personnel hours: </t>
        </is>
      </c>
      <c r="B34" s="34">
        <f>SUM(C15:C30)</f>
        <v/>
      </c>
      <c r="C34" s="31" t="n"/>
      <c r="D34" s="28" t="n"/>
      <c r="E34" s="28" t="n"/>
      <c r="F34" s="26" t="n"/>
      <c r="G34" s="35" t="inlineStr">
        <is>
          <t>Total Subcontractor on-site:</t>
        </is>
      </c>
      <c r="H34" s="36">
        <f>COUNT(I15:I32)+8+4</f>
        <v/>
      </c>
      <c r="I34" s="30" t="n"/>
    </row>
    <row r="35" ht="23.15" customHeight="1" s="151">
      <c r="A35" s="131" t="inlineStr">
        <is>
          <t xml:space="preserve">Total Direct Personnel onsite:  </t>
        </is>
      </c>
      <c r="B35" s="34">
        <f>COUNTIF(F15:F36,"&gt;0")</f>
        <v/>
      </c>
      <c r="C35" s="34" t="n"/>
      <c r="D35" s="28" t="n"/>
      <c r="E35" s="28" t="n"/>
      <c r="F35" s="37" t="n"/>
      <c r="G35" s="35" t="inlineStr">
        <is>
          <t>Total Subcontractor hours:</t>
        </is>
      </c>
      <c r="H35" s="36">
        <f>SUM(I11:I32)</f>
        <v/>
      </c>
      <c r="I35" s="130" t="n"/>
    </row>
    <row r="36" ht="23.15" customHeight="1" s="151">
      <c r="A36" s="131" t="inlineStr">
        <is>
          <t xml:space="preserve">Total Direct Personnel hours: </t>
        </is>
      </c>
      <c r="B36" s="34">
        <f>SUM(F15:F36)</f>
        <v/>
      </c>
      <c r="C36" s="34" t="n"/>
      <c r="D36" s="34" t="n"/>
      <c r="E36" s="34" t="n"/>
      <c r="F36" s="34" t="n"/>
      <c r="G36" s="34" t="n"/>
      <c r="H36" s="34" t="n"/>
      <c r="I36" s="130" t="n"/>
    </row>
    <row r="37" ht="25" customHeight="1" s="151">
      <c r="A37" s="39" t="inlineStr">
        <is>
          <t>PLANT &amp; EQUIPMENT</t>
        </is>
      </c>
      <c r="B37" s="40" t="n"/>
      <c r="C37" s="40" t="n"/>
      <c r="D37" s="40" t="n"/>
      <c r="E37" s="40" t="n"/>
      <c r="F37" s="40" t="n"/>
      <c r="G37" s="40" t="n"/>
      <c r="H37" s="40" t="n"/>
      <c r="I37" s="41" t="n"/>
    </row>
    <row r="38" ht="24" customHeight="1" s="151">
      <c r="A38" s="126" t="inlineStr">
        <is>
          <t>Plant</t>
        </is>
      </c>
      <c r="B38" s="127" t="inlineStr">
        <is>
          <t>ID</t>
        </is>
      </c>
      <c r="C38" s="127" t="inlineStr">
        <is>
          <t>Hours</t>
        </is>
      </c>
      <c r="D38" s="127" t="inlineStr">
        <is>
          <t xml:space="preserve"> Vehicles</t>
        </is>
      </c>
      <c r="E38" s="127" t="inlineStr">
        <is>
          <t>ID</t>
        </is>
      </c>
      <c r="F38" s="127" t="inlineStr">
        <is>
          <t>QTY</t>
        </is>
      </c>
      <c r="G38" s="42" t="inlineStr">
        <is>
          <t>Site Facilities</t>
        </is>
      </c>
      <c r="H38" s="42" t="inlineStr">
        <is>
          <t>ID</t>
        </is>
      </c>
      <c r="I38" s="43" t="inlineStr">
        <is>
          <t>Qty</t>
        </is>
      </c>
    </row>
    <row r="39" ht="23.15" customHeight="1" s="151">
      <c r="A39" s="25" t="inlineStr">
        <is>
          <t>Komatsu WA320</t>
        </is>
      </c>
      <c r="B39" s="26" t="inlineStr">
        <is>
          <t>FWL18</t>
        </is>
      </c>
      <c r="C39" s="26" t="n">
        <v>3</v>
      </c>
      <c r="D39" s="31" t="inlineStr">
        <is>
          <t>Hilux</t>
        </is>
      </c>
      <c r="E39" s="31" t="inlineStr">
        <is>
          <t>DLV90</t>
        </is>
      </c>
      <c r="F39" s="31" t="n">
        <v>1</v>
      </c>
      <c r="G39" s="31" t="inlineStr">
        <is>
          <t>Office 40ft</t>
        </is>
      </c>
      <c r="H39" s="31" t="n">
        <v>9255540</v>
      </c>
      <c r="I39" s="30" t="n">
        <v>1</v>
      </c>
    </row>
    <row r="40" ht="23.15" customHeight="1" s="151">
      <c r="A40" s="25" t="inlineStr">
        <is>
          <t>Wacker Neuson DPU</t>
        </is>
      </c>
      <c r="B40" s="26" t="inlineStr">
        <is>
          <t>DPC15</t>
        </is>
      </c>
      <c r="C40" s="26" t="n"/>
      <c r="D40" s="31" t="inlineStr">
        <is>
          <t>Hilux</t>
        </is>
      </c>
      <c r="E40" s="31" t="inlineStr">
        <is>
          <t>1DLV04</t>
        </is>
      </c>
      <c r="F40" s="31" t="n">
        <v>1</v>
      </c>
      <c r="G40" s="31" t="inlineStr">
        <is>
          <t>Sea Container 20ft</t>
        </is>
      </c>
      <c r="H40" s="26" t="n">
        <v>951200</v>
      </c>
      <c r="I40" s="30" t="n">
        <v>1</v>
      </c>
    </row>
    <row r="41" ht="23.15" customHeight="1" s="151">
      <c r="A41" s="44" t="inlineStr">
        <is>
          <t>Watercart</t>
        </is>
      </c>
      <c r="B41" s="31" t="inlineStr">
        <is>
          <t>WC04</t>
        </is>
      </c>
      <c r="C41" s="26" t="n">
        <v>3</v>
      </c>
      <c r="D41" s="31" t="n"/>
      <c r="E41" s="26" t="n"/>
      <c r="F41" s="31" t="n"/>
      <c r="G41" s="31" t="inlineStr">
        <is>
          <t>Site Sentry Tower</t>
        </is>
      </c>
      <c r="H41" s="31" t="n"/>
      <c r="I41" s="30" t="n">
        <v>2</v>
      </c>
    </row>
    <row r="42" ht="23.15" customHeight="1" s="151">
      <c r="A42" s="44" t="inlineStr">
        <is>
          <t>8T Excavator</t>
        </is>
      </c>
      <c r="B42" s="45" t="inlineStr">
        <is>
          <t>AMG 014</t>
        </is>
      </c>
      <c r="C42" s="26" t="n"/>
      <c r="D42" s="31" t="n"/>
      <c r="E42" s="31" t="n"/>
      <c r="F42" s="31" t="n"/>
      <c r="G42" s="31" t="inlineStr">
        <is>
          <t>Skip Bin</t>
        </is>
      </c>
      <c r="H42" s="31" t="n"/>
      <c r="I42" s="30" t="n">
        <v>1</v>
      </c>
    </row>
    <row r="43" ht="23.15" customHeight="1" s="151">
      <c r="A43" s="31" t="inlineStr">
        <is>
          <t>Mini Tipper</t>
        </is>
      </c>
      <c r="B43" s="31" t="inlineStr">
        <is>
          <t>SLS05</t>
        </is>
      </c>
      <c r="C43" s="31" t="n">
        <v>5</v>
      </c>
      <c r="D43" s="31" t="n"/>
      <c r="E43" s="31" t="n"/>
      <c r="F43" s="31" t="n"/>
      <c r="G43" s="31" t="inlineStr">
        <is>
          <t>Hydrocarbon Bund</t>
        </is>
      </c>
      <c r="H43" s="31" t="n"/>
      <c r="I43" s="30" t="n">
        <v>1</v>
      </c>
    </row>
    <row r="44" ht="23.15" customHeight="1" s="151">
      <c r="A44" s="76" t="inlineStr">
        <is>
          <t>1 t Excavator</t>
        </is>
      </c>
      <c r="B44" s="31" t="inlineStr">
        <is>
          <t>SLS03</t>
        </is>
      </c>
      <c r="C44" s="31" t="n">
        <v>5</v>
      </c>
      <c r="D44" s="31" t="n"/>
      <c r="E44" s="31" t="n"/>
      <c r="F44" s="31" t="n"/>
      <c r="G44" s="31" t="inlineStr">
        <is>
          <t>Temp Fence</t>
        </is>
      </c>
      <c r="H44" s="26" t="n"/>
      <c r="I44" s="30" t="n">
        <v>1</v>
      </c>
    </row>
    <row r="45" ht="24" customHeight="1" s="151">
      <c r="A45" s="76" t="inlineStr">
        <is>
          <t>14t Excavator with GPS</t>
        </is>
      </c>
      <c r="B45" s="31" t="inlineStr">
        <is>
          <t>EX153</t>
        </is>
      </c>
      <c r="C45" s="31" t="n">
        <v>10</v>
      </c>
      <c r="D45" s="31" t="n"/>
      <c r="E45" s="31" t="n"/>
      <c r="F45" s="31" t="n"/>
      <c r="G45" s="2" t="n"/>
      <c r="H45" s="2" t="n"/>
      <c r="I45" s="3" t="n"/>
    </row>
    <row r="46" ht="24" customHeight="1" s="151">
      <c r="A46" s="76" t="inlineStr">
        <is>
          <t>5t Excavator</t>
        </is>
      </c>
      <c r="B46" s="31" t="inlineStr">
        <is>
          <t>A118</t>
        </is>
      </c>
      <c r="C46" s="31" t="n">
        <v>2</v>
      </c>
      <c r="D46" s="31" t="n"/>
      <c r="E46" s="31" t="n"/>
      <c r="F46" s="31" t="n"/>
      <c r="G46" s="2" t="n"/>
      <c r="H46" s="2" t="n"/>
      <c r="I46" s="3" t="n"/>
    </row>
    <row r="47" ht="24" customHeight="1" s="151">
      <c r="A47" s="44" t="inlineStr">
        <is>
          <t>Padfoot/ Smooth Drum Roller</t>
        </is>
      </c>
      <c r="B47" s="31" t="inlineStr">
        <is>
          <t>RR 03</t>
        </is>
      </c>
      <c r="C47" s="26" t="n">
        <v>2</v>
      </c>
      <c r="D47" s="31" t="n"/>
      <c r="E47" s="31" t="n"/>
      <c r="F47" s="31" t="n"/>
      <c r="G47" s="2" t="n"/>
      <c r="H47" s="2" t="n"/>
      <c r="I47" s="3" t="n"/>
    </row>
    <row r="48" ht="24" customHeight="1" s="151">
      <c r="A48" s="44" t="inlineStr">
        <is>
          <t>Multi Roller</t>
        </is>
      </c>
      <c r="B48" s="31" t="n">
        <v>256</v>
      </c>
      <c r="C48" s="26" t="n">
        <v>3</v>
      </c>
      <c r="D48" s="31" t="n"/>
      <c r="E48" s="31" t="n"/>
      <c r="F48" s="31" t="n"/>
      <c r="G48" s="2" t="n"/>
      <c r="H48" s="2" t="n"/>
      <c r="I48" s="3" t="n"/>
    </row>
    <row r="49" ht="24" customHeight="1" s="151">
      <c r="A49" s="44" t="inlineStr">
        <is>
          <t>Positrak SSL</t>
        </is>
      </c>
      <c r="B49" s="31" t="inlineStr">
        <is>
          <t>SSL08</t>
        </is>
      </c>
      <c r="C49" s="26" t="n">
        <v>5</v>
      </c>
      <c r="D49" s="31" t="n"/>
      <c r="E49" s="31" t="n"/>
      <c r="F49" s="31" t="n"/>
      <c r="G49" s="2" t="n"/>
      <c r="H49" s="2" t="n"/>
      <c r="I49" s="3" t="n"/>
    </row>
    <row r="50" ht="24" customHeight="1" s="151">
      <c r="A50" s="44" t="inlineStr">
        <is>
          <t>6 Wheel Tipper</t>
        </is>
      </c>
      <c r="B50" s="31" t="inlineStr">
        <is>
          <t>T091</t>
        </is>
      </c>
      <c r="C50" s="26" t="n">
        <v>5</v>
      </c>
      <c r="D50" s="31" t="n"/>
      <c r="E50" s="31" t="n"/>
      <c r="F50" s="31" t="n"/>
      <c r="G50" s="2" t="n"/>
      <c r="H50" s="2" t="n"/>
      <c r="I50" s="3" t="n"/>
    </row>
    <row r="51" ht="24" customHeight="1" s="151">
      <c r="A51" s="44" t="inlineStr">
        <is>
          <t>Grader</t>
        </is>
      </c>
      <c r="B51" s="31" t="inlineStr">
        <is>
          <t>SLS01</t>
        </is>
      </c>
      <c r="C51" s="26" t="n"/>
      <c r="D51" s="31" t="n"/>
      <c r="E51" s="31" t="n"/>
      <c r="F51" s="31" t="n"/>
      <c r="G51" s="2" t="n"/>
      <c r="H51" s="2" t="n"/>
      <c r="I51" s="3" t="n"/>
    </row>
    <row r="52" ht="24" customHeight="1" s="151">
      <c r="A52" s="44" t="n"/>
      <c r="B52" s="31" t="n"/>
      <c r="C52" s="26" t="n"/>
      <c r="D52" s="2" t="n"/>
      <c r="E52" s="2" t="n"/>
      <c r="F52" s="2" t="n"/>
      <c r="G52" s="2" t="n"/>
      <c r="H52" s="2" t="n"/>
      <c r="I52" s="3" t="n"/>
    </row>
    <row r="53" ht="18" customHeight="1" s="151">
      <c r="A53" s="46" t="n">
        <v>0</v>
      </c>
      <c r="B53" s="128" t="inlineStr">
        <is>
          <t xml:space="preserve">Repairs Required </t>
        </is>
      </c>
      <c r="C53" s="118" t="n"/>
      <c r="D53" s="129" t="inlineStr">
        <is>
          <t>N/A</t>
        </is>
      </c>
      <c r="E53" s="159" t="n"/>
      <c r="F53" s="159" t="n"/>
      <c r="G53" s="159" t="n"/>
      <c r="H53" s="159" t="n"/>
      <c r="I53" s="160" t="n"/>
    </row>
    <row r="54" ht="18" customHeight="1" s="151">
      <c r="A54" s="47" t="n">
        <v>1</v>
      </c>
      <c r="B54" s="128" t="inlineStr">
        <is>
          <t>Scheduled Service</t>
        </is>
      </c>
      <c r="C54" s="118" t="n"/>
      <c r="D54" s="156" t="inlineStr">
        <is>
          <t>Smooth Drum Roller</t>
        </is>
      </c>
      <c r="E54" s="159" t="n"/>
      <c r="F54" s="159" t="n"/>
      <c r="G54" s="159" t="n"/>
      <c r="H54" s="159" t="n"/>
      <c r="I54" s="160" t="n"/>
    </row>
    <row r="55" ht="18" customHeight="1" s="151">
      <c r="A55" s="48" t="n">
        <v>0</v>
      </c>
      <c r="B55" s="128" t="n"/>
      <c r="C55" s="118" t="n"/>
      <c r="D55" s="129" t="inlineStr">
        <is>
          <t>N/A</t>
        </is>
      </c>
      <c r="E55" s="159" t="n"/>
      <c r="F55" s="159" t="n"/>
      <c r="G55" s="159" t="n"/>
      <c r="H55" s="159" t="n"/>
      <c r="I55" s="160" t="n"/>
    </row>
    <row r="56" ht="23.15" customHeight="1" s="151">
      <c r="A56" s="131" t="inlineStr">
        <is>
          <t xml:space="preserve">Total Plant and Equipment Hours: </t>
        </is>
      </c>
      <c r="B56" s="118" t="n"/>
      <c r="C56" s="49">
        <f>SUM(C39:C52)</f>
        <v/>
      </c>
      <c r="D56" s="132" t="n"/>
      <c r="E56" s="159" t="n"/>
      <c r="F56" s="159" t="n"/>
      <c r="G56" s="159" t="n"/>
      <c r="H56" s="159" t="n"/>
      <c r="I56" s="160" t="n"/>
    </row>
    <row r="57" ht="25" customHeight="1" s="151">
      <c r="A57" s="120" t="inlineStr">
        <is>
          <t>DELAYS-OPPORTUNITY</t>
        </is>
      </c>
      <c r="B57" s="159" t="n"/>
      <c r="C57" s="159" t="n"/>
      <c r="D57" s="159" t="n"/>
      <c r="E57" s="159" t="n"/>
      <c r="F57" s="159" t="n"/>
      <c r="G57" s="159" t="n"/>
      <c r="H57" s="159" t="n"/>
      <c r="I57" s="160" t="n"/>
    </row>
    <row r="58" ht="20.15" customHeight="1" s="151">
      <c r="A58" s="50" t="n"/>
      <c r="B58" s="51" t="n"/>
      <c r="C58" s="51" t="n"/>
      <c r="D58" s="51" t="n"/>
      <c r="E58" s="51" t="n"/>
      <c r="F58" s="51" t="n"/>
      <c r="G58" s="51" t="n"/>
      <c r="H58" s="51" t="n"/>
      <c r="I58" s="52" t="n"/>
    </row>
    <row r="59" ht="15" customHeight="1" s="151" thickBot="1">
      <c r="A59" s="155" t="inlineStr">
        <is>
          <t xml:space="preserve">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
Noted Additional Material needed to be removed beneath the pavers
Confirmed alignment shift of south eastern tie in to flush kerb alignment </t>
        </is>
      </c>
      <c r="B59" s="124" t="n"/>
      <c r="C59" s="124" t="n"/>
      <c r="D59" s="124" t="n"/>
      <c r="E59" s="124" t="n"/>
      <c r="F59" s="124" t="n"/>
      <c r="G59" s="124" t="n"/>
      <c r="H59" s="124" t="n"/>
      <c r="I59" s="125" t="n"/>
    </row>
    <row r="60" ht="18.5" customHeight="1" s="151">
      <c r="A60" s="111" t="n"/>
      <c r="I60" s="113" t="n"/>
    </row>
    <row r="61" ht="49.5" customHeight="1" s="151">
      <c r="A61" s="111" t="n"/>
      <c r="I61" s="113" t="n"/>
    </row>
    <row r="62" ht="107.5" customHeight="1" s="151" thickBot="1">
      <c r="A62" s="134" t="n"/>
      <c r="B62" s="135" t="n"/>
      <c r="C62" s="135" t="n"/>
      <c r="D62" s="135" t="n"/>
      <c r="E62" s="135" t="n"/>
      <c r="F62" s="135" t="n"/>
      <c r="G62" s="135" t="n"/>
      <c r="H62" s="135" t="n"/>
      <c r="I62" s="136" t="n"/>
    </row>
    <row r="63" ht="25" customHeight="1" s="151">
      <c r="A63" s="137" t="inlineStr">
        <is>
          <t>HSEQ MESSAGES</t>
        </is>
      </c>
      <c r="B63" s="138" t="n"/>
      <c r="C63" s="138" t="n"/>
      <c r="D63" s="138" t="n"/>
      <c r="E63" s="138" t="n"/>
      <c r="F63" s="138" t="n"/>
      <c r="G63" s="138" t="n"/>
      <c r="H63" s="138" t="n"/>
      <c r="I63" s="139" t="n"/>
    </row>
    <row r="64" ht="18" customHeight="1" s="151">
      <c r="A64" s="53" t="inlineStr">
        <is>
          <t>TCD - Monthly Safety Focus:</t>
        </is>
      </c>
      <c r="B64" s="140" t="inlineStr">
        <is>
          <t>Underground Services</t>
        </is>
      </c>
      <c r="C64" s="159" t="n"/>
      <c r="D64" s="159" t="n"/>
      <c r="E64" s="159" t="n"/>
      <c r="F64" s="159" t="n"/>
      <c r="G64" s="159" t="n"/>
      <c r="H64" s="159" t="n"/>
      <c r="I64" s="118" t="n"/>
    </row>
    <row r="65" ht="24" customHeight="1" s="151">
      <c r="A65" s="53" t="inlineStr">
        <is>
          <t>TCD - Daily Safety Focus:</t>
        </is>
      </c>
      <c r="B65" s="141" t="inlineStr">
        <is>
          <t>Shut Down Area, Positive Comms and Keep Clear of Machinery</t>
        </is>
      </c>
      <c r="C65" s="159" t="n"/>
      <c r="D65" s="159" t="n"/>
      <c r="E65" s="159" t="n"/>
      <c r="F65" s="159" t="n"/>
      <c r="G65" s="159" t="n"/>
      <c r="H65" s="159" t="n"/>
      <c r="I65" s="160" t="n"/>
    </row>
    <row r="66" ht="18" customHeight="1" s="151">
      <c r="A66" s="54" t="inlineStr">
        <is>
          <t xml:space="preserve">Hazards Reported: </t>
        </is>
      </c>
      <c r="B66" s="55" t="inlineStr">
        <is>
          <t>Nil</t>
        </is>
      </c>
      <c r="C66" s="141" t="n"/>
      <c r="D66" s="159" t="n"/>
      <c r="E66" s="159" t="n"/>
      <c r="F66" s="159" t="n"/>
      <c r="G66" s="159" t="n"/>
      <c r="H66" s="159" t="n"/>
      <c r="I66" s="160" t="n"/>
    </row>
    <row r="67" ht="18" customHeight="1" s="151">
      <c r="A67" s="54" t="inlineStr">
        <is>
          <t>Incident Free Days</t>
        </is>
      </c>
      <c r="B67" s="55" t="n">
        <v>24</v>
      </c>
      <c r="C67" s="140" t="n"/>
      <c r="D67" s="159" t="n"/>
      <c r="E67" s="159" t="n"/>
      <c r="F67" s="159" t="n"/>
      <c r="G67" s="159" t="n"/>
      <c r="H67" s="159" t="n"/>
      <c r="I67" s="118" t="n"/>
    </row>
    <row r="68" ht="18" customHeight="1" s="151">
      <c r="A68" s="56" t="inlineStr">
        <is>
          <t>Other Notes</t>
        </is>
      </c>
      <c r="B68" s="142" t="n"/>
      <c r="C68" s="124" t="n"/>
      <c r="D68" s="124" t="n"/>
      <c r="E68" s="124" t="n"/>
      <c r="F68" s="124" t="n"/>
      <c r="G68" s="124" t="n"/>
      <c r="H68" s="124" t="n"/>
      <c r="I68" s="125" t="n"/>
    </row>
    <row r="69" ht="20.25" customHeight="1" s="151">
      <c r="A69" s="120" t="inlineStr">
        <is>
          <t xml:space="preserve">INCIDENTS &amp; REPORTS </t>
        </is>
      </c>
      <c r="B69" s="159" t="n"/>
      <c r="C69" s="159" t="n"/>
      <c r="D69" s="159" t="n"/>
      <c r="E69" s="159" t="n"/>
      <c r="F69" s="159" t="n"/>
      <c r="G69" s="159" t="n"/>
      <c r="H69" s="159" t="n"/>
      <c r="I69" s="160" t="n"/>
    </row>
    <row r="70" ht="25" customHeight="1" s="151">
      <c r="A70" s="57" t="n"/>
      <c r="B70" s="127" t="inlineStr">
        <is>
          <t>QTY</t>
        </is>
      </c>
      <c r="C70" s="130" t="inlineStr">
        <is>
          <t>Comments</t>
        </is>
      </c>
      <c r="D70" s="159" t="n"/>
      <c r="E70" s="159" t="n"/>
      <c r="F70" s="159" t="n"/>
      <c r="G70" s="159" t="n"/>
      <c r="H70" s="159" t="n"/>
      <c r="I70" s="160" t="n"/>
    </row>
    <row r="71" ht="25" customHeight="1" s="151">
      <c r="A71" s="58" t="inlineStr">
        <is>
          <t>INCIDENT</t>
        </is>
      </c>
      <c r="B71" s="127" t="n">
        <v>0</v>
      </c>
      <c r="C71" s="129" t="inlineStr">
        <is>
          <t>NA</t>
        </is>
      </c>
      <c r="D71" s="159" t="n"/>
      <c r="E71" s="159" t="n"/>
      <c r="F71" s="159" t="n"/>
      <c r="G71" s="159" t="n"/>
      <c r="H71" s="159" t="n"/>
      <c r="I71" s="160" t="n"/>
    </row>
    <row r="72" ht="25" customHeight="1" s="151">
      <c r="A72" s="59" t="inlineStr">
        <is>
          <t>IR</t>
        </is>
      </c>
      <c r="B72" s="60" t="n">
        <v>0</v>
      </c>
      <c r="C72" s="145" t="inlineStr">
        <is>
          <t>NA</t>
        </is>
      </c>
      <c r="D72" s="124" t="n"/>
      <c r="E72" s="124" t="n"/>
      <c r="F72" s="124" t="n"/>
      <c r="G72" s="124" t="n"/>
      <c r="H72" s="124" t="n"/>
      <c r="I72" s="125" t="n"/>
    </row>
    <row r="73" ht="25" customHeight="1" s="151" thickBot="1">
      <c r="A73" s="61" t="inlineStr">
        <is>
          <t>NCR</t>
        </is>
      </c>
      <c r="B73" s="62" t="n">
        <v>0</v>
      </c>
      <c r="C73" s="146" t="inlineStr">
        <is>
          <t>NA</t>
        </is>
      </c>
      <c r="D73" s="147" t="n"/>
      <c r="E73" s="147" t="n"/>
      <c r="F73" s="147" t="n"/>
      <c r="G73" s="147" t="n"/>
      <c r="H73" s="147" t="n"/>
      <c r="I73" s="148" t="n"/>
    </row>
    <row r="74" ht="20.25" customHeight="1" s="151">
      <c r="A74" s="137" t="inlineStr">
        <is>
          <t>COMMUNICATIONS</t>
        </is>
      </c>
      <c r="B74" s="138" t="n"/>
      <c r="C74" s="138" t="n"/>
      <c r="D74" s="138" t="n"/>
      <c r="E74" s="138" t="n"/>
      <c r="F74" s="138" t="n"/>
      <c r="G74" s="138" t="n"/>
      <c r="H74" s="138" t="n"/>
      <c r="I74" s="139" t="n"/>
    </row>
    <row r="75" ht="25" customHeight="1" s="151">
      <c r="A75" s="149" t="inlineStr">
        <is>
          <t>TGS MB1119-05 Scheme D implemented</t>
        </is>
      </c>
      <c r="B75" s="159" t="n"/>
      <c r="C75" s="159" t="n"/>
      <c r="D75" s="159" t="n"/>
      <c r="E75" s="159" t="n"/>
      <c r="F75" s="159" t="n"/>
      <c r="G75" s="159" t="n"/>
      <c r="H75" s="159" t="n"/>
      <c r="I75" s="160" t="n"/>
    </row>
    <row r="76" ht="25" customHeight="1" s="151">
      <c r="A76" s="149" t="inlineStr">
        <is>
          <t xml:space="preserve">TGS MB1119-07A implemented </t>
        </is>
      </c>
      <c r="B76" s="159" t="n"/>
      <c r="C76" s="159" t="n"/>
      <c r="D76" s="159" t="n"/>
      <c r="E76" s="159" t="n"/>
      <c r="F76" s="159" t="n"/>
      <c r="G76" s="159" t="n"/>
      <c r="H76" s="159" t="n"/>
      <c r="I76" s="160" t="n"/>
    </row>
    <row r="77" ht="25" customHeight="1" s="151">
      <c r="A77" s="120" t="inlineStr">
        <is>
          <t>PRODUCTION (CONSTRUCTION STATUS &amp; PROGRESS)</t>
        </is>
      </c>
      <c r="B77" s="159" t="n"/>
      <c r="C77" s="159" t="n"/>
      <c r="D77" s="159" t="n"/>
      <c r="E77" s="159" t="n"/>
      <c r="F77" s="159" t="n"/>
      <c r="G77" s="159" t="n"/>
      <c r="H77" s="159" t="n"/>
      <c r="I77" s="160" t="n"/>
    </row>
    <row r="78" ht="25" customHeight="1" s="151">
      <c r="A78" s="98" t="inlineStr">
        <is>
          <t>Trimming of basecourse areas around the pit and final survey checks</t>
        </is>
      </c>
      <c r="B78" s="64" t="n"/>
      <c r="C78" s="9" t="n"/>
      <c r="D78" s="9" t="n"/>
      <c r="E78" s="64" t="n"/>
      <c r="F78" s="64" t="n"/>
      <c r="G78" s="9" t="n"/>
      <c r="H78" s="64" t="n"/>
      <c r="I78" s="65" t="n"/>
    </row>
    <row r="79" ht="25" customHeight="1" s="151">
      <c r="A79" s="98" t="inlineStr">
        <is>
          <t>Tidy up of paving tie ins</t>
        </is>
      </c>
      <c r="B79" s="64" t="n"/>
      <c r="C79" s="9" t="n"/>
      <c r="D79" s="9" t="n"/>
      <c r="E79" s="64" t="n"/>
      <c r="F79" s="64" t="n"/>
      <c r="G79" s="9" t="n"/>
      <c r="H79" s="64" t="n"/>
      <c r="I79" s="65" t="n"/>
    </row>
    <row r="80" ht="25" customHeight="1" s="151">
      <c r="A80" s="98" t="inlineStr">
        <is>
          <t>Greasing of Lids</t>
        </is>
      </c>
      <c r="B80" s="64" t="n"/>
      <c r="C80" s="9" t="n"/>
      <c r="D80" s="9" t="n"/>
      <c r="E80" s="64" t="n"/>
      <c r="F80" s="64" t="n"/>
      <c r="G80" s="9" t="n"/>
      <c r="H80" s="64" t="n"/>
      <c r="I80" s="65" t="n"/>
    </row>
    <row r="81" ht="25" customHeight="1" s="151">
      <c r="A81" s="98" t="inlineStr">
        <is>
          <t>Trimming of batters and verges</t>
        </is>
      </c>
      <c r="B81" s="64" t="n"/>
      <c r="C81" s="9" t="n"/>
      <c r="D81" s="9" t="n"/>
      <c r="E81" s="64" t="n"/>
      <c r="F81" s="64" t="n"/>
      <c r="G81" s="9" t="n"/>
      <c r="H81" s="64" t="n"/>
      <c r="I81" s="65" t="n"/>
    </row>
    <row r="82" ht="26.15" customHeight="1" s="151" thickBot="1">
      <c r="A82" s="123" t="inlineStr">
        <is>
          <t>Photos</t>
        </is>
      </c>
      <c r="B82" s="124" t="n"/>
      <c r="C82" s="124" t="n"/>
      <c r="D82" s="124" t="n"/>
      <c r="E82" s="124" t="n"/>
      <c r="F82" s="124" t="n"/>
      <c r="G82" s="124" t="n"/>
      <c r="H82" s="124" t="n"/>
      <c r="I82" s="125" t="n"/>
    </row>
    <row r="83" ht="23.15" customHeight="1" s="151">
      <c r="A83" s="66" t="n"/>
      <c r="B83" s="67" t="n"/>
      <c r="C83" s="67" t="n"/>
      <c r="D83" s="67" t="n"/>
      <c r="E83" s="67" t="n"/>
      <c r="F83" s="67" t="n"/>
      <c r="G83" s="67" t="n"/>
      <c r="H83" s="67" t="n"/>
      <c r="I83" s="68" t="n"/>
    </row>
    <row r="84" ht="23.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H105" s="70" t="n"/>
      <c r="I105" s="71" t="n"/>
    </row>
    <row r="106" ht="25" customFormat="1" customHeight="1" s="10">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thickBot="1">
      <c r="A121" s="72" t="n"/>
      <c r="B121" s="73" t="n"/>
      <c r="C121" s="73" t="n"/>
      <c r="D121" s="73" t="n"/>
      <c r="E121" s="73" t="n"/>
      <c r="F121" s="73" t="n"/>
      <c r="G121" s="73" t="n"/>
      <c r="H121" s="73" t="n"/>
      <c r="I121" s="74"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2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28"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thickBot="1">
      <c r="A146" s="69" t="n"/>
      <c r="B146" s="70" t="n"/>
      <c r="C146" s="70" t="n"/>
      <c r="D146" s="70" t="n"/>
      <c r="E146" s="70" t="n"/>
      <c r="F146" s="70" t="n"/>
      <c r="G146" s="70" t="n"/>
      <c r="H146" s="70" t="n"/>
      <c r="I146" s="71" t="n"/>
      <c r="J146" s="75" t="n"/>
    </row>
    <row r="147" ht="15" customHeight="1" s="151">
      <c r="A147" s="69" t="n"/>
      <c r="B147" s="70" t="n"/>
      <c r="C147" s="70" t="n"/>
      <c r="D147" s="70" t="n"/>
      <c r="E147" s="70" t="n"/>
      <c r="F147" s="70" t="n"/>
      <c r="G147" s="70" t="n"/>
      <c r="H147" s="70" t="n"/>
      <c r="I147" s="71" t="n"/>
    </row>
    <row r="148" ht="15" customHeight="1" s="151">
      <c r="A148" s="69" t="n"/>
      <c r="B148" s="70" t="n"/>
      <c r="C148" s="70" t="n"/>
      <c r="D148" s="70" t="n"/>
      <c r="E148" s="70" t="n"/>
      <c r="F148" s="70" t="n"/>
      <c r="G148" s="70" t="n"/>
      <c r="H148" s="70" t="n"/>
      <c r="I148" s="71" t="n"/>
    </row>
    <row r="149" ht="15" customHeight="1" s="151">
      <c r="A149" s="69" t="n"/>
      <c r="B149" s="70" t="n"/>
      <c r="C149" s="70" t="n"/>
      <c r="D149" s="70" t="n"/>
      <c r="E149" s="70" t="n"/>
      <c r="F149" s="70" t="n"/>
      <c r="G149" s="70" t="n"/>
      <c r="H149" s="70" t="n"/>
      <c r="I149" s="71" t="n"/>
    </row>
    <row r="150" ht="15" customHeight="1" s="151">
      <c r="A150" s="69" t="n"/>
      <c r="B150" s="70" t="n"/>
      <c r="C150" s="70" t="n"/>
      <c r="D150" s="70" t="n"/>
      <c r="E150" s="70" t="n"/>
      <c r="F150" s="70" t="n"/>
      <c r="G150" s="70" t="n"/>
      <c r="H150" s="70" t="n"/>
      <c r="I150" s="71" t="n"/>
    </row>
    <row r="151" ht="15" customHeight="1" s="151">
      <c r="A151" s="69" t="n"/>
      <c r="B151" s="70" t="n"/>
      <c r="C151" s="70" t="n"/>
      <c r="D151" s="70" t="n"/>
      <c r="E151" s="70" t="n"/>
      <c r="F151" s="70" t="n"/>
      <c r="G151" s="70" t="n"/>
      <c r="H151" s="70" t="n"/>
      <c r="I151" s="71" t="n"/>
    </row>
    <row r="152" ht="15" customHeight="1" s="151">
      <c r="A152" s="69" t="n"/>
      <c r="B152" s="70" t="n"/>
      <c r="C152" s="70" t="n"/>
      <c r="D152" s="70" t="n"/>
      <c r="E152" s="70" t="n"/>
      <c r="F152" s="70" t="n"/>
      <c r="G152" s="70" t="n"/>
      <c r="H152" s="70" t="n"/>
      <c r="I152" s="71" t="n"/>
    </row>
    <row r="153" ht="16" customHeight="1" s="151">
      <c r="A153" s="69" t="n"/>
      <c r="B153" s="70" t="n"/>
      <c r="C153" s="70" t="n"/>
      <c r="D153" s="70" t="n"/>
      <c r="E153" s="70" t="n"/>
      <c r="F153" s="70" t="n"/>
      <c r="G153" s="70" t="n"/>
      <c r="H153" s="70" t="n"/>
      <c r="I153" s="71" t="n"/>
    </row>
    <row r="154" ht="30.75" customHeight="1" s="151">
      <c r="A154" s="143" t="n"/>
      <c r="E154" s="144" t="n"/>
      <c r="I154" s="113"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c r="A201" s="7" t="n"/>
      <c r="I201" s="8" t="n"/>
    </row>
    <row r="202">
      <c r="A202" s="7" t="n"/>
      <c r="I202" s="8" t="n"/>
    </row>
    <row r="203">
      <c r="A203" s="7" t="n"/>
      <c r="I203" s="8" t="n"/>
    </row>
    <row r="204">
      <c r="A204" s="7" t="n"/>
      <c r="I204" s="8" t="n"/>
    </row>
    <row r="205">
      <c r="A205" s="7" t="n"/>
      <c r="I205" s="8" t="n"/>
    </row>
    <row r="206">
      <c r="A206" s="7" t="n"/>
      <c r="I206" s="8" t="n"/>
    </row>
    <row r="207">
      <c r="A207" s="7" t="n"/>
      <c r="I207" s="8" t="n"/>
    </row>
    <row r="208" ht="16" customHeight="1" s="151" thickBot="1">
      <c r="A208" s="4" t="n"/>
      <c r="B208" s="5" t="n"/>
      <c r="C208" s="5" t="n"/>
      <c r="D208" s="5" t="n"/>
      <c r="E208" s="5" t="n"/>
      <c r="F208" s="5" t="n"/>
      <c r="G208" s="5" t="n"/>
      <c r="H208" s="5" t="n"/>
      <c r="I208" s="6" t="n"/>
    </row>
    <row r="209">
      <c r="A209" s="7" t="n"/>
      <c r="I209" s="8" t="n"/>
    </row>
    <row r="210">
      <c r="A210" s="7" t="n"/>
      <c r="I210" s="8" t="n"/>
    </row>
    <row r="211">
      <c r="A211" s="7" t="n"/>
      <c r="I211" s="8" t="n"/>
    </row>
    <row r="212">
      <c r="A212" s="7" t="n"/>
      <c r="I212" s="8" t="n"/>
    </row>
    <row r="213">
      <c r="A213" s="7" t="n"/>
      <c r="I213" s="8" t="n"/>
    </row>
    <row r="214">
      <c r="A214" s="7" t="n"/>
      <c r="I214" s="8" t="n"/>
    </row>
    <row r="215" ht="16" customHeight="1" s="151" thickBot="1">
      <c r="A215" s="4" t="n"/>
      <c r="B215" s="5" t="n"/>
      <c r="C215" s="5" t="n"/>
      <c r="D215" s="5" t="n"/>
      <c r="E215" s="5" t="n"/>
      <c r="F215" s="5" t="n"/>
      <c r="G215" s="5" t="n"/>
      <c r="H215" s="5" t="n"/>
      <c r="I215" s="6" t="n"/>
    </row>
  </sheetData>
  <mergeCells count="40">
    <mergeCell ref="D13:F13"/>
    <mergeCell ref="B54:C54"/>
    <mergeCell ref="C70:I70"/>
    <mergeCell ref="G13:I13"/>
    <mergeCell ref="A75:I75"/>
    <mergeCell ref="B8:D8"/>
    <mergeCell ref="C72:I72"/>
    <mergeCell ref="C67:I67"/>
    <mergeCell ref="A74:I74"/>
    <mergeCell ref="A12:I12"/>
    <mergeCell ref="D53:I53"/>
    <mergeCell ref="C66:I66"/>
    <mergeCell ref="A57:I57"/>
    <mergeCell ref="A59:I62"/>
    <mergeCell ref="A5:I5"/>
    <mergeCell ref="A76:I76"/>
    <mergeCell ref="D56:I56"/>
    <mergeCell ref="B9:D9"/>
    <mergeCell ref="A56:B56"/>
    <mergeCell ref="B6:D6"/>
    <mergeCell ref="B53:C53"/>
    <mergeCell ref="D55:I55"/>
    <mergeCell ref="A13:C13"/>
    <mergeCell ref="A63:I63"/>
    <mergeCell ref="A10:I10"/>
    <mergeCell ref="A1:I4"/>
    <mergeCell ref="D54:I54"/>
    <mergeCell ref="C73:I73"/>
    <mergeCell ref="A77:I77"/>
    <mergeCell ref="E154:I154"/>
    <mergeCell ref="B7:D7"/>
    <mergeCell ref="B65:I65"/>
    <mergeCell ref="A82:I82"/>
    <mergeCell ref="B55:C55"/>
    <mergeCell ref="B68:I68"/>
    <mergeCell ref="B64:I64"/>
    <mergeCell ref="A154:D154"/>
    <mergeCell ref="A11:I11"/>
    <mergeCell ref="A69:I69"/>
    <mergeCell ref="C71:I71"/>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81" min="0" max="8" man="1"/>
  </rowBreaks>
</worksheet>
</file>

<file path=xl/worksheets/sheet17.xml><?xml version="1.0" encoding="utf-8"?>
<worksheet xmlns="http://schemas.openxmlformats.org/spreadsheetml/2006/main">
  <sheetPr>
    <outlinePr summaryBelow="1" summaryRight="1"/>
    <pageSetUpPr fitToPage="1"/>
  </sheetPr>
  <dimension ref="A1:J208"/>
  <sheetViews>
    <sheetView view="pageBreakPreview" zoomScale="55" zoomScaleNormal="55" zoomScaleSheetLayoutView="55" workbookViewId="0">
      <selection activeCell="C18" sqref="C18"/>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45920</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112</v>
      </c>
      <c r="C9" s="107" t="n"/>
      <c r="D9" s="107" t="n"/>
      <c r="E9" s="106" t="n"/>
      <c r="F9" s="20" t="n"/>
      <c r="G9" s="20" t="n"/>
      <c r="H9" s="16" t="inlineStr">
        <is>
          <t>Finish:</t>
        </is>
      </c>
      <c r="I9" s="18" t="n">
        <v>0.75</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25 degrees  Wind: 39km/h SSE Precip: 0.2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Khegan Brockman</t>
        </is>
      </c>
      <c r="H15" s="26" t="inlineStr">
        <is>
          <t>Labourer</t>
        </is>
      </c>
      <c r="I15" s="30" t="n">
        <v>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Daniel McAuffile</t>
        </is>
      </c>
      <c r="H16" s="26" t="inlineStr">
        <is>
          <t>Operator</t>
        </is>
      </c>
      <c r="I16" s="30" t="n">
        <v>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O'Brian, Jamie</t>
        </is>
      </c>
      <c r="H17" s="26" t="inlineStr">
        <is>
          <t>Operator</t>
        </is>
      </c>
      <c r="I17" s="30" t="n">
        <v>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v>2</v>
      </c>
    </row>
    <row r="19" ht="23.15" customHeight="1" s="151">
      <c r="A19" s="25" t="inlineStr">
        <is>
          <t>THOMPSON,Cheryl</t>
        </is>
      </c>
      <c r="B19" s="26" t="inlineStr">
        <is>
          <t>HSET</t>
        </is>
      </c>
      <c r="C19" s="31" t="n"/>
      <c r="D19" s="28" t="n"/>
      <c r="E19" s="28" t="n"/>
      <c r="F19" s="26" t="n"/>
      <c r="G19" s="29" t="inlineStr">
        <is>
          <t>Mullin, Connell</t>
        </is>
      </c>
      <c r="H19" s="26" t="inlineStr">
        <is>
          <t>Operator</t>
        </is>
      </c>
      <c r="I19" s="30" t="n">
        <v>12</v>
      </c>
    </row>
    <row r="20" ht="23.15" customHeight="1" s="151">
      <c r="A20" s="25" t="inlineStr">
        <is>
          <t>SKINNER,Jamie</t>
        </is>
      </c>
      <c r="B20" s="26" t="inlineStr">
        <is>
          <t>Supervisor</t>
        </is>
      </c>
      <c r="C20" s="31" t="n"/>
      <c r="D20" s="28" t="n"/>
      <c r="E20" s="28" t="n"/>
      <c r="F20" s="26" t="n"/>
      <c r="I20" s="30" t="n"/>
    </row>
    <row r="21" ht="23.15" customHeight="1" s="151">
      <c r="A21" s="99" t="inlineStr">
        <is>
          <t>TONER, Ultan</t>
        </is>
      </c>
      <c r="B21" s="26" t="inlineStr">
        <is>
          <t>Supervisor</t>
        </is>
      </c>
      <c r="C21" s="31" t="n">
        <v>12</v>
      </c>
      <c r="D21" s="28" t="n"/>
      <c r="E21" s="28" t="n"/>
      <c r="F21" s="26" t="n"/>
      <c r="G21" s="95" t="inlineStr">
        <is>
          <t>Pavers (ACP)</t>
        </is>
      </c>
      <c r="H21" s="26" t="n"/>
      <c r="I21" s="103" t="n"/>
    </row>
    <row r="22" ht="23.15" customHeight="1" s="151">
      <c r="A22" s="25" t="n"/>
      <c r="B22" s="26" t="n"/>
      <c r="C22" s="31" t="n"/>
      <c r="D22" s="28" t="n"/>
      <c r="E22" s="28" t="n"/>
      <c r="F22" s="26" t="n"/>
      <c r="G22" s="96" t="inlineStr">
        <is>
          <t>Yelland, Tony</t>
        </is>
      </c>
      <c r="H22" s="97" t="inlineStr">
        <is>
          <t>Paving Foreman</t>
        </is>
      </c>
      <c r="I22" s="103" t="n">
        <v>10</v>
      </c>
    </row>
    <row r="23" ht="23.15" customHeight="1" s="151">
      <c r="A23" s="25" t="n"/>
      <c r="B23" s="26" t="n"/>
      <c r="C23" s="31" t="n"/>
      <c r="D23" s="28" t="n"/>
      <c r="E23" s="28" t="n"/>
      <c r="F23" s="26" t="n"/>
      <c r="G23" s="29" t="inlineStr">
        <is>
          <t>Pavers x 5</t>
        </is>
      </c>
      <c r="H23" s="26" t="inlineStr">
        <is>
          <t>Pavers</t>
        </is>
      </c>
      <c r="I23" s="30" t="n">
        <v>50</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95" t="inlineStr">
        <is>
          <t>Oaks Civil</t>
        </is>
      </c>
      <c r="H25" s="26" t="n"/>
      <c r="I25" s="103" t="n"/>
    </row>
    <row r="26" ht="23.15" customHeight="1" s="151">
      <c r="A26" s="25" t="n"/>
      <c r="B26" s="26" t="n"/>
      <c r="C26" s="31" t="n"/>
      <c r="D26" s="28" t="n"/>
      <c r="E26" s="28" t="n"/>
      <c r="F26" s="26" t="n"/>
      <c r="G26" s="96" t="inlineStr">
        <is>
          <t>Traffic Controllers x5</t>
        </is>
      </c>
      <c r="H26" s="97" t="inlineStr">
        <is>
          <t>Traffic Controller</t>
        </is>
      </c>
      <c r="I26" s="103">
        <f>5*12.5</f>
        <v/>
      </c>
    </row>
    <row r="27" ht="23.15" customHeight="1" s="151">
      <c r="A27" s="25" t="n"/>
      <c r="B27" s="26" t="n"/>
      <c r="C27" s="31" t="n"/>
      <c r="D27" s="28" t="n"/>
      <c r="E27" s="28" t="n"/>
      <c r="F27" s="26" t="n"/>
      <c r="G27" s="29" t="n"/>
      <c r="H27" s="26" t="n"/>
      <c r="I27" s="30" t="n"/>
    </row>
    <row r="28" ht="23.15" customHeight="1" s="151">
      <c r="A28" s="131" t="inlineStr">
        <is>
          <t xml:space="preserve">Total Indirect Personnel onsite: </t>
        </is>
      </c>
      <c r="B28" s="34">
        <f>COUNT(C15:C28)</f>
        <v/>
      </c>
      <c r="C28" s="28" t="n"/>
      <c r="D28" s="28" t="n"/>
      <c r="E28" s="28" t="n"/>
      <c r="F28" s="26" t="n"/>
      <c r="G28" s="78" t="n"/>
      <c r="H28" s="77" t="n"/>
      <c r="I28" s="30" t="n"/>
    </row>
    <row r="29" ht="23.15" customHeight="1" s="151">
      <c r="A29" s="131" t="inlineStr">
        <is>
          <t xml:space="preserve">Total Indirect Personnel hours: </t>
        </is>
      </c>
      <c r="B29" s="34">
        <f>SUM(C15:C27)</f>
        <v/>
      </c>
      <c r="C29" s="31" t="n"/>
      <c r="D29" s="28" t="n"/>
      <c r="E29" s="28" t="n"/>
      <c r="F29" s="26" t="n"/>
      <c r="G29" s="35" t="inlineStr">
        <is>
          <t>Total Subcontractor on-site:</t>
        </is>
      </c>
      <c r="H29" s="36" t="n">
        <v>13</v>
      </c>
      <c r="I29" s="30" t="n"/>
    </row>
    <row r="30" ht="23.15" customHeight="1" s="151">
      <c r="A30" s="131" t="inlineStr">
        <is>
          <t xml:space="preserve">Total Direct Personnel onsite:  </t>
        </is>
      </c>
      <c r="B30" s="34">
        <f>COUNTIF(F15:F31,"&gt;0")</f>
        <v/>
      </c>
      <c r="C30" s="34" t="n"/>
      <c r="D30" s="28" t="n"/>
      <c r="E30" s="28" t="n"/>
      <c r="F30" s="37" t="n"/>
      <c r="G30" s="35" t="inlineStr">
        <is>
          <t>Total Subcontractor hours:</t>
        </is>
      </c>
      <c r="H30" s="36">
        <f>SUM(I11:I27)</f>
        <v/>
      </c>
      <c r="I30" s="130" t="n"/>
    </row>
    <row r="31" ht="23.15" customHeight="1" s="151">
      <c r="A31" s="131" t="inlineStr">
        <is>
          <t xml:space="preserve">Total Direct Personnel hours: </t>
        </is>
      </c>
      <c r="B31" s="34">
        <f>SUM(F15:F31)</f>
        <v/>
      </c>
      <c r="C31" s="34" t="n"/>
      <c r="D31" s="34" t="n"/>
      <c r="E31" s="34" t="n"/>
      <c r="F31" s="34" t="n"/>
      <c r="G31" s="34" t="n"/>
      <c r="H31" s="34" t="n"/>
      <c r="I31" s="130" t="n"/>
    </row>
    <row r="32" ht="25" customHeight="1" s="151">
      <c r="A32" s="39" t="inlineStr">
        <is>
          <t>PLANT &amp; EQUIPMENT</t>
        </is>
      </c>
      <c r="B32" s="40" t="n"/>
      <c r="C32" s="40" t="n"/>
      <c r="D32" s="40" t="n"/>
      <c r="E32" s="40" t="n"/>
      <c r="F32" s="40" t="n"/>
      <c r="G32" s="40" t="n"/>
      <c r="H32" s="40" t="n"/>
      <c r="I32" s="41" t="n"/>
    </row>
    <row r="33" ht="24" customHeight="1" s="151">
      <c r="A33" s="126" t="inlineStr">
        <is>
          <t>Plant</t>
        </is>
      </c>
      <c r="B33" s="127" t="inlineStr">
        <is>
          <t>ID</t>
        </is>
      </c>
      <c r="C33" s="127" t="inlineStr">
        <is>
          <t>Hours</t>
        </is>
      </c>
      <c r="D33" s="127" t="inlineStr">
        <is>
          <t xml:space="preserve"> Vehicles</t>
        </is>
      </c>
      <c r="E33" s="127" t="inlineStr">
        <is>
          <t>ID</t>
        </is>
      </c>
      <c r="F33" s="127" t="inlineStr">
        <is>
          <t>QTY</t>
        </is>
      </c>
      <c r="G33" s="42" t="inlineStr">
        <is>
          <t>Site Facilities</t>
        </is>
      </c>
      <c r="H33" s="42" t="inlineStr">
        <is>
          <t>ID</t>
        </is>
      </c>
      <c r="I33" s="43" t="inlineStr">
        <is>
          <t>Qty</t>
        </is>
      </c>
    </row>
    <row r="34" ht="23.15" customHeight="1" s="151">
      <c r="A34" s="25" t="inlineStr">
        <is>
          <t>Komatsu WA320</t>
        </is>
      </c>
      <c r="B34" s="26" t="inlineStr">
        <is>
          <t>FWL18</t>
        </is>
      </c>
      <c r="C34" s="26" t="n">
        <v>2</v>
      </c>
      <c r="D34" s="31" t="inlineStr">
        <is>
          <t>Hilux</t>
        </is>
      </c>
      <c r="E34" s="31" t="inlineStr">
        <is>
          <t>DLV90</t>
        </is>
      </c>
      <c r="F34" s="31" t="n">
        <v>1</v>
      </c>
      <c r="G34" s="31" t="inlineStr">
        <is>
          <t>Office 40ft</t>
        </is>
      </c>
      <c r="H34" s="31" t="n">
        <v>9255540</v>
      </c>
      <c r="I34" s="30" t="n">
        <v>1</v>
      </c>
    </row>
    <row r="35" ht="23.15" customHeight="1" s="151">
      <c r="A35" s="25" t="inlineStr">
        <is>
          <t>Wacker Neuson DPU</t>
        </is>
      </c>
      <c r="B35" s="26" t="inlineStr">
        <is>
          <t>DPC15</t>
        </is>
      </c>
      <c r="C35" s="26" t="n"/>
      <c r="D35" s="31" t="inlineStr">
        <is>
          <t>Hilux</t>
        </is>
      </c>
      <c r="E35" s="31" t="inlineStr">
        <is>
          <t>1DLV04</t>
        </is>
      </c>
      <c r="F35" s="31" t="n">
        <v>1</v>
      </c>
      <c r="G35" s="31" t="inlineStr">
        <is>
          <t>Sea Container 20ft</t>
        </is>
      </c>
      <c r="H35" s="26" t="n">
        <v>951200</v>
      </c>
      <c r="I35" s="30" t="n">
        <v>1</v>
      </c>
    </row>
    <row r="36" ht="23.15" customHeight="1" s="151">
      <c r="A36" s="44" t="inlineStr">
        <is>
          <t>Watercart</t>
        </is>
      </c>
      <c r="B36" s="31" t="inlineStr">
        <is>
          <t>WC04</t>
        </is>
      </c>
      <c r="C36" s="26" t="n">
        <v>3</v>
      </c>
      <c r="D36" s="31" t="n"/>
      <c r="E36" s="26" t="n"/>
      <c r="F36" s="31" t="n"/>
      <c r="G36" s="31" t="inlineStr">
        <is>
          <t>Site Sentry Tower</t>
        </is>
      </c>
      <c r="H36" s="31" t="n"/>
      <c r="I36" s="30" t="n">
        <v>2</v>
      </c>
    </row>
    <row r="37" ht="23.15" customHeight="1" s="151">
      <c r="A37" s="44" t="inlineStr">
        <is>
          <t>8T Excavator</t>
        </is>
      </c>
      <c r="B37" s="45" t="inlineStr">
        <is>
          <t>AMG 014</t>
        </is>
      </c>
      <c r="C37" s="26" t="n"/>
      <c r="D37" s="31" t="n"/>
      <c r="E37" s="31" t="n"/>
      <c r="F37" s="31" t="n"/>
      <c r="G37" s="31" t="inlineStr">
        <is>
          <t>Skip Bin</t>
        </is>
      </c>
      <c r="H37" s="31" t="n"/>
      <c r="I37" s="30" t="n">
        <v>1</v>
      </c>
    </row>
    <row r="38" ht="23.15" customHeight="1" s="151">
      <c r="A38" s="31" t="inlineStr">
        <is>
          <t>Mini Tipper</t>
        </is>
      </c>
      <c r="B38" s="31" t="inlineStr">
        <is>
          <t>SLS05</t>
        </is>
      </c>
      <c r="C38" s="31" t="n">
        <v>5</v>
      </c>
      <c r="D38" s="31" t="n"/>
      <c r="E38" s="31" t="n"/>
      <c r="F38" s="31" t="n"/>
      <c r="G38" s="31" t="inlineStr">
        <is>
          <t>Hydrocarbon Bund</t>
        </is>
      </c>
      <c r="H38" s="31" t="n"/>
      <c r="I38" s="30" t="n">
        <v>1</v>
      </c>
    </row>
    <row r="39" ht="23.15" customHeight="1" s="151">
      <c r="A39" s="76" t="inlineStr">
        <is>
          <t>1 t Excavator</t>
        </is>
      </c>
      <c r="B39" s="31" t="inlineStr">
        <is>
          <t>SLS03</t>
        </is>
      </c>
      <c r="C39" s="31" t="n">
        <v>5</v>
      </c>
      <c r="D39" s="31" t="n"/>
      <c r="E39" s="31" t="n"/>
      <c r="F39" s="31" t="n"/>
      <c r="G39" s="31" t="inlineStr">
        <is>
          <t>Temp Fence</t>
        </is>
      </c>
      <c r="H39" s="26" t="n"/>
      <c r="I39" s="30" t="n">
        <v>1</v>
      </c>
    </row>
    <row r="40" ht="24" customHeight="1" s="151">
      <c r="A40" s="76" t="inlineStr">
        <is>
          <t>14t Excavator with GPS</t>
        </is>
      </c>
      <c r="B40" s="31" t="inlineStr">
        <is>
          <t>EX153</t>
        </is>
      </c>
      <c r="C40" s="31" t="n">
        <v>7</v>
      </c>
      <c r="D40" s="31" t="n"/>
      <c r="E40" s="31" t="n"/>
      <c r="F40" s="31" t="n"/>
      <c r="G40" s="2" t="n"/>
      <c r="H40" s="2" t="n"/>
      <c r="I40" s="3" t="n"/>
    </row>
    <row r="41" ht="24" customHeight="1" s="151">
      <c r="A41" s="76" t="inlineStr">
        <is>
          <t>5t Excavator</t>
        </is>
      </c>
      <c r="B41" s="31" t="inlineStr">
        <is>
          <t>A118</t>
        </is>
      </c>
      <c r="C41" s="31" t="n">
        <v>2</v>
      </c>
      <c r="D41" s="31" t="n"/>
      <c r="E41" s="31" t="n"/>
      <c r="F41" s="31" t="n"/>
      <c r="G41" s="2" t="n"/>
      <c r="H41" s="2" t="n"/>
      <c r="I41" s="3" t="n"/>
    </row>
    <row r="42" ht="24" customHeight="1" s="151">
      <c r="A42" s="44" t="inlineStr">
        <is>
          <t>Padfoot/ Smooth Drum Roller</t>
        </is>
      </c>
      <c r="B42" s="31" t="inlineStr">
        <is>
          <t>RR 03</t>
        </is>
      </c>
      <c r="C42" s="26" t="n">
        <v>2</v>
      </c>
      <c r="D42" s="31" t="n"/>
      <c r="E42" s="31" t="n"/>
      <c r="F42" s="31" t="n"/>
      <c r="G42" s="2" t="n"/>
      <c r="H42" s="2" t="n"/>
      <c r="I42" s="3" t="n"/>
    </row>
    <row r="43" ht="24" customHeight="1" s="151">
      <c r="A43" s="44" t="inlineStr">
        <is>
          <t>Multi Roller</t>
        </is>
      </c>
      <c r="B43" s="31" t="n">
        <v>256</v>
      </c>
      <c r="C43" s="26" t="n">
        <v>3</v>
      </c>
      <c r="D43" s="31" t="n"/>
      <c r="E43" s="31" t="n"/>
      <c r="F43" s="31" t="n"/>
      <c r="G43" s="2" t="n"/>
      <c r="H43" s="2" t="n"/>
      <c r="I43" s="3" t="n"/>
    </row>
    <row r="44" ht="24" customHeight="1" s="151">
      <c r="A44" s="44" t="inlineStr">
        <is>
          <t>Positrak SSL</t>
        </is>
      </c>
      <c r="B44" s="31" t="inlineStr">
        <is>
          <t>SSL08</t>
        </is>
      </c>
      <c r="C44" s="26" t="n">
        <v>5</v>
      </c>
      <c r="D44" s="31" t="n"/>
      <c r="E44" s="31" t="n"/>
      <c r="F44" s="31" t="n"/>
      <c r="G44" s="2" t="n"/>
      <c r="H44" s="2" t="n"/>
      <c r="I44" s="3" t="n"/>
    </row>
    <row r="45" ht="24" customHeight="1" s="151">
      <c r="A45" s="44" t="inlineStr">
        <is>
          <t>6 Wheel Tipper</t>
        </is>
      </c>
      <c r="B45" s="31" t="inlineStr">
        <is>
          <t>T091</t>
        </is>
      </c>
      <c r="C45" s="26" t="n">
        <v>5</v>
      </c>
      <c r="D45" s="31" t="n"/>
      <c r="E45" s="31" t="n"/>
      <c r="F45" s="31" t="n"/>
      <c r="G45" s="2" t="n"/>
      <c r="H45" s="2" t="n"/>
      <c r="I45" s="3" t="n"/>
    </row>
    <row r="46" ht="24" customHeight="1" s="151">
      <c r="A46" s="44" t="inlineStr">
        <is>
          <t>Grader</t>
        </is>
      </c>
      <c r="B46" s="31" t="inlineStr">
        <is>
          <t>SLS01</t>
        </is>
      </c>
      <c r="C46" s="26" t="n"/>
      <c r="D46" s="31" t="n"/>
      <c r="E46" s="31" t="n"/>
      <c r="F46" s="31" t="n"/>
      <c r="G46" s="2" t="n"/>
      <c r="H46" s="2" t="n"/>
      <c r="I46" s="3" t="n"/>
    </row>
    <row r="47" ht="24" customHeight="1" s="151">
      <c r="A47" s="44" t="n"/>
      <c r="B47" s="31" t="n"/>
      <c r="C47" s="26" t="n"/>
      <c r="D47" s="2" t="n"/>
      <c r="E47" s="2" t="n"/>
      <c r="F47" s="2" t="n"/>
      <c r="G47" s="2" t="n"/>
      <c r="H47" s="2" t="n"/>
      <c r="I47" s="3" t="n"/>
    </row>
    <row r="48" ht="18" customHeight="1" s="151">
      <c r="A48" s="46" t="n">
        <v>0</v>
      </c>
      <c r="B48" s="128" t="inlineStr">
        <is>
          <t xml:space="preserve">Repairs Required </t>
        </is>
      </c>
      <c r="C48" s="118" t="n"/>
      <c r="D48" s="129" t="inlineStr">
        <is>
          <t>N/A</t>
        </is>
      </c>
      <c r="E48" s="159" t="n"/>
      <c r="F48" s="159" t="n"/>
      <c r="G48" s="159" t="n"/>
      <c r="H48" s="159" t="n"/>
      <c r="I48" s="160" t="n"/>
    </row>
    <row r="49" ht="18" customHeight="1" s="151">
      <c r="A49" s="47" t="n">
        <v>1</v>
      </c>
      <c r="B49" s="128" t="inlineStr">
        <is>
          <t>Scheduled Service</t>
        </is>
      </c>
      <c r="C49" s="118" t="n"/>
      <c r="D49" s="156" t="inlineStr">
        <is>
          <t>Smooth Drum Roller</t>
        </is>
      </c>
      <c r="E49" s="159" t="n"/>
      <c r="F49" s="159" t="n"/>
      <c r="G49" s="159" t="n"/>
      <c r="H49" s="159" t="n"/>
      <c r="I49" s="160" t="n"/>
    </row>
    <row r="50" ht="18" customHeight="1" s="151">
      <c r="A50" s="48" t="n">
        <v>0</v>
      </c>
      <c r="B50" s="128" t="n"/>
      <c r="C50" s="118" t="n"/>
      <c r="D50" s="129" t="inlineStr">
        <is>
          <t>N/A</t>
        </is>
      </c>
      <c r="E50" s="159" t="n"/>
      <c r="F50" s="159" t="n"/>
      <c r="G50" s="159" t="n"/>
      <c r="H50" s="159" t="n"/>
      <c r="I50" s="160" t="n"/>
    </row>
    <row r="51" ht="23.15" customHeight="1" s="151">
      <c r="A51" s="131" t="inlineStr">
        <is>
          <t xml:space="preserve">Total Plant and Equipment Hours: </t>
        </is>
      </c>
      <c r="B51" s="118" t="n"/>
      <c r="C51" s="49">
        <f>SUM(C34:C47)</f>
        <v/>
      </c>
      <c r="D51" s="132" t="n"/>
      <c r="E51" s="159" t="n"/>
      <c r="F51" s="159" t="n"/>
      <c r="G51" s="159" t="n"/>
      <c r="H51" s="159" t="n"/>
      <c r="I51" s="160" t="n"/>
    </row>
    <row r="52" ht="25" customHeight="1" s="151">
      <c r="A52" s="120" t="inlineStr">
        <is>
          <t>DELAYS-OPPORTUNITY</t>
        </is>
      </c>
      <c r="B52" s="159" t="n"/>
      <c r="C52" s="159" t="n"/>
      <c r="D52" s="159" t="n"/>
      <c r="E52" s="159" t="n"/>
      <c r="F52" s="159" t="n"/>
      <c r="G52" s="159" t="n"/>
      <c r="H52" s="159" t="n"/>
      <c r="I52" s="160" t="n"/>
    </row>
    <row r="53" ht="20.15" customHeight="1" s="151">
      <c r="A53" s="50" t="n"/>
      <c r="B53" s="51" t="n"/>
      <c r="C53" s="51" t="n"/>
      <c r="D53" s="51" t="n"/>
      <c r="E53" s="51" t="n"/>
      <c r="F53" s="51" t="n"/>
      <c r="G53" s="51" t="n"/>
      <c r="H53" s="51" t="n"/>
      <c r="I53" s="52" t="n"/>
    </row>
    <row r="54" ht="15" customHeight="1" s="151" thickBot="1">
      <c r="A54" s="155" t="inlineStr">
        <is>
          <t xml:space="preserve">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
Noted Additional Material needed to be removed beneath the pavers
Confirmed alignment shift of south eastern tie in to flush kerb alignment </t>
        </is>
      </c>
      <c r="B54" s="124" t="n"/>
      <c r="C54" s="124" t="n"/>
      <c r="D54" s="124" t="n"/>
      <c r="E54" s="124" t="n"/>
      <c r="F54" s="124" t="n"/>
      <c r="G54" s="124" t="n"/>
      <c r="H54" s="124" t="n"/>
      <c r="I54" s="125" t="n"/>
    </row>
    <row r="55">
      <c r="A55" s="111" t="n"/>
      <c r="I55" s="113" t="n"/>
    </row>
    <row r="56" ht="49.5" customHeight="1" s="151">
      <c r="A56" s="111" t="n"/>
      <c r="I56" s="113" t="n"/>
    </row>
    <row r="57" ht="107.5" customHeight="1" s="151" thickBot="1">
      <c r="A57" s="134" t="n"/>
      <c r="B57" s="135" t="n"/>
      <c r="C57" s="135" t="n"/>
      <c r="D57" s="135" t="n"/>
      <c r="E57" s="135" t="n"/>
      <c r="F57" s="135" t="n"/>
      <c r="G57" s="135" t="n"/>
      <c r="H57" s="135" t="n"/>
      <c r="I57" s="136" t="n"/>
    </row>
    <row r="58" ht="25" customHeight="1" s="151">
      <c r="A58" s="137" t="inlineStr">
        <is>
          <t>HSEQ MESSAGES</t>
        </is>
      </c>
      <c r="B58" s="138" t="n"/>
      <c r="C58" s="138" t="n"/>
      <c r="D58" s="138" t="n"/>
      <c r="E58" s="138" t="n"/>
      <c r="F58" s="138" t="n"/>
      <c r="G58" s="138" t="n"/>
      <c r="H58" s="138" t="n"/>
      <c r="I58" s="139" t="n"/>
    </row>
    <row r="59" ht="18" customHeight="1" s="151">
      <c r="A59" s="53" t="inlineStr">
        <is>
          <t>TCD - Monthly Safety Focus:</t>
        </is>
      </c>
      <c r="B59" s="140" t="inlineStr">
        <is>
          <t>Underground Services</t>
        </is>
      </c>
      <c r="C59" s="159" t="n"/>
      <c r="D59" s="159" t="n"/>
      <c r="E59" s="159" t="n"/>
      <c r="F59" s="159" t="n"/>
      <c r="G59" s="159" t="n"/>
      <c r="H59" s="159" t="n"/>
      <c r="I59" s="118" t="n"/>
    </row>
    <row r="60" ht="24" customHeight="1" s="151">
      <c r="A60" s="53" t="inlineStr">
        <is>
          <t>TCD - Daily Safety Focus:</t>
        </is>
      </c>
      <c r="B60" s="141" t="inlineStr">
        <is>
          <t>Shut Down Area, Positive Comms and Keep Clear of Machinery</t>
        </is>
      </c>
      <c r="C60" s="159" t="n"/>
      <c r="D60" s="159" t="n"/>
      <c r="E60" s="159" t="n"/>
      <c r="F60" s="159" t="n"/>
      <c r="G60" s="159" t="n"/>
      <c r="H60" s="159" t="n"/>
      <c r="I60" s="160" t="n"/>
    </row>
    <row r="61" ht="18" customHeight="1" s="151">
      <c r="A61" s="54" t="inlineStr">
        <is>
          <t xml:space="preserve">Hazards Reported: </t>
        </is>
      </c>
      <c r="B61" s="55" t="inlineStr">
        <is>
          <t>Nil</t>
        </is>
      </c>
      <c r="C61" s="141" t="n"/>
      <c r="D61" s="159" t="n"/>
      <c r="E61" s="159" t="n"/>
      <c r="F61" s="159" t="n"/>
      <c r="G61" s="159" t="n"/>
      <c r="H61" s="159" t="n"/>
      <c r="I61" s="160" t="n"/>
    </row>
    <row r="62" ht="18" customHeight="1" s="151">
      <c r="A62" s="54" t="inlineStr">
        <is>
          <t>Incident Free Days</t>
        </is>
      </c>
      <c r="B62" s="55" t="n">
        <v>25</v>
      </c>
      <c r="C62" s="140" t="n"/>
      <c r="D62" s="159" t="n"/>
      <c r="E62" s="159" t="n"/>
      <c r="F62" s="159" t="n"/>
      <c r="G62" s="159" t="n"/>
      <c r="H62" s="159" t="n"/>
      <c r="I62" s="118" t="n"/>
    </row>
    <row r="63" ht="18" customHeight="1" s="151">
      <c r="A63" s="56" t="inlineStr">
        <is>
          <t>Other Notes</t>
        </is>
      </c>
      <c r="B63" s="142" t="n"/>
      <c r="C63" s="124" t="n"/>
      <c r="D63" s="124" t="n"/>
      <c r="E63" s="124" t="n"/>
      <c r="F63" s="124" t="n"/>
      <c r="G63" s="124" t="n"/>
      <c r="H63" s="124" t="n"/>
      <c r="I63" s="125" t="n"/>
    </row>
    <row r="64" ht="20.25" customHeight="1" s="151">
      <c r="A64" s="120" t="inlineStr">
        <is>
          <t xml:space="preserve">INCIDENTS &amp; REPORTS </t>
        </is>
      </c>
      <c r="B64" s="159" t="n"/>
      <c r="C64" s="159" t="n"/>
      <c r="D64" s="159" t="n"/>
      <c r="E64" s="159" t="n"/>
      <c r="F64" s="159" t="n"/>
      <c r="G64" s="159" t="n"/>
      <c r="H64" s="159" t="n"/>
      <c r="I64" s="160" t="n"/>
    </row>
    <row r="65" ht="25" customHeight="1" s="151">
      <c r="A65" s="57" t="n"/>
      <c r="B65" s="127" t="inlineStr">
        <is>
          <t>QTY</t>
        </is>
      </c>
      <c r="C65" s="130" t="inlineStr">
        <is>
          <t>Comments</t>
        </is>
      </c>
      <c r="D65" s="159" t="n"/>
      <c r="E65" s="159" t="n"/>
      <c r="F65" s="159" t="n"/>
      <c r="G65" s="159" t="n"/>
      <c r="H65" s="159" t="n"/>
      <c r="I65" s="160" t="n"/>
    </row>
    <row r="66" ht="25" customHeight="1" s="151">
      <c r="A66" s="58" t="inlineStr">
        <is>
          <t>INCIDENT</t>
        </is>
      </c>
      <c r="B66" s="127" t="n">
        <v>0</v>
      </c>
      <c r="C66" s="129" t="inlineStr">
        <is>
          <t>NA</t>
        </is>
      </c>
      <c r="D66" s="159" t="n"/>
      <c r="E66" s="159" t="n"/>
      <c r="F66" s="159" t="n"/>
      <c r="G66" s="159" t="n"/>
      <c r="H66" s="159" t="n"/>
      <c r="I66" s="160" t="n"/>
    </row>
    <row r="67" ht="25" customHeight="1" s="151">
      <c r="A67" s="59" t="inlineStr">
        <is>
          <t>IR</t>
        </is>
      </c>
      <c r="B67" s="60" t="n">
        <v>0</v>
      </c>
      <c r="C67" s="145" t="inlineStr">
        <is>
          <t>NA</t>
        </is>
      </c>
      <c r="D67" s="124" t="n"/>
      <c r="E67" s="124" t="n"/>
      <c r="F67" s="124" t="n"/>
      <c r="G67" s="124" t="n"/>
      <c r="H67" s="124" t="n"/>
      <c r="I67" s="125" t="n"/>
    </row>
    <row r="68" ht="25" customHeight="1" s="151" thickBot="1">
      <c r="A68" s="61" t="inlineStr">
        <is>
          <t>NCR</t>
        </is>
      </c>
      <c r="B68" s="62" t="n">
        <v>0</v>
      </c>
      <c r="C68" s="146" t="inlineStr">
        <is>
          <t>NA</t>
        </is>
      </c>
      <c r="D68" s="147" t="n"/>
      <c r="E68" s="147" t="n"/>
      <c r="F68" s="147" t="n"/>
      <c r="G68" s="147" t="n"/>
      <c r="H68" s="147" t="n"/>
      <c r="I68" s="148" t="n"/>
    </row>
    <row r="69" ht="20.25" customHeight="1" s="151">
      <c r="A69" s="137" t="inlineStr">
        <is>
          <t>COMMUNICATIONS</t>
        </is>
      </c>
      <c r="B69" s="138" t="n"/>
      <c r="C69" s="138" t="n"/>
      <c r="D69" s="138" t="n"/>
      <c r="E69" s="138" t="n"/>
      <c r="F69" s="138" t="n"/>
      <c r="G69" s="138" t="n"/>
      <c r="H69" s="138" t="n"/>
      <c r="I69" s="139" t="n"/>
    </row>
    <row r="70" ht="25" customHeight="1" s="151">
      <c r="A70" s="149" t="inlineStr">
        <is>
          <t>TGS MB1119-05 Scheme D implemented</t>
        </is>
      </c>
      <c r="B70" s="159" t="n"/>
      <c r="C70" s="159" t="n"/>
      <c r="D70" s="159" t="n"/>
      <c r="E70" s="159" t="n"/>
      <c r="F70" s="159" t="n"/>
      <c r="G70" s="159" t="n"/>
      <c r="H70" s="159" t="n"/>
      <c r="I70" s="160" t="n"/>
    </row>
    <row r="71" ht="25" customHeight="1" s="151">
      <c r="A71" s="149" t="inlineStr">
        <is>
          <t xml:space="preserve">TGS MB1119-07A implemented </t>
        </is>
      </c>
      <c r="B71" s="159" t="n"/>
      <c r="C71" s="159" t="n"/>
      <c r="D71" s="159" t="n"/>
      <c r="E71" s="159" t="n"/>
      <c r="F71" s="159" t="n"/>
      <c r="G71" s="159" t="n"/>
      <c r="H71" s="159" t="n"/>
      <c r="I71" s="160" t="n"/>
    </row>
    <row r="72" ht="25" customHeight="1" s="151">
      <c r="A72" s="120" t="inlineStr">
        <is>
          <t>PRODUCTION (CONSTRUCTION STATUS &amp; PROGRESS)</t>
        </is>
      </c>
      <c r="B72" s="159" t="n"/>
      <c r="C72" s="159" t="n"/>
      <c r="D72" s="159" t="n"/>
      <c r="E72" s="159" t="n"/>
      <c r="F72" s="159" t="n"/>
      <c r="G72" s="159" t="n"/>
      <c r="H72" s="159" t="n"/>
      <c r="I72" s="160" t="n"/>
    </row>
    <row r="73" ht="25" customHeight="1" s="151">
      <c r="A73" s="98" t="inlineStr">
        <is>
          <t>Commencement of Paving Installation</t>
        </is>
      </c>
      <c r="B73" s="64" t="n"/>
      <c r="C73" s="9" t="n"/>
      <c r="D73" s="9" t="n"/>
      <c r="E73" s="64" t="n"/>
      <c r="F73" s="64" t="n"/>
      <c r="G73" s="9" t="n"/>
      <c r="H73" s="64" t="n"/>
      <c r="I73" s="65" t="n"/>
    </row>
    <row r="74" ht="25" customHeight="1" s="151">
      <c r="A74" s="98" t="inlineStr">
        <is>
          <t>Trimming of batters and verges</t>
        </is>
      </c>
      <c r="B74" s="64" t="n"/>
      <c r="C74" s="9" t="n"/>
      <c r="D74" s="9" t="n"/>
      <c r="E74" s="64" t="n"/>
      <c r="F74" s="64" t="n"/>
      <c r="G74" s="9" t="n"/>
      <c r="H74" s="64" t="n"/>
      <c r="I74" s="65" t="n"/>
    </row>
    <row r="75" ht="26.15" customHeight="1" s="151" thickBot="1">
      <c r="A75" s="123" t="inlineStr">
        <is>
          <t>Photos</t>
        </is>
      </c>
      <c r="B75" s="124" t="n"/>
      <c r="C75" s="124" t="n"/>
      <c r="D75" s="124" t="n"/>
      <c r="E75" s="124" t="n"/>
      <c r="F75" s="124" t="n"/>
      <c r="G75" s="124" t="n"/>
      <c r="H75" s="124" t="n"/>
      <c r="I75" s="125" t="n"/>
    </row>
    <row r="76" ht="23.15" customHeight="1" s="151">
      <c r="A76" s="66" t="n"/>
      <c r="B76" s="67" t="n"/>
      <c r="C76" s="67" t="n"/>
      <c r="D76" s="67" t="n"/>
      <c r="E76" s="67" t="n"/>
      <c r="F76" s="67" t="n"/>
      <c r="G76" s="67" t="n"/>
      <c r="H76" s="67" t="n"/>
      <c r="I76" s="68" t="n"/>
    </row>
    <row r="77" ht="23.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H98" s="70" t="n"/>
      <c r="I98" s="71" t="n"/>
    </row>
    <row r="99" ht="25" customFormat="1" customHeight="1" s="10">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thickBot="1">
      <c r="A114" s="72" t="n"/>
      <c r="B114" s="73" t="n"/>
      <c r="C114" s="73" t="n"/>
      <c r="D114" s="73" t="n"/>
      <c r="E114" s="73" t="n"/>
      <c r="F114" s="73" t="n"/>
      <c r="G114" s="73" t="n"/>
      <c r="H114" s="73" t="n"/>
      <c r="I114" s="74"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2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28"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thickBot="1">
      <c r="A139" s="69" t="n"/>
      <c r="B139" s="70" t="n"/>
      <c r="C139" s="70" t="n"/>
      <c r="D139" s="70" t="n"/>
      <c r="E139" s="70" t="n"/>
      <c r="F139" s="70" t="n"/>
      <c r="G139" s="70" t="n"/>
      <c r="H139" s="70" t="n"/>
      <c r="I139" s="71" t="n"/>
      <c r="J139" s="75"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6" customHeight="1" s="151">
      <c r="A146" s="69" t="n"/>
      <c r="B146" s="70" t="n"/>
      <c r="C146" s="70" t="n"/>
      <c r="D146" s="70" t="n"/>
      <c r="E146" s="70" t="n"/>
      <c r="F146" s="70" t="n"/>
      <c r="G146" s="70" t="n"/>
      <c r="H146" s="70" t="n"/>
      <c r="I146" s="71" t="n"/>
    </row>
    <row r="147" ht="30.75" customHeight="1" s="151">
      <c r="A147" s="143" t="n"/>
      <c r="E147" s="144" t="n"/>
      <c r="I147" s="113"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ht="16" customHeight="1" s="151" thickBot="1">
      <c r="A201" s="4" t="n"/>
      <c r="B201" s="5" t="n"/>
      <c r="C201" s="5" t="n"/>
      <c r="D201" s="5" t="n"/>
      <c r="E201" s="5" t="n"/>
      <c r="F201" s="5" t="n"/>
      <c r="G201" s="5" t="n"/>
      <c r="H201" s="5" t="n"/>
      <c r="I201" s="6" t="n"/>
    </row>
    <row r="202">
      <c r="A202" s="7" t="n"/>
      <c r="I202" s="8" t="n"/>
    </row>
    <row r="203">
      <c r="A203" s="7" t="n"/>
      <c r="I203" s="8" t="n"/>
    </row>
    <row r="204">
      <c r="A204" s="7" t="n"/>
      <c r="I204" s="8" t="n"/>
    </row>
    <row r="205">
      <c r="A205" s="7" t="n"/>
      <c r="I205" s="8" t="n"/>
    </row>
    <row r="206">
      <c r="A206" s="7" t="n"/>
      <c r="I206" s="8" t="n"/>
    </row>
    <row r="207">
      <c r="A207" s="7" t="n"/>
      <c r="I207" s="8" t="n"/>
    </row>
    <row r="208" ht="16" customHeight="1" s="151" thickBot="1">
      <c r="A208" s="4" t="n"/>
      <c r="B208" s="5" t="n"/>
      <c r="C208" s="5" t="n"/>
      <c r="D208" s="5" t="n"/>
      <c r="E208" s="5" t="n"/>
      <c r="F208" s="5" t="n"/>
      <c r="G208" s="5" t="n"/>
      <c r="H208" s="5" t="n"/>
      <c r="I208" s="6" t="n"/>
    </row>
  </sheetData>
  <mergeCells count="40">
    <mergeCell ref="D49:I49"/>
    <mergeCell ref="C61:I61"/>
    <mergeCell ref="D13:F13"/>
    <mergeCell ref="G13:I13"/>
    <mergeCell ref="A75:I75"/>
    <mergeCell ref="A51:B51"/>
    <mergeCell ref="B8:D8"/>
    <mergeCell ref="A147:D147"/>
    <mergeCell ref="B59:I59"/>
    <mergeCell ref="D48:I48"/>
    <mergeCell ref="C67:I67"/>
    <mergeCell ref="A12:I12"/>
    <mergeCell ref="C66:I66"/>
    <mergeCell ref="B48:C48"/>
    <mergeCell ref="A71:I71"/>
    <mergeCell ref="A5:I5"/>
    <mergeCell ref="E147:I147"/>
    <mergeCell ref="B9:D9"/>
    <mergeCell ref="B60:I60"/>
    <mergeCell ref="C68:I68"/>
    <mergeCell ref="C62:I62"/>
    <mergeCell ref="B6:D6"/>
    <mergeCell ref="A72:I72"/>
    <mergeCell ref="A52:I52"/>
    <mergeCell ref="D51:I51"/>
    <mergeCell ref="A13:C13"/>
    <mergeCell ref="A54:I57"/>
    <mergeCell ref="A10:I10"/>
    <mergeCell ref="A1:I4"/>
    <mergeCell ref="D50:I50"/>
    <mergeCell ref="A58:I58"/>
    <mergeCell ref="B7:D7"/>
    <mergeCell ref="C65:I65"/>
    <mergeCell ref="B49:C49"/>
    <mergeCell ref="A64:I64"/>
    <mergeCell ref="A11:I11"/>
    <mergeCell ref="A70:I70"/>
    <mergeCell ref="B50:C50"/>
    <mergeCell ref="B63:I63"/>
    <mergeCell ref="A69:I69"/>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4" min="0" max="8" man="1"/>
  </rowBreaks>
</worksheet>
</file>

<file path=xl/worksheets/sheet18.xml><?xml version="1.0" encoding="utf-8"?>
<worksheet xmlns="http://schemas.openxmlformats.org/spreadsheetml/2006/main">
  <sheetPr>
    <outlinePr summaryBelow="1" summaryRight="1"/>
    <pageSetUpPr fitToPage="1"/>
  </sheetPr>
  <dimension ref="A1:J210"/>
  <sheetViews>
    <sheetView view="pageBreakPreview" zoomScale="25" zoomScaleNormal="55" zoomScaleSheetLayoutView="25" workbookViewId="0">
      <selection activeCell="M56" sqref="M56"/>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45921</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113</v>
      </c>
      <c r="C9" s="107" t="n"/>
      <c r="D9" s="107" t="n"/>
      <c r="E9" s="106" t="n"/>
      <c r="F9" s="20" t="n"/>
      <c r="G9" s="20" t="n"/>
      <c r="H9" s="16" t="inlineStr">
        <is>
          <t>Finish:</t>
        </is>
      </c>
      <c r="I9" s="18" t="n">
        <v>0.7083333333333334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22" t="inlineStr">
        <is>
          <t>Temperature: 30 degrees  Wind:  44km/h 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11</v>
      </c>
      <c r="G15" s="29" t="inlineStr">
        <is>
          <t>Khegan Brockman</t>
        </is>
      </c>
      <c r="H15" s="26" t="inlineStr">
        <is>
          <t>Labourer</t>
        </is>
      </c>
      <c r="I15" s="30" t="n">
        <v>0</v>
      </c>
    </row>
    <row r="16" ht="23.15" customHeight="1" s="151">
      <c r="A16" s="25" t="inlineStr">
        <is>
          <t>GRIFFITHS, Daniel</t>
        </is>
      </c>
      <c r="B16" s="26" t="inlineStr">
        <is>
          <t>Project Manager</t>
        </is>
      </c>
      <c r="C16" s="31" t="n">
        <v>10</v>
      </c>
      <c r="D16" s="29" t="inlineStr">
        <is>
          <t>Hanly,Thomas</t>
        </is>
      </c>
      <c r="E16" s="26" t="inlineStr">
        <is>
          <t>Operator</t>
        </is>
      </c>
      <c r="F16" s="26" t="n">
        <v>11</v>
      </c>
      <c r="G16" s="29" t="inlineStr">
        <is>
          <t>Daniel McAuffile</t>
        </is>
      </c>
      <c r="H16" s="26" t="inlineStr">
        <is>
          <t>Operator</t>
        </is>
      </c>
      <c r="I16" s="30" t="n">
        <v>0</v>
      </c>
    </row>
    <row r="17" ht="23.15" customHeight="1" s="151">
      <c r="A17" s="25" t="inlineStr">
        <is>
          <t>O"SHEA, John</t>
        </is>
      </c>
      <c r="B17" s="26" t="inlineStr">
        <is>
          <t>Senior Project Engineer</t>
        </is>
      </c>
      <c r="C17" s="31" t="n"/>
      <c r="D17" s="26" t="inlineStr">
        <is>
          <t>McGahon,Aideen</t>
        </is>
      </c>
      <c r="E17" s="26" t="inlineStr">
        <is>
          <t>Operator</t>
        </is>
      </c>
      <c r="F17" s="26" t="n">
        <v>11</v>
      </c>
      <c r="G17" s="29" t="inlineStr">
        <is>
          <t>O'Brian, Jamie</t>
        </is>
      </c>
      <c r="H17" s="26" t="inlineStr">
        <is>
          <t>Operator</t>
        </is>
      </c>
      <c r="I17" s="30" t="n">
        <v>0</v>
      </c>
    </row>
    <row r="18" ht="23.15" customHeight="1" s="151">
      <c r="A18" s="25" t="inlineStr">
        <is>
          <t>GRIFFITHS, Ashley</t>
        </is>
      </c>
      <c r="B18" s="26" t="inlineStr">
        <is>
          <t>Supervisor</t>
        </is>
      </c>
      <c r="C18" s="31" t="n"/>
      <c r="D18" s="28" t="n"/>
      <c r="E18" s="28" t="n"/>
      <c r="F18" s="26" t="n"/>
      <c r="G18" s="29" t="inlineStr">
        <is>
          <t>Mosley,Joshua</t>
        </is>
      </c>
      <c r="H18" s="26" t="inlineStr">
        <is>
          <t>Surveyor</t>
        </is>
      </c>
      <c r="I18" s="30" t="n">
        <v>0</v>
      </c>
    </row>
    <row r="19" ht="23.15" customHeight="1" s="151">
      <c r="A19" s="25" t="inlineStr">
        <is>
          <t>THOMPSON,Cheryl</t>
        </is>
      </c>
      <c r="B19" s="26" t="inlineStr">
        <is>
          <t>HSET</t>
        </is>
      </c>
      <c r="C19" s="31" t="n"/>
      <c r="D19" s="28" t="n"/>
      <c r="E19" s="28" t="n"/>
      <c r="F19" s="26" t="n"/>
      <c r="G19" s="29" t="inlineStr">
        <is>
          <t>Mullin, Connell</t>
        </is>
      </c>
      <c r="H19" s="26" t="inlineStr">
        <is>
          <t>Operator</t>
        </is>
      </c>
      <c r="I19" s="30" t="n">
        <v>11</v>
      </c>
    </row>
    <row r="20" ht="23.15" customHeight="1" s="151">
      <c r="A20" s="25" t="inlineStr">
        <is>
          <t>SKINNER,Jamie</t>
        </is>
      </c>
      <c r="B20" s="26" t="inlineStr">
        <is>
          <t>Supervisor</t>
        </is>
      </c>
      <c r="C20" s="31" t="n"/>
      <c r="D20" s="28" t="n"/>
      <c r="E20" s="28" t="n"/>
      <c r="F20" s="26" t="n"/>
      <c r="I20" s="30" t="n"/>
    </row>
    <row r="21" ht="23.15" customHeight="1" s="151">
      <c r="A21" s="99" t="inlineStr">
        <is>
          <t>TONER, Ultan</t>
        </is>
      </c>
      <c r="B21" s="26" t="inlineStr">
        <is>
          <t>Supervisor</t>
        </is>
      </c>
      <c r="C21" s="31" t="n">
        <v>11</v>
      </c>
      <c r="D21" s="28" t="n"/>
      <c r="E21" s="28" t="n"/>
      <c r="F21" s="26" t="n"/>
      <c r="G21" s="95" t="inlineStr">
        <is>
          <t>Pavers (ACP)</t>
        </is>
      </c>
      <c r="H21" s="26" t="n"/>
      <c r="I21" s="103" t="n"/>
    </row>
    <row r="22" ht="23.15" customHeight="1" s="151">
      <c r="A22" s="25" t="n"/>
      <c r="B22" s="26" t="n"/>
      <c r="C22" s="31" t="n"/>
      <c r="D22" s="28" t="n"/>
      <c r="E22" s="28" t="n"/>
      <c r="F22" s="26" t="n"/>
      <c r="G22" s="96" t="inlineStr">
        <is>
          <t>Yelland, Tony</t>
        </is>
      </c>
      <c r="H22" s="97" t="inlineStr">
        <is>
          <t>Paving Foreman</t>
        </is>
      </c>
      <c r="I22" s="103" t="n">
        <v>8</v>
      </c>
    </row>
    <row r="23" ht="23.15" customHeight="1" s="151">
      <c r="A23" s="25" t="n"/>
      <c r="B23" s="26" t="n"/>
      <c r="C23" s="31" t="n"/>
      <c r="D23" s="28" t="n"/>
      <c r="E23" s="28" t="n"/>
      <c r="F23" s="26" t="n"/>
      <c r="G23" s="29" t="inlineStr">
        <is>
          <t>Pavers x 5</t>
        </is>
      </c>
      <c r="H23" s="26" t="inlineStr">
        <is>
          <t>Pavers</t>
        </is>
      </c>
      <c r="I23" s="30" t="n">
        <v>40</v>
      </c>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95" t="inlineStr">
        <is>
          <t>Oaks Civil</t>
        </is>
      </c>
      <c r="H25" s="26" t="n"/>
      <c r="I25" s="103" t="n"/>
    </row>
    <row r="26" ht="23.15" customHeight="1" s="151">
      <c r="A26" s="25" t="n"/>
      <c r="B26" s="26" t="n"/>
      <c r="C26" s="31" t="n"/>
      <c r="D26" s="28" t="n"/>
      <c r="E26" s="28" t="n"/>
      <c r="F26" s="26" t="n"/>
      <c r="G26" s="96" t="inlineStr">
        <is>
          <t>Traffic Controllers x5</t>
        </is>
      </c>
      <c r="H26" s="97" t="inlineStr">
        <is>
          <t>Traffic Controller</t>
        </is>
      </c>
      <c r="I26" s="103" t="n">
        <v>37.5</v>
      </c>
    </row>
    <row r="27" ht="23.15" customHeight="1" s="151">
      <c r="A27" s="25" t="n"/>
      <c r="B27" s="26" t="n"/>
      <c r="C27" s="31" t="n"/>
      <c r="D27" s="28" t="n"/>
      <c r="E27" s="28" t="n"/>
      <c r="F27" s="26" t="n"/>
      <c r="G27" s="29" t="n"/>
      <c r="H27" s="26" t="n"/>
      <c r="I27" s="30" t="n"/>
    </row>
    <row r="28" ht="23.15" customHeight="1" s="151">
      <c r="A28" s="131" t="inlineStr">
        <is>
          <t xml:space="preserve">Total Indirect Personnel onsite: </t>
        </is>
      </c>
      <c r="B28" s="34">
        <f>COUNT(C15:C28)</f>
        <v/>
      </c>
      <c r="C28" s="28" t="n"/>
      <c r="D28" s="28" t="n"/>
      <c r="E28" s="28" t="n"/>
      <c r="F28" s="26" t="n"/>
      <c r="G28" s="78" t="n"/>
      <c r="H28" s="77" t="n"/>
      <c r="I28" s="30" t="n"/>
    </row>
    <row r="29" ht="23.15" customHeight="1" s="151">
      <c r="A29" s="131" t="inlineStr">
        <is>
          <t xml:space="preserve">Total Indirect Personnel hours: </t>
        </is>
      </c>
      <c r="B29" s="34">
        <f>SUM(C15:C27)</f>
        <v/>
      </c>
      <c r="C29" s="31" t="n"/>
      <c r="D29" s="28" t="n"/>
      <c r="E29" s="28" t="n"/>
      <c r="F29" s="26" t="n"/>
      <c r="G29" s="35" t="inlineStr">
        <is>
          <t>Total Subcontractor on-site:</t>
        </is>
      </c>
      <c r="H29" s="36" t="n">
        <v>13</v>
      </c>
      <c r="I29" s="30" t="n"/>
    </row>
    <row r="30" ht="23.15" customHeight="1" s="151">
      <c r="A30" s="131" t="inlineStr">
        <is>
          <t xml:space="preserve">Total Direct Personnel onsite:  </t>
        </is>
      </c>
      <c r="B30" s="34">
        <f>COUNTIF(F15:F31,"&gt;0")</f>
        <v/>
      </c>
      <c r="C30" s="34" t="n"/>
      <c r="D30" s="28" t="n"/>
      <c r="E30" s="28" t="n"/>
      <c r="F30" s="37" t="n"/>
      <c r="G30" s="35" t="inlineStr">
        <is>
          <t>Total Subcontractor hours:</t>
        </is>
      </c>
      <c r="H30" s="36">
        <f>SUM(I11:I27)</f>
        <v/>
      </c>
      <c r="I30" s="130" t="n"/>
    </row>
    <row r="31" ht="23.15" customHeight="1" s="151">
      <c r="A31" s="131" t="inlineStr">
        <is>
          <t xml:space="preserve">Total Direct Personnel hours: </t>
        </is>
      </c>
      <c r="B31" s="34">
        <f>SUM(F15:F31)</f>
        <v/>
      </c>
      <c r="C31" s="34" t="n"/>
      <c r="D31" s="34" t="n"/>
      <c r="E31" s="34" t="n"/>
      <c r="F31" s="34" t="n"/>
      <c r="G31" s="34" t="n"/>
      <c r="H31" s="34" t="n"/>
      <c r="I31" s="130" t="n"/>
    </row>
    <row r="32" ht="25" customHeight="1" s="151">
      <c r="A32" s="39" t="inlineStr">
        <is>
          <t>PLANT &amp; EQUIPMENT</t>
        </is>
      </c>
      <c r="B32" s="40" t="n"/>
      <c r="C32" s="40" t="n"/>
      <c r="D32" s="40" t="n"/>
      <c r="E32" s="40" t="n"/>
      <c r="F32" s="40" t="n"/>
      <c r="G32" s="40" t="n"/>
      <c r="H32" s="40" t="n"/>
      <c r="I32" s="41" t="n"/>
    </row>
    <row r="33" ht="24" customHeight="1" s="151">
      <c r="A33" s="126" t="inlineStr">
        <is>
          <t>Plant</t>
        </is>
      </c>
      <c r="B33" s="127" t="inlineStr">
        <is>
          <t>ID</t>
        </is>
      </c>
      <c r="C33" s="127" t="inlineStr">
        <is>
          <t>Hours</t>
        </is>
      </c>
      <c r="D33" s="127" t="inlineStr">
        <is>
          <t xml:space="preserve"> Vehicles</t>
        </is>
      </c>
      <c r="E33" s="127" t="inlineStr">
        <is>
          <t>ID</t>
        </is>
      </c>
      <c r="F33" s="127" t="inlineStr">
        <is>
          <t>QTY</t>
        </is>
      </c>
      <c r="G33" s="42" t="inlineStr">
        <is>
          <t>Site Facilities</t>
        </is>
      </c>
      <c r="H33" s="42" t="inlineStr">
        <is>
          <t>ID</t>
        </is>
      </c>
      <c r="I33" s="43" t="inlineStr">
        <is>
          <t>Qty</t>
        </is>
      </c>
    </row>
    <row r="34" ht="23.15" customHeight="1" s="151">
      <c r="A34" s="25" t="inlineStr">
        <is>
          <t>Komatsu WA320</t>
        </is>
      </c>
      <c r="B34" s="26" t="inlineStr">
        <is>
          <t>FWL18</t>
        </is>
      </c>
      <c r="C34" s="26" t="n">
        <v>2</v>
      </c>
      <c r="D34" s="31" t="inlineStr">
        <is>
          <t>Hilux</t>
        </is>
      </c>
      <c r="E34" s="31" t="inlineStr">
        <is>
          <t>DLV90</t>
        </is>
      </c>
      <c r="F34" s="31" t="n">
        <v>1</v>
      </c>
      <c r="G34" s="31" t="inlineStr">
        <is>
          <t>Office 40ft</t>
        </is>
      </c>
      <c r="H34" s="31" t="n">
        <v>9255540</v>
      </c>
      <c r="I34" s="30" t="n">
        <v>1</v>
      </c>
    </row>
    <row r="35" ht="23.15" customHeight="1" s="151">
      <c r="A35" s="25" t="inlineStr">
        <is>
          <t>Wacker Neuson DPU</t>
        </is>
      </c>
      <c r="B35" s="26" t="inlineStr">
        <is>
          <t>DPC15</t>
        </is>
      </c>
      <c r="C35" s="26" t="n"/>
      <c r="D35" s="31" t="inlineStr">
        <is>
          <t>Hilux</t>
        </is>
      </c>
      <c r="E35" s="31" t="inlineStr">
        <is>
          <t>1DLV04</t>
        </is>
      </c>
      <c r="F35" s="31" t="n">
        <v>1</v>
      </c>
      <c r="G35" s="31" t="inlineStr">
        <is>
          <t>Sea Container 20ft</t>
        </is>
      </c>
      <c r="H35" s="26" t="n">
        <v>951200</v>
      </c>
      <c r="I35" s="30" t="n">
        <v>1</v>
      </c>
    </row>
    <row r="36" ht="23.15" customHeight="1" s="151">
      <c r="A36" s="44" t="inlineStr">
        <is>
          <t>Watercart</t>
        </is>
      </c>
      <c r="B36" s="31" t="inlineStr">
        <is>
          <t>WC04</t>
        </is>
      </c>
      <c r="C36" s="26" t="n">
        <v>3</v>
      </c>
      <c r="D36" s="31" t="n"/>
      <c r="E36" s="26" t="n"/>
      <c r="F36" s="31" t="n"/>
      <c r="G36" s="31" t="inlineStr">
        <is>
          <t>Site Sentry Tower</t>
        </is>
      </c>
      <c r="H36" s="31" t="n"/>
      <c r="I36" s="30" t="n">
        <v>2</v>
      </c>
    </row>
    <row r="37" ht="23.15" customHeight="1" s="151">
      <c r="A37" s="44" t="inlineStr">
        <is>
          <t>8T Excavator</t>
        </is>
      </c>
      <c r="B37" s="45" t="inlineStr">
        <is>
          <t>AMG 014</t>
        </is>
      </c>
      <c r="C37" s="26" t="n"/>
      <c r="D37" s="31" t="n"/>
      <c r="E37" s="31" t="n"/>
      <c r="F37" s="31" t="n"/>
      <c r="G37" s="31" t="inlineStr">
        <is>
          <t>Skip Bin</t>
        </is>
      </c>
      <c r="H37" s="31" t="n"/>
      <c r="I37" s="30" t="n">
        <v>1</v>
      </c>
    </row>
    <row r="38" ht="23.15" customHeight="1" s="151">
      <c r="A38" s="31" t="inlineStr">
        <is>
          <t>Mini Tipper</t>
        </is>
      </c>
      <c r="B38" s="31" t="inlineStr">
        <is>
          <t>SLS05</t>
        </is>
      </c>
      <c r="C38" s="31" t="n">
        <v>5</v>
      </c>
      <c r="D38" s="31" t="n"/>
      <c r="E38" s="31" t="n"/>
      <c r="F38" s="31" t="n"/>
      <c r="G38" s="31" t="inlineStr">
        <is>
          <t>Hydrocarbon Bund</t>
        </is>
      </c>
      <c r="H38" s="31" t="n"/>
      <c r="I38" s="30" t="n">
        <v>1</v>
      </c>
    </row>
    <row r="39" ht="23.15" customHeight="1" s="151">
      <c r="A39" s="76" t="inlineStr">
        <is>
          <t>1 t Excavator</t>
        </is>
      </c>
      <c r="B39" s="31" t="inlineStr">
        <is>
          <t>SLS03</t>
        </is>
      </c>
      <c r="C39" s="31" t="n">
        <v>5</v>
      </c>
      <c r="D39" s="31" t="n"/>
      <c r="E39" s="31" t="n"/>
      <c r="F39" s="31" t="n"/>
      <c r="G39" s="31" t="inlineStr">
        <is>
          <t>Temp Fence</t>
        </is>
      </c>
      <c r="H39" s="26" t="n"/>
      <c r="I39" s="30" t="n">
        <v>1</v>
      </c>
    </row>
    <row r="40" ht="24" customHeight="1" s="151">
      <c r="A40" s="76" t="inlineStr">
        <is>
          <t>14t Excavator with GPS</t>
        </is>
      </c>
      <c r="B40" s="31" t="inlineStr">
        <is>
          <t>EX153</t>
        </is>
      </c>
      <c r="C40" s="31" t="n">
        <v>7</v>
      </c>
      <c r="D40" s="31" t="n"/>
      <c r="E40" s="31" t="n"/>
      <c r="F40" s="31" t="n"/>
      <c r="G40" s="2" t="n"/>
      <c r="H40" s="2" t="n"/>
      <c r="I40" s="3" t="n"/>
    </row>
    <row r="41" ht="24" customHeight="1" s="151">
      <c r="A41" s="76" t="inlineStr">
        <is>
          <t>5t Excavator</t>
        </is>
      </c>
      <c r="B41" s="31" t="inlineStr">
        <is>
          <t>A118</t>
        </is>
      </c>
      <c r="C41" s="31" t="n">
        <v>2</v>
      </c>
      <c r="D41" s="31" t="n"/>
      <c r="E41" s="31" t="n"/>
      <c r="F41" s="31" t="n"/>
      <c r="G41" s="2" t="n"/>
      <c r="H41" s="2" t="n"/>
      <c r="I41" s="3" t="n"/>
    </row>
    <row r="42" ht="24" customHeight="1" s="151">
      <c r="A42" s="44" t="inlineStr">
        <is>
          <t>Padfoot/ Smooth Drum Roller</t>
        </is>
      </c>
      <c r="B42" s="31" t="inlineStr">
        <is>
          <t>RR 03</t>
        </is>
      </c>
      <c r="C42" s="26" t="n"/>
      <c r="D42" s="31" t="n"/>
      <c r="E42" s="31" t="n"/>
      <c r="F42" s="31" t="n"/>
      <c r="G42" s="2" t="n"/>
      <c r="H42" s="2" t="n"/>
      <c r="I42" s="3" t="n"/>
    </row>
    <row r="43" ht="24" customHeight="1" s="151">
      <c r="A43" s="44" t="inlineStr">
        <is>
          <t>Multi Roller</t>
        </is>
      </c>
      <c r="B43" s="31" t="n">
        <v>256</v>
      </c>
      <c r="C43" s="26" t="n"/>
      <c r="D43" s="31" t="n"/>
      <c r="E43" s="31" t="n"/>
      <c r="F43" s="31" t="n"/>
      <c r="G43" s="2" t="n"/>
      <c r="H43" s="2" t="n"/>
      <c r="I43" s="3" t="n"/>
    </row>
    <row r="44" ht="24" customHeight="1" s="151">
      <c r="A44" s="44" t="inlineStr">
        <is>
          <t>Positrak SSL</t>
        </is>
      </c>
      <c r="B44" s="31" t="inlineStr">
        <is>
          <t>SSL08</t>
        </is>
      </c>
      <c r="C44" s="26" t="n">
        <v>5</v>
      </c>
      <c r="D44" s="31" t="n"/>
      <c r="E44" s="31" t="n"/>
      <c r="F44" s="31" t="n"/>
      <c r="G44" s="2" t="n"/>
      <c r="H44" s="2" t="n"/>
      <c r="I44" s="3" t="n"/>
    </row>
    <row r="45" ht="24" customHeight="1" s="151">
      <c r="A45" s="44" t="inlineStr">
        <is>
          <t>6 Wheel Tipper</t>
        </is>
      </c>
      <c r="B45" s="31" t="inlineStr">
        <is>
          <t>T091</t>
        </is>
      </c>
      <c r="C45" s="26" t="n"/>
      <c r="D45" s="31" t="n"/>
      <c r="E45" s="31" t="n"/>
      <c r="F45" s="31" t="n"/>
      <c r="G45" s="2" t="n"/>
      <c r="H45" s="2" t="n"/>
      <c r="I45" s="3" t="n"/>
    </row>
    <row r="46" ht="24" customHeight="1" s="151">
      <c r="A46" s="44" t="inlineStr">
        <is>
          <t>Grader</t>
        </is>
      </c>
      <c r="B46" s="31" t="inlineStr">
        <is>
          <t>SLS01</t>
        </is>
      </c>
      <c r="C46" s="26" t="n"/>
      <c r="D46" s="31" t="n"/>
      <c r="E46" s="31" t="n"/>
      <c r="F46" s="31" t="n"/>
      <c r="G46" s="2" t="n"/>
      <c r="H46" s="2" t="n"/>
      <c r="I46" s="3" t="n"/>
    </row>
    <row r="47" ht="24" customHeight="1" s="151">
      <c r="A47" s="44" t="n"/>
      <c r="B47" s="31" t="n"/>
      <c r="C47" s="26" t="n"/>
      <c r="D47" s="2" t="n"/>
      <c r="E47" s="2" t="n"/>
      <c r="F47" s="2" t="n"/>
      <c r="G47" s="2" t="n"/>
      <c r="H47" s="2" t="n"/>
      <c r="I47" s="3" t="n"/>
    </row>
    <row r="48" ht="18" customHeight="1" s="151">
      <c r="A48" s="46" t="n">
        <v>0</v>
      </c>
      <c r="B48" s="128" t="inlineStr">
        <is>
          <t xml:space="preserve">Repairs Required </t>
        </is>
      </c>
      <c r="C48" s="118" t="n"/>
      <c r="D48" s="129" t="inlineStr">
        <is>
          <t>N/A</t>
        </is>
      </c>
      <c r="E48" s="159" t="n"/>
      <c r="F48" s="159" t="n"/>
      <c r="G48" s="159" t="n"/>
      <c r="H48" s="159" t="n"/>
      <c r="I48" s="160" t="n"/>
    </row>
    <row r="49" ht="18" customHeight="1" s="151">
      <c r="A49" s="47" t="n">
        <v>1</v>
      </c>
      <c r="B49" s="128" t="inlineStr">
        <is>
          <t>Scheduled Service</t>
        </is>
      </c>
      <c r="C49" s="118" t="n"/>
      <c r="D49" s="156" t="inlineStr">
        <is>
          <t>Smooth Drum Roller</t>
        </is>
      </c>
      <c r="E49" s="159" t="n"/>
      <c r="F49" s="159" t="n"/>
      <c r="G49" s="159" t="n"/>
      <c r="H49" s="159" t="n"/>
      <c r="I49" s="160" t="n"/>
    </row>
    <row r="50" ht="18" customHeight="1" s="151">
      <c r="A50" s="48" t="n">
        <v>0</v>
      </c>
      <c r="B50" s="128" t="n"/>
      <c r="C50" s="118" t="n"/>
      <c r="D50" s="129" t="inlineStr">
        <is>
          <t>N/A</t>
        </is>
      </c>
      <c r="E50" s="159" t="n"/>
      <c r="F50" s="159" t="n"/>
      <c r="G50" s="159" t="n"/>
      <c r="H50" s="159" t="n"/>
      <c r="I50" s="160" t="n"/>
    </row>
    <row r="51" ht="23.15" customHeight="1" s="151">
      <c r="A51" s="131" t="inlineStr">
        <is>
          <t xml:space="preserve">Total Plant and Equipment Hours: </t>
        </is>
      </c>
      <c r="B51" s="118" t="n"/>
      <c r="C51" s="49">
        <f>SUM(C34:C47)</f>
        <v/>
      </c>
      <c r="D51" s="132" t="n"/>
      <c r="E51" s="159" t="n"/>
      <c r="F51" s="159" t="n"/>
      <c r="G51" s="159" t="n"/>
      <c r="H51" s="159" t="n"/>
      <c r="I51" s="160" t="n"/>
    </row>
    <row r="52" ht="25" customHeight="1" s="151">
      <c r="A52" s="120" t="inlineStr">
        <is>
          <t>DELAYS-OPPORTUNITY</t>
        </is>
      </c>
      <c r="B52" s="159" t="n"/>
      <c r="C52" s="159" t="n"/>
      <c r="D52" s="159" t="n"/>
      <c r="E52" s="159" t="n"/>
      <c r="F52" s="159" t="n"/>
      <c r="G52" s="159" t="n"/>
      <c r="H52" s="159" t="n"/>
      <c r="I52" s="160" t="n"/>
    </row>
    <row r="53" ht="15" customHeight="1" s="151" thickBot="1">
      <c r="A53" s="155" t="inlineStr">
        <is>
          <t xml:space="preserve">New Detail Provided on Centrelink Carpark                                                               
Kerbing Plan reissued by TCD                                  
Awaiting Direction on Service Clash Forrest Street
Awaiting Confirmation on Batters Treatment 
Awaiting finalised fencing details
Awaiting COGG confirmation on "Ballast Pile"
Instructions Provided for Laneway Sewer, Drainage and Light Pole Removal
Noted Additional Material needed to be removed beneath the pavers
Confirmed alignment shift of south eastern tie in to flush kerb alignment </t>
        </is>
      </c>
      <c r="B53" s="124" t="n"/>
      <c r="C53" s="124" t="n"/>
      <c r="D53" s="124" t="n"/>
      <c r="E53" s="124" t="n"/>
      <c r="F53" s="124" t="n"/>
      <c r="G53" s="124" t="n"/>
      <c r="H53" s="124" t="n"/>
      <c r="I53" s="125" t="n"/>
    </row>
    <row r="54">
      <c r="A54" s="111" t="n"/>
      <c r="I54" s="113" t="n"/>
    </row>
    <row r="55" ht="49.5" customHeight="1" s="151">
      <c r="A55" s="111" t="n"/>
      <c r="I55" s="113" t="n"/>
    </row>
    <row r="56" ht="107.5" customHeight="1" s="151" thickBot="1">
      <c r="A56" s="134" t="n"/>
      <c r="B56" s="135" t="n"/>
      <c r="C56" s="135" t="n"/>
      <c r="D56" s="135" t="n"/>
      <c r="E56" s="135" t="n"/>
      <c r="F56" s="135" t="n"/>
      <c r="G56" s="135" t="n"/>
      <c r="H56" s="135" t="n"/>
      <c r="I56" s="136" t="n"/>
    </row>
    <row r="57" ht="25" customHeight="1" s="151">
      <c r="A57" s="137" t="inlineStr">
        <is>
          <t>HSEQ MESSAGES</t>
        </is>
      </c>
      <c r="B57" s="138" t="n"/>
      <c r="C57" s="138" t="n"/>
      <c r="D57" s="138" t="n"/>
      <c r="E57" s="138" t="n"/>
      <c r="F57" s="138" t="n"/>
      <c r="G57" s="138" t="n"/>
      <c r="H57" s="138" t="n"/>
      <c r="I57" s="139" t="n"/>
    </row>
    <row r="58" ht="18" customHeight="1" s="151">
      <c r="A58" s="53" t="inlineStr">
        <is>
          <t>TCD - Monthly Safety Focus:</t>
        </is>
      </c>
      <c r="B58" s="140" t="inlineStr">
        <is>
          <t>Underground Services</t>
        </is>
      </c>
      <c r="C58" s="159" t="n"/>
      <c r="D58" s="159" t="n"/>
      <c r="E58" s="159" t="n"/>
      <c r="F58" s="159" t="n"/>
      <c r="G58" s="159" t="n"/>
      <c r="H58" s="159" t="n"/>
      <c r="I58" s="118" t="n"/>
    </row>
    <row r="59" ht="24" customHeight="1" s="151">
      <c r="A59" s="53" t="inlineStr">
        <is>
          <t>TCD - Daily Safety Focus:</t>
        </is>
      </c>
      <c r="B59" s="141" t="inlineStr">
        <is>
          <t>Shut Down Area, Positive Comms and Keep Clear of Machinery</t>
        </is>
      </c>
      <c r="C59" s="159" t="n"/>
      <c r="D59" s="159" t="n"/>
      <c r="E59" s="159" t="n"/>
      <c r="F59" s="159" t="n"/>
      <c r="G59" s="159" t="n"/>
      <c r="H59" s="159" t="n"/>
      <c r="I59" s="160" t="n"/>
    </row>
    <row r="60" ht="18" customHeight="1" s="151">
      <c r="A60" s="54" t="inlineStr">
        <is>
          <t xml:space="preserve">Hazards Reported: </t>
        </is>
      </c>
      <c r="B60" s="55" t="inlineStr">
        <is>
          <t>Nil</t>
        </is>
      </c>
      <c r="C60" s="141" t="n"/>
      <c r="D60" s="159" t="n"/>
      <c r="E60" s="159" t="n"/>
      <c r="F60" s="159" t="n"/>
      <c r="G60" s="159" t="n"/>
      <c r="H60" s="159" t="n"/>
      <c r="I60" s="160" t="n"/>
    </row>
    <row r="61" ht="18" customHeight="1" s="151">
      <c r="A61" s="54" t="inlineStr">
        <is>
          <t>Incident Free Days</t>
        </is>
      </c>
      <c r="B61" s="55" t="n">
        <v>0</v>
      </c>
      <c r="C61" s="140" t="n"/>
      <c r="D61" s="159" t="n"/>
      <c r="E61" s="159" t="n"/>
      <c r="F61" s="159" t="n"/>
      <c r="G61" s="159" t="n"/>
      <c r="H61" s="159" t="n"/>
      <c r="I61" s="118" t="n"/>
    </row>
    <row r="62" ht="18" customHeight="1" s="151">
      <c r="A62" s="56" t="inlineStr">
        <is>
          <t>Other Notes</t>
        </is>
      </c>
      <c r="B62" s="142" t="n"/>
      <c r="C62" s="124" t="n"/>
      <c r="D62" s="124" t="n"/>
      <c r="E62" s="124" t="n"/>
      <c r="F62" s="124" t="n"/>
      <c r="G62" s="124" t="n"/>
      <c r="H62" s="124" t="n"/>
      <c r="I62" s="125" t="n"/>
    </row>
    <row r="63" ht="20.25" customHeight="1" s="151">
      <c r="A63" s="120" t="inlineStr">
        <is>
          <t xml:space="preserve">INCIDENTS &amp; REPORTS </t>
        </is>
      </c>
      <c r="B63" s="159" t="n"/>
      <c r="C63" s="159" t="n"/>
      <c r="D63" s="159" t="n"/>
      <c r="E63" s="159" t="n"/>
      <c r="F63" s="159" t="n"/>
      <c r="G63" s="159" t="n"/>
      <c r="H63" s="159" t="n"/>
      <c r="I63" s="160" t="n"/>
    </row>
    <row r="64" ht="25" customHeight="1" s="151">
      <c r="A64" s="57" t="n"/>
      <c r="B64" s="127" t="inlineStr">
        <is>
          <t>QTY</t>
        </is>
      </c>
      <c r="C64" s="130" t="inlineStr">
        <is>
          <t>Comments</t>
        </is>
      </c>
      <c r="D64" s="159" t="n"/>
      <c r="E64" s="159" t="n"/>
      <c r="F64" s="159" t="n"/>
      <c r="G64" s="159" t="n"/>
      <c r="H64" s="159" t="n"/>
      <c r="I64" s="160" t="n"/>
    </row>
    <row r="65" ht="25" customHeight="1" s="151">
      <c r="A65" s="58" t="inlineStr">
        <is>
          <t>INCIDENT</t>
        </is>
      </c>
      <c r="B65" s="127" t="n">
        <v>1</v>
      </c>
      <c r="C65" s="129" t="inlineStr">
        <is>
          <t>Excavator Bucket made contact with Loader Light</t>
        </is>
      </c>
      <c r="D65" s="159" t="n"/>
      <c r="E65" s="159" t="n"/>
      <c r="F65" s="159" t="n"/>
      <c r="G65" s="159" t="n"/>
      <c r="H65" s="159" t="n"/>
      <c r="I65" s="160" t="n"/>
    </row>
    <row r="66" ht="25" customHeight="1" s="151">
      <c r="A66" s="59" t="inlineStr">
        <is>
          <t>IR</t>
        </is>
      </c>
      <c r="B66" s="60" t="n">
        <v>0</v>
      </c>
      <c r="C66" s="145" t="inlineStr">
        <is>
          <t>NA</t>
        </is>
      </c>
      <c r="D66" s="124" t="n"/>
      <c r="E66" s="124" t="n"/>
      <c r="F66" s="124" t="n"/>
      <c r="G66" s="124" t="n"/>
      <c r="H66" s="124" t="n"/>
      <c r="I66" s="125" t="n"/>
    </row>
    <row r="67" ht="25" customHeight="1" s="151" thickBot="1">
      <c r="A67" s="61" t="inlineStr">
        <is>
          <t>NCR</t>
        </is>
      </c>
      <c r="B67" s="62" t="n">
        <v>0</v>
      </c>
      <c r="C67" s="146" t="inlineStr">
        <is>
          <t>NA</t>
        </is>
      </c>
      <c r="D67" s="147" t="n"/>
      <c r="E67" s="147" t="n"/>
      <c r="F67" s="147" t="n"/>
      <c r="G67" s="147" t="n"/>
      <c r="H67" s="147" t="n"/>
      <c r="I67" s="148" t="n"/>
    </row>
    <row r="68" ht="20.25" customHeight="1" s="151">
      <c r="A68" s="137" t="inlineStr">
        <is>
          <t>COMMUNICATIONS</t>
        </is>
      </c>
      <c r="B68" s="138" t="n"/>
      <c r="C68" s="138" t="n"/>
      <c r="D68" s="138" t="n"/>
      <c r="E68" s="138" t="n"/>
      <c r="F68" s="138" t="n"/>
      <c r="G68" s="138" t="n"/>
      <c r="H68" s="138" t="n"/>
      <c r="I68" s="139" t="n"/>
    </row>
    <row r="69" ht="25" customHeight="1" s="151">
      <c r="A69" s="149" t="inlineStr">
        <is>
          <t>TGS MB1119-05 Scheme D implemented</t>
        </is>
      </c>
      <c r="B69" s="159" t="n"/>
      <c r="C69" s="159" t="n"/>
      <c r="D69" s="159" t="n"/>
      <c r="E69" s="159" t="n"/>
      <c r="F69" s="159" t="n"/>
      <c r="G69" s="159" t="n"/>
      <c r="H69" s="159" t="n"/>
      <c r="I69" s="160" t="n"/>
    </row>
    <row r="70" ht="25" customHeight="1" s="151">
      <c r="A70" s="149" t="inlineStr">
        <is>
          <t xml:space="preserve">TGS MB1119-07A implemented </t>
        </is>
      </c>
      <c r="B70" s="159" t="n"/>
      <c r="C70" s="159" t="n"/>
      <c r="D70" s="159" t="n"/>
      <c r="E70" s="159" t="n"/>
      <c r="F70" s="159" t="n"/>
      <c r="G70" s="159" t="n"/>
      <c r="H70" s="159" t="n"/>
      <c r="I70" s="160" t="n"/>
    </row>
    <row r="71" ht="25" customHeight="1" s="151">
      <c r="A71" s="149" t="inlineStr">
        <is>
          <t xml:space="preserve">Road Opened at Approx 1530 Aftercare Signage Installed </t>
        </is>
      </c>
      <c r="B71" s="159" t="n"/>
      <c r="C71" s="159" t="n"/>
      <c r="D71" s="159" t="n"/>
      <c r="E71" s="159" t="n"/>
      <c r="F71" s="159" t="n"/>
      <c r="G71" s="159" t="n"/>
      <c r="H71" s="159" t="n"/>
      <c r="I71" s="160" t="n"/>
    </row>
    <row r="72" ht="25" customHeight="1" s="151">
      <c r="A72" s="120" t="inlineStr">
        <is>
          <t>PRODUCTION (CONSTRUCTION STATUS &amp; PROGRESS)</t>
        </is>
      </c>
      <c r="B72" s="159" t="n"/>
      <c r="C72" s="159" t="n"/>
      <c r="D72" s="159" t="n"/>
      <c r="E72" s="159" t="n"/>
      <c r="F72" s="159" t="n"/>
      <c r="G72" s="159" t="n"/>
      <c r="H72" s="159" t="n"/>
      <c r="I72" s="160" t="n"/>
    </row>
    <row r="73" ht="25" customHeight="1" s="151">
      <c r="A73" s="98" t="inlineStr">
        <is>
          <t>Completion of Paving Install</t>
        </is>
      </c>
      <c r="B73" s="64" t="n"/>
      <c r="C73" s="9" t="n"/>
      <c r="D73" s="9" t="n"/>
      <c r="E73" s="64" t="n"/>
      <c r="F73" s="64" t="n"/>
      <c r="G73" s="9" t="n"/>
      <c r="H73" s="64" t="n"/>
      <c r="I73" s="65" t="n"/>
    </row>
    <row r="74" ht="25" customHeight="1" s="151">
      <c r="A74" s="98" t="inlineStr">
        <is>
          <t>Boxing out of Limestone Block Pits</t>
        </is>
      </c>
      <c r="B74" s="64" t="n"/>
      <c r="C74" s="9" t="n"/>
      <c r="D74" s="9" t="n"/>
      <c r="E74" s="64" t="n"/>
      <c r="F74" s="64" t="n"/>
      <c r="G74" s="9" t="n"/>
      <c r="H74" s="64" t="n"/>
      <c r="I74" s="65" t="n"/>
    </row>
    <row r="75" ht="25" customHeight="1" s="151">
      <c r="A75" s="98" t="inlineStr">
        <is>
          <t>Temp Reinstatement of Verges in Shutdown Area Reinstallation of original site fencing</t>
        </is>
      </c>
      <c r="B75" s="64" t="n"/>
      <c r="C75" s="9" t="n"/>
      <c r="D75" s="9" t="n"/>
      <c r="E75" s="64" t="n"/>
      <c r="F75" s="64" t="n"/>
      <c r="G75" s="9" t="n"/>
      <c r="H75" s="64" t="n"/>
      <c r="I75" s="65" t="n"/>
    </row>
    <row r="76" ht="25" customHeight="1" s="151">
      <c r="A76" s="98" t="inlineStr">
        <is>
          <t>Trimming of batters and verges</t>
        </is>
      </c>
      <c r="B76" s="64" t="n"/>
      <c r="C76" s="9" t="n"/>
      <c r="D76" s="9" t="n"/>
      <c r="E76" s="64" t="n"/>
      <c r="F76" s="64" t="n"/>
      <c r="G76" s="9" t="n"/>
      <c r="H76" s="64" t="n"/>
      <c r="I76" s="65" t="n"/>
    </row>
    <row r="77" ht="26.15" customHeight="1" s="151" thickBot="1">
      <c r="A77" s="123" t="inlineStr">
        <is>
          <t>Photos</t>
        </is>
      </c>
      <c r="B77" s="124" t="n"/>
      <c r="C77" s="124" t="n"/>
      <c r="D77" s="124" t="n"/>
      <c r="E77" s="124" t="n"/>
      <c r="F77" s="124" t="n"/>
      <c r="G77" s="124" t="n"/>
      <c r="H77" s="124" t="n"/>
      <c r="I77" s="125" t="n"/>
    </row>
    <row r="78" ht="23.15" customHeight="1" s="151">
      <c r="A78" s="66" t="n"/>
      <c r="B78" s="67" t="n"/>
      <c r="C78" s="67" t="n"/>
      <c r="D78" s="67" t="n"/>
      <c r="E78" s="67" t="n"/>
      <c r="F78" s="67" t="n"/>
      <c r="G78" s="67" t="n"/>
      <c r="H78" s="67" t="n"/>
      <c r="I78" s="68" t="n"/>
    </row>
    <row r="79" ht="23.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H100" s="70" t="n"/>
      <c r="I100" s="71" t="n"/>
    </row>
    <row r="101" ht="25" customFormat="1" customHeight="1" s="10">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thickBot="1">
      <c r="A116" s="72" t="n"/>
      <c r="B116" s="73" t="n"/>
      <c r="C116" s="73" t="n"/>
      <c r="D116" s="73" t="n"/>
      <c r="E116" s="73" t="n"/>
      <c r="F116" s="73" t="n"/>
      <c r="G116" s="73" t="n"/>
      <c r="H116" s="73" t="n"/>
      <c r="I116" s="74"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2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28"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thickBot="1">
      <c r="A141" s="69" t="n"/>
      <c r="B141" s="70" t="n"/>
      <c r="C141" s="70" t="n"/>
      <c r="D141" s="70" t="n"/>
      <c r="E141" s="70" t="n"/>
      <c r="F141" s="70" t="n"/>
      <c r="G141" s="70" t="n"/>
      <c r="H141" s="70" t="n"/>
      <c r="I141" s="71" t="n"/>
      <c r="J141" s="75"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c r="A146" s="69" t="n"/>
      <c r="B146" s="70" t="n"/>
      <c r="C146" s="70" t="n"/>
      <c r="D146" s="70" t="n"/>
      <c r="E146" s="70" t="n"/>
      <c r="F146" s="70" t="n"/>
      <c r="G146" s="70" t="n"/>
      <c r="H146" s="70" t="n"/>
      <c r="I146" s="71" t="n"/>
    </row>
    <row r="147" ht="15" customHeight="1" s="151">
      <c r="A147" s="69" t="n"/>
      <c r="B147" s="70" t="n"/>
      <c r="C147" s="70" t="n"/>
      <c r="D147" s="70" t="n"/>
      <c r="E147" s="70" t="n"/>
      <c r="F147" s="70" t="n"/>
      <c r="G147" s="70" t="n"/>
      <c r="H147" s="70" t="n"/>
      <c r="I147" s="71" t="n"/>
    </row>
    <row r="148" ht="16" customHeight="1" s="151">
      <c r="A148" s="69" t="n"/>
      <c r="B148" s="70" t="n"/>
      <c r="C148" s="70" t="n"/>
      <c r="D148" s="70" t="n"/>
      <c r="E148" s="70" t="n"/>
      <c r="F148" s="70" t="n"/>
      <c r="G148" s="70" t="n"/>
      <c r="H148" s="70" t="n"/>
      <c r="I148" s="71" t="n"/>
    </row>
    <row r="149" ht="30.75" customHeight="1" s="151">
      <c r="A149" s="143" t="n"/>
      <c r="E149" s="144" t="n"/>
      <c r="I149" s="113"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A183" s="7" t="n"/>
      <c r="I183" s="8" t="n"/>
    </row>
    <row r="184">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c r="A201" s="7" t="n"/>
      <c r="I201" s="8" t="n"/>
    </row>
    <row r="202">
      <c r="A202" s="7" t="n"/>
      <c r="I202" s="8" t="n"/>
    </row>
    <row r="203" ht="16" customHeight="1" s="151" thickBot="1">
      <c r="A203" s="4" t="n"/>
      <c r="B203" s="5" t="n"/>
      <c r="C203" s="5" t="n"/>
      <c r="D203" s="5" t="n"/>
      <c r="E203" s="5" t="n"/>
      <c r="F203" s="5" t="n"/>
      <c r="G203" s="5" t="n"/>
      <c r="H203" s="5" t="n"/>
      <c r="I203" s="6" t="n"/>
    </row>
    <row r="204">
      <c r="A204" s="7" t="n"/>
      <c r="I204" s="8" t="n"/>
    </row>
    <row r="205">
      <c r="A205" s="7" t="n"/>
      <c r="I205" s="8" t="n"/>
    </row>
    <row r="206">
      <c r="A206" s="7" t="n"/>
      <c r="I206" s="8" t="n"/>
    </row>
    <row r="207">
      <c r="A207" s="7" t="n"/>
      <c r="I207" s="8" t="n"/>
    </row>
    <row r="208">
      <c r="A208" s="7" t="n"/>
      <c r="I208" s="8" t="n"/>
    </row>
    <row r="209">
      <c r="A209" s="7" t="n"/>
      <c r="I209" s="8" t="n"/>
    </row>
    <row r="210" ht="16" customHeight="1" s="151" thickBot="1">
      <c r="A210" s="4" t="n"/>
      <c r="B210" s="5" t="n"/>
      <c r="C210" s="5" t="n"/>
      <c r="D210" s="5" t="n"/>
      <c r="E210" s="5" t="n"/>
      <c r="F210" s="5" t="n"/>
      <c r="G210" s="5" t="n"/>
      <c r="H210" s="5" t="n"/>
      <c r="I210" s="6" t="n"/>
    </row>
  </sheetData>
  <mergeCells count="40">
    <mergeCell ref="D49:I49"/>
    <mergeCell ref="C61:I61"/>
    <mergeCell ref="D13:F13"/>
    <mergeCell ref="B62:I62"/>
    <mergeCell ref="G13:I13"/>
    <mergeCell ref="A51:B51"/>
    <mergeCell ref="B8:D8"/>
    <mergeCell ref="B59:I59"/>
    <mergeCell ref="D48:I48"/>
    <mergeCell ref="C67:I67"/>
    <mergeCell ref="A12:I12"/>
    <mergeCell ref="B58:I58"/>
    <mergeCell ref="C66:I66"/>
    <mergeCell ref="A57:I57"/>
    <mergeCell ref="B48:C48"/>
    <mergeCell ref="A5:I5"/>
    <mergeCell ref="B9:D9"/>
    <mergeCell ref="B6:D6"/>
    <mergeCell ref="A72:I72"/>
    <mergeCell ref="A52:I52"/>
    <mergeCell ref="E149:I149"/>
    <mergeCell ref="D51:I51"/>
    <mergeCell ref="A68:I68"/>
    <mergeCell ref="A63:I63"/>
    <mergeCell ref="A13:C13"/>
    <mergeCell ref="A10:I10"/>
    <mergeCell ref="C64:I64"/>
    <mergeCell ref="A1:I4"/>
    <mergeCell ref="D50:I50"/>
    <mergeCell ref="A77:I77"/>
    <mergeCell ref="B7:D7"/>
    <mergeCell ref="C65:I65"/>
    <mergeCell ref="B49:C49"/>
    <mergeCell ref="A11:I11"/>
    <mergeCell ref="A149:D149"/>
    <mergeCell ref="A70:I70"/>
    <mergeCell ref="B50:C50"/>
    <mergeCell ref="C60:I60"/>
    <mergeCell ref="A69:I69"/>
    <mergeCell ref="A53:I5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6" min="0" max="8" man="1"/>
  </rowBreaks>
</worksheet>
</file>

<file path=xl/worksheets/sheet19.xml><?xml version="1.0" encoding="utf-8"?>
<worksheet xmlns="http://schemas.openxmlformats.org/spreadsheetml/2006/main">
  <sheetPr>
    <outlinePr summaryBelow="1" summaryRight="1"/>
    <pageSetUpPr fitToPage="1"/>
  </sheetPr>
  <dimension ref="A1:J209"/>
  <sheetViews>
    <sheetView view="pageBreakPreview" zoomScale="70" zoomScaleNormal="55" zoomScaleSheetLayoutView="70" workbookViewId="0">
      <selection activeCell="D23" sqref="D2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45922</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114</v>
      </c>
      <c r="C9" s="107" t="n"/>
      <c r="D9" s="107" t="n"/>
      <c r="E9" s="106" t="n"/>
      <c r="F9" s="20" t="n"/>
      <c r="G9" s="20" t="n"/>
      <c r="H9" s="16" t="inlineStr">
        <is>
          <t>Finish:</t>
        </is>
      </c>
      <c r="I9" s="18" t="n">
        <v>0.7708333333333334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58" t="inlineStr">
        <is>
          <t>Temperature: 30 degrees  Wind:  52km/h ENE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Daniel McAuffile</t>
        </is>
      </c>
      <c r="H15" s="26" t="inlineStr">
        <is>
          <t>Operator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O'Brian, Jamie</t>
        </is>
      </c>
      <c r="H16" s="26" t="inlineStr">
        <is>
          <t>Operator</t>
        </is>
      </c>
      <c r="I16" s="30" t="n">
        <v>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Mosley,Joshua</t>
        </is>
      </c>
      <c r="H17" s="26" t="inlineStr">
        <is>
          <t>Surveyor</t>
        </is>
      </c>
      <c r="I17" s="30" t="n">
        <v>4</v>
      </c>
    </row>
    <row r="18" ht="23.15" customHeight="1" s="151">
      <c r="A18" s="25" t="inlineStr">
        <is>
          <t>GRIFFITHS, Ashley</t>
        </is>
      </c>
      <c r="B18" s="26" t="inlineStr">
        <is>
          <t>Supervisor</t>
        </is>
      </c>
      <c r="C18" s="31" t="n"/>
      <c r="D18" s="28" t="n"/>
      <c r="E18" s="28" t="n"/>
      <c r="F18" s="26" t="n"/>
      <c r="G18" s="29" t="inlineStr">
        <is>
          <t>Mullin, Connell</t>
        </is>
      </c>
      <c r="H18" s="26" t="inlineStr">
        <is>
          <t>Operator</t>
        </is>
      </c>
      <c r="I18" s="30" t="n">
        <v>12</v>
      </c>
    </row>
    <row r="19" ht="23.15" customHeight="1" s="151">
      <c r="A19" s="25" t="inlineStr">
        <is>
          <t>THOMPSON,Cheryl</t>
        </is>
      </c>
      <c r="B19" s="26" t="inlineStr">
        <is>
          <t>HSET</t>
        </is>
      </c>
      <c r="C19" s="31" t="n">
        <v>12</v>
      </c>
      <c r="D19" s="28" t="n"/>
      <c r="E19" s="28" t="n"/>
      <c r="F19" s="26" t="n"/>
      <c r="G19" s="29" t="n"/>
      <c r="H19" s="26" t="n"/>
      <c r="I19" s="30" t="n"/>
    </row>
    <row r="20" ht="23.15" customHeight="1" s="151">
      <c r="A20" s="25" t="inlineStr">
        <is>
          <t>SKINNER,Jamie</t>
        </is>
      </c>
      <c r="B20" s="26" t="inlineStr">
        <is>
          <t>Supervisor</t>
        </is>
      </c>
      <c r="C20" s="31" t="n"/>
      <c r="D20" s="28" t="n"/>
      <c r="E20" s="28" t="n"/>
      <c r="F20" s="26" t="n"/>
      <c r="G20" s="29" t="n"/>
      <c r="H20" s="26" t="n"/>
      <c r="I20" s="30" t="n"/>
    </row>
    <row r="21" ht="23.15" customHeight="1" s="151">
      <c r="A21" s="99" t="inlineStr">
        <is>
          <t>TONER, Ultan</t>
        </is>
      </c>
      <c r="B21" s="26" t="inlineStr">
        <is>
          <t>Supervisor</t>
        </is>
      </c>
      <c r="C21" s="31" t="n">
        <v>12</v>
      </c>
      <c r="D21" s="28" t="n"/>
      <c r="E21" s="28" t="n"/>
      <c r="F21" s="26" t="n"/>
      <c r="G21" s="29" t="n"/>
      <c r="H21" s="26" t="n"/>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25" t="n"/>
      <c r="B24" s="26" t="n"/>
      <c r="C24" s="31" t="n"/>
      <c r="D24" s="28" t="n"/>
      <c r="E24" s="28" t="n"/>
      <c r="F24" s="26" t="n"/>
      <c r="G24" s="29" t="n"/>
      <c r="H24" s="26" t="n"/>
      <c r="I24" s="30" t="n"/>
    </row>
    <row r="25" ht="23.15" customHeight="1" s="151">
      <c r="A25" s="25" t="n"/>
      <c r="B25" s="26" t="n"/>
      <c r="C25" s="31" t="n"/>
      <c r="D25" s="28" t="n"/>
      <c r="E25" s="28" t="n"/>
      <c r="F25" s="26" t="n"/>
      <c r="G25" s="29" t="n"/>
      <c r="H25" s="26" t="n"/>
      <c r="I25" s="30" t="n"/>
    </row>
    <row r="26" ht="23.15" customHeight="1" s="151">
      <c r="A26" s="25" t="n"/>
      <c r="B26" s="26" t="n"/>
      <c r="C26" s="31" t="n"/>
      <c r="D26" s="28" t="n"/>
      <c r="E26" s="28" t="n"/>
      <c r="F26" s="26" t="n"/>
      <c r="G26" s="29" t="n"/>
      <c r="H26" s="26" t="n"/>
      <c r="I26" s="30" t="n"/>
    </row>
    <row r="27" ht="23.15" customHeight="1" s="151">
      <c r="A27" s="25" t="n"/>
      <c r="B27" s="26" t="n"/>
      <c r="C27" s="31" t="n"/>
      <c r="D27" s="28" t="n"/>
      <c r="E27" s="28" t="n"/>
      <c r="F27" s="26" t="n"/>
      <c r="G27" s="29" t="n"/>
      <c r="H27" s="26" t="n"/>
      <c r="I27" s="30" t="n"/>
    </row>
    <row r="28" ht="23.15" customHeight="1" s="151">
      <c r="A28" s="131" t="inlineStr">
        <is>
          <t xml:space="preserve">Total Indirect Personnel onsite: </t>
        </is>
      </c>
      <c r="B28" s="34">
        <f>COUNT(C15:C28)</f>
        <v/>
      </c>
      <c r="C28" s="28" t="n"/>
      <c r="D28" s="28" t="n"/>
      <c r="E28" s="28" t="n"/>
      <c r="F28" s="26" t="n"/>
      <c r="G28" s="78" t="n"/>
      <c r="H28" s="77" t="n"/>
      <c r="I28" s="30" t="n"/>
    </row>
    <row r="29" ht="23.15" customHeight="1" s="151">
      <c r="A29" s="131" t="inlineStr">
        <is>
          <t xml:space="preserve">Total Indirect Personnel hours: </t>
        </is>
      </c>
      <c r="B29" s="34">
        <f>SUM(C15:C27)</f>
        <v/>
      </c>
      <c r="C29" s="31" t="n"/>
      <c r="D29" s="28" t="n"/>
      <c r="E29" s="28" t="n"/>
      <c r="F29" s="26" t="n"/>
      <c r="G29" s="35" t="inlineStr">
        <is>
          <t>Total Subcontractor on-site:</t>
        </is>
      </c>
      <c r="H29" s="36" t="n">
        <v>13</v>
      </c>
      <c r="I29" s="30" t="n"/>
    </row>
    <row r="30" ht="23.15" customHeight="1" s="151">
      <c r="A30" s="131" t="inlineStr">
        <is>
          <t xml:space="preserve">Total Direct Personnel onsite:  </t>
        </is>
      </c>
      <c r="B30" s="34">
        <f>COUNTIF(F15:F31,"&gt;0")</f>
        <v/>
      </c>
      <c r="C30" s="34" t="n"/>
      <c r="D30" s="28" t="n"/>
      <c r="E30" s="28" t="n"/>
      <c r="F30" s="37" t="n"/>
      <c r="G30" s="35" t="inlineStr">
        <is>
          <t>Total Subcontractor hours:</t>
        </is>
      </c>
      <c r="H30" s="36">
        <f>SUM(I11:I27)</f>
        <v/>
      </c>
      <c r="I30" s="130" t="n"/>
    </row>
    <row r="31" ht="23.15" customHeight="1" s="151">
      <c r="A31" s="131" t="inlineStr">
        <is>
          <t xml:space="preserve">Total Direct Personnel hours: </t>
        </is>
      </c>
      <c r="B31" s="34">
        <f>SUM(F15:F31)</f>
        <v/>
      </c>
      <c r="C31" s="34" t="n"/>
      <c r="D31" s="34" t="n"/>
      <c r="E31" s="34" t="n"/>
      <c r="F31" s="34" t="n"/>
      <c r="G31" s="34" t="n"/>
      <c r="H31" s="34" t="n"/>
      <c r="I31" s="130" t="n"/>
    </row>
    <row r="32" ht="25" customHeight="1" s="151">
      <c r="A32" s="39" t="inlineStr">
        <is>
          <t>PLANT &amp; EQUIPMENT</t>
        </is>
      </c>
      <c r="B32" s="40" t="n"/>
      <c r="C32" s="40" t="n"/>
      <c r="D32" s="40" t="n"/>
      <c r="E32" s="40" t="n"/>
      <c r="F32" s="40" t="n"/>
      <c r="G32" s="40" t="n"/>
      <c r="H32" s="40" t="n"/>
      <c r="I32" s="41" t="n"/>
    </row>
    <row r="33" ht="24" customHeight="1" s="151">
      <c r="A33" s="126" t="inlineStr">
        <is>
          <t>Plant</t>
        </is>
      </c>
      <c r="B33" s="127" t="inlineStr">
        <is>
          <t>ID</t>
        </is>
      </c>
      <c r="C33" s="127" t="inlineStr">
        <is>
          <t>Hours</t>
        </is>
      </c>
      <c r="D33" s="127" t="inlineStr">
        <is>
          <t xml:space="preserve"> Vehicles</t>
        </is>
      </c>
      <c r="E33" s="127" t="inlineStr">
        <is>
          <t>ID</t>
        </is>
      </c>
      <c r="F33" s="127" t="inlineStr">
        <is>
          <t>QTY</t>
        </is>
      </c>
      <c r="G33" s="42" t="inlineStr">
        <is>
          <t>Site Facilities</t>
        </is>
      </c>
      <c r="H33" s="42" t="inlineStr">
        <is>
          <t>ID</t>
        </is>
      </c>
      <c r="I33" s="43" t="inlineStr">
        <is>
          <t>Qty</t>
        </is>
      </c>
    </row>
    <row r="34" ht="23.15" customHeight="1" s="151">
      <c r="A34" s="25" t="inlineStr">
        <is>
          <t>Komatsu WA320</t>
        </is>
      </c>
      <c r="B34" s="26" t="inlineStr">
        <is>
          <t>FWL18</t>
        </is>
      </c>
      <c r="C34" s="26" t="n">
        <v>4</v>
      </c>
      <c r="D34" s="31" t="inlineStr">
        <is>
          <t>Hilux</t>
        </is>
      </c>
      <c r="E34" s="31" t="inlineStr">
        <is>
          <t>DLV90</t>
        </is>
      </c>
      <c r="F34" s="31" t="n">
        <v>1</v>
      </c>
      <c r="G34" s="31" t="inlineStr">
        <is>
          <t>Office 40ft</t>
        </is>
      </c>
      <c r="H34" s="31" t="n">
        <v>9255540</v>
      </c>
      <c r="I34" s="30" t="n">
        <v>1</v>
      </c>
    </row>
    <row r="35" ht="23.15" customHeight="1" s="151">
      <c r="A35" s="25" t="inlineStr">
        <is>
          <t>Wacker Neuson DPU</t>
        </is>
      </c>
      <c r="B35" s="26" t="inlineStr">
        <is>
          <t>DPC15</t>
        </is>
      </c>
      <c r="C35" s="26" t="n"/>
      <c r="D35" s="31" t="inlineStr">
        <is>
          <t>Hilux</t>
        </is>
      </c>
      <c r="E35" s="31" t="inlineStr">
        <is>
          <t>1DLV04</t>
        </is>
      </c>
      <c r="F35" s="31" t="n">
        <v>1</v>
      </c>
      <c r="G35" s="31" t="inlineStr">
        <is>
          <t>Sea Container 20ft</t>
        </is>
      </c>
      <c r="H35" s="26" t="n">
        <v>951200</v>
      </c>
      <c r="I35" s="30" t="n">
        <v>1</v>
      </c>
    </row>
    <row r="36" ht="23.15" customHeight="1" s="151">
      <c r="A36" s="44" t="inlineStr">
        <is>
          <t>Watercart</t>
        </is>
      </c>
      <c r="B36" s="31" t="inlineStr">
        <is>
          <t>WC04</t>
        </is>
      </c>
      <c r="C36" s="26" t="n">
        <v>5</v>
      </c>
      <c r="D36" s="31" t="n"/>
      <c r="E36" s="26" t="n"/>
      <c r="F36" s="31" t="n"/>
      <c r="G36" s="31" t="inlineStr">
        <is>
          <t>Site Sentry Tower</t>
        </is>
      </c>
      <c r="H36" s="31" t="n"/>
      <c r="I36" s="30" t="n">
        <v>2</v>
      </c>
    </row>
    <row r="37" ht="23.15" customHeight="1" s="151">
      <c r="A37" s="44" t="inlineStr">
        <is>
          <t>8T Excavator</t>
        </is>
      </c>
      <c r="B37" s="45" t="inlineStr">
        <is>
          <t>AMG 014</t>
        </is>
      </c>
      <c r="C37" s="26" t="n"/>
      <c r="D37" s="31" t="n"/>
      <c r="E37" s="31" t="n"/>
      <c r="F37" s="31" t="n"/>
      <c r="G37" s="31" t="inlineStr">
        <is>
          <t>Skip Bin</t>
        </is>
      </c>
      <c r="H37" s="31" t="n"/>
      <c r="I37" s="30" t="n">
        <v>1</v>
      </c>
    </row>
    <row r="38" ht="23.15" customHeight="1" s="151">
      <c r="A38" s="31" t="inlineStr">
        <is>
          <t>Mini Tipper</t>
        </is>
      </c>
      <c r="B38" s="31" t="inlineStr">
        <is>
          <t>SLS05</t>
        </is>
      </c>
      <c r="C38" s="31" t="n"/>
      <c r="D38" s="31" t="n"/>
      <c r="E38" s="31" t="n"/>
      <c r="F38" s="31" t="n"/>
      <c r="G38" s="31" t="inlineStr">
        <is>
          <t>Hydrocarbon Bund</t>
        </is>
      </c>
      <c r="H38" s="31" t="n"/>
      <c r="I38" s="30" t="n">
        <v>1</v>
      </c>
    </row>
    <row r="39" ht="23.15" customHeight="1" s="151">
      <c r="A39" s="76" t="inlineStr">
        <is>
          <t>1 t Excavator</t>
        </is>
      </c>
      <c r="B39" s="31" t="inlineStr">
        <is>
          <t>SLS03</t>
        </is>
      </c>
      <c r="C39" s="31" t="n">
        <v>2</v>
      </c>
      <c r="D39" s="31" t="n"/>
      <c r="E39" s="31" t="n"/>
      <c r="F39" s="31" t="n"/>
      <c r="G39" s="31" t="inlineStr">
        <is>
          <t>Temp Fence</t>
        </is>
      </c>
      <c r="H39" s="26" t="n"/>
      <c r="I39" s="30" t="n">
        <v>1</v>
      </c>
    </row>
    <row r="40" ht="24" customHeight="1" s="151">
      <c r="A40" s="76" t="inlineStr">
        <is>
          <t>14t Excavator with GPS</t>
        </is>
      </c>
      <c r="B40" s="31" t="inlineStr">
        <is>
          <t>EX153</t>
        </is>
      </c>
      <c r="C40" s="31" t="n">
        <v>8</v>
      </c>
      <c r="D40" s="31" t="n"/>
      <c r="E40" s="31" t="n"/>
      <c r="F40" s="31" t="n"/>
      <c r="G40" s="2" t="n"/>
      <c r="H40" s="2" t="n"/>
      <c r="I40" s="3" t="n"/>
    </row>
    <row r="41" ht="24" customHeight="1" s="151">
      <c r="A41" s="76" t="inlineStr">
        <is>
          <t>5t Excavator</t>
        </is>
      </c>
      <c r="B41" s="31" t="inlineStr">
        <is>
          <t>A118</t>
        </is>
      </c>
      <c r="C41" s="31" t="n">
        <v>2</v>
      </c>
      <c r="D41" s="31" t="n"/>
      <c r="E41" s="31" t="n"/>
      <c r="F41" s="31" t="n"/>
      <c r="G41" s="2" t="n"/>
      <c r="H41" s="2" t="n"/>
      <c r="I41" s="3" t="n"/>
    </row>
    <row r="42" ht="24" customHeight="1" s="151">
      <c r="A42" s="44" t="inlineStr">
        <is>
          <t>Padfoot/ Smooth Drum Roller</t>
        </is>
      </c>
      <c r="B42" s="31" t="inlineStr">
        <is>
          <t>RR 03</t>
        </is>
      </c>
      <c r="C42" s="26" t="n"/>
      <c r="D42" s="31" t="n"/>
      <c r="E42" s="31" t="n"/>
      <c r="F42" s="31" t="n"/>
      <c r="G42" s="2" t="n"/>
      <c r="H42" s="2" t="n"/>
      <c r="I42" s="3" t="n"/>
    </row>
    <row r="43" ht="24" customHeight="1" s="151">
      <c r="A43" s="44" t="inlineStr">
        <is>
          <t>Multi Roller</t>
        </is>
      </c>
      <c r="B43" s="31" t="n">
        <v>256</v>
      </c>
      <c r="C43" s="26" t="n"/>
      <c r="D43" s="31" t="n"/>
      <c r="E43" s="31" t="n"/>
      <c r="F43" s="31" t="n"/>
      <c r="G43" s="2" t="n"/>
      <c r="H43" s="2" t="n"/>
      <c r="I43" s="3" t="n"/>
    </row>
    <row r="44" ht="24" customHeight="1" s="151">
      <c r="A44" s="44" t="inlineStr">
        <is>
          <t>Positrak SSL</t>
        </is>
      </c>
      <c r="B44" s="31" t="inlineStr">
        <is>
          <t>SSL08</t>
        </is>
      </c>
      <c r="C44" s="26" t="n">
        <v>5</v>
      </c>
      <c r="D44" s="31" t="n"/>
      <c r="E44" s="31" t="n"/>
      <c r="F44" s="31" t="n"/>
      <c r="G44" s="2" t="n"/>
      <c r="H44" s="2" t="n"/>
      <c r="I44" s="3" t="n"/>
    </row>
    <row r="45" ht="24" customHeight="1" s="151">
      <c r="A45" s="44" t="inlineStr">
        <is>
          <t>6 Wheel Tipper</t>
        </is>
      </c>
      <c r="B45" s="31" t="inlineStr">
        <is>
          <t>T091</t>
        </is>
      </c>
      <c r="C45" s="26" t="n">
        <v>5</v>
      </c>
      <c r="D45" s="31" t="n"/>
      <c r="E45" s="31" t="n"/>
      <c r="F45" s="31" t="n"/>
      <c r="G45" s="2" t="n"/>
      <c r="H45" s="2" t="n"/>
      <c r="I45" s="3" t="n"/>
    </row>
    <row r="46" ht="24" customHeight="1" s="151">
      <c r="A46" s="44" t="inlineStr">
        <is>
          <t>Grader</t>
        </is>
      </c>
      <c r="B46" s="31" t="inlineStr">
        <is>
          <t>SLS01</t>
        </is>
      </c>
      <c r="C46" s="26" t="n">
        <v>8</v>
      </c>
      <c r="D46" s="31" t="n"/>
      <c r="E46" s="31" t="n"/>
      <c r="F46" s="31" t="n"/>
      <c r="G46" s="2" t="n"/>
      <c r="H46" s="2" t="n"/>
      <c r="I46" s="3" t="n"/>
    </row>
    <row r="47" ht="24" customHeight="1" s="151">
      <c r="A47" s="44" t="n"/>
      <c r="B47" s="31" t="n"/>
      <c r="C47" s="26" t="n"/>
      <c r="D47" s="2" t="n"/>
      <c r="E47" s="2" t="n"/>
      <c r="F47" s="2" t="n"/>
      <c r="G47" s="2" t="n"/>
      <c r="H47" s="2" t="n"/>
      <c r="I47" s="3" t="n"/>
    </row>
    <row r="48" ht="18" customHeight="1" s="151">
      <c r="A48" s="46" t="n">
        <v>0</v>
      </c>
      <c r="B48" s="128" t="inlineStr">
        <is>
          <t xml:space="preserve">Repairs Required </t>
        </is>
      </c>
      <c r="C48" s="118" t="n"/>
      <c r="D48" s="129" t="inlineStr">
        <is>
          <t>N/A</t>
        </is>
      </c>
      <c r="E48" s="159" t="n"/>
      <c r="F48" s="159" t="n"/>
      <c r="G48" s="159" t="n"/>
      <c r="H48" s="159" t="n"/>
      <c r="I48" s="160" t="n"/>
    </row>
    <row r="49" ht="18" customHeight="1" s="151">
      <c r="A49" s="47" t="n">
        <v>1</v>
      </c>
      <c r="B49" s="128" t="inlineStr">
        <is>
          <t>Scheduled Service</t>
        </is>
      </c>
      <c r="C49" s="118" t="n"/>
      <c r="D49" s="129" t="inlineStr">
        <is>
          <t>Smooth Drum Roller</t>
        </is>
      </c>
      <c r="E49" s="159" t="n"/>
      <c r="F49" s="159" t="n"/>
      <c r="G49" s="159" t="n"/>
      <c r="H49" s="159" t="n"/>
      <c r="I49" s="160" t="n"/>
    </row>
    <row r="50" ht="18" customHeight="1" s="151">
      <c r="A50" s="48" t="n">
        <v>0</v>
      </c>
      <c r="B50" s="128" t="n"/>
      <c r="C50" s="118" t="n"/>
      <c r="D50" s="129" t="inlineStr">
        <is>
          <t>N/A</t>
        </is>
      </c>
      <c r="E50" s="159" t="n"/>
      <c r="F50" s="159" t="n"/>
      <c r="G50" s="159" t="n"/>
      <c r="H50" s="159" t="n"/>
      <c r="I50" s="160" t="n"/>
    </row>
    <row r="51" ht="23.15" customHeight="1" s="151">
      <c r="A51" s="131" t="inlineStr">
        <is>
          <t xml:space="preserve">Total Plant and Equipment Hours: </t>
        </is>
      </c>
      <c r="B51" s="118" t="n"/>
      <c r="C51" s="49">
        <f>SUM(C34:C47)</f>
        <v/>
      </c>
      <c r="D51" s="132" t="n"/>
      <c r="E51" s="159" t="n"/>
      <c r="F51" s="159" t="n"/>
      <c r="G51" s="159" t="n"/>
      <c r="H51" s="159" t="n"/>
      <c r="I51" s="160" t="n"/>
    </row>
    <row r="52" ht="25" customHeight="1" s="151">
      <c r="A52" s="120" t="inlineStr">
        <is>
          <t>DELAYS-OPPORTUNITY</t>
        </is>
      </c>
      <c r="B52" s="159" t="n"/>
      <c r="C52" s="159" t="n"/>
      <c r="D52" s="159" t="n"/>
      <c r="E52" s="159" t="n"/>
      <c r="F52" s="159" t="n"/>
      <c r="G52" s="159" t="n"/>
      <c r="H52" s="159" t="n"/>
      <c r="I52" s="160" t="n"/>
    </row>
    <row r="53" ht="15" customHeight="1" s="151" thickBot="1">
      <c r="A53" s="155" t="inlineStr">
        <is>
          <t>New Detail Provided on Centrelink Carpark                                                               
Awaiting Direction on Service Clash Forrest Street
Awaiting Confirmation on Batters Treatment 
Awaiting finalised fencing details
Awaiting COGG confirmation on "Ballast Pile"
Instructions Provided for Laneway Sewer, Drainage</t>
        </is>
      </c>
      <c r="B53" s="124" t="n"/>
      <c r="C53" s="124" t="n"/>
      <c r="D53" s="124" t="n"/>
      <c r="E53" s="124" t="n"/>
      <c r="F53" s="124" t="n"/>
      <c r="G53" s="124" t="n"/>
      <c r="H53" s="124" t="n"/>
      <c r="I53" s="125" t="n"/>
    </row>
    <row r="54">
      <c r="A54" s="111" t="n"/>
      <c r="I54" s="113" t="n"/>
    </row>
    <row r="55" ht="49.5" customHeight="1" s="151">
      <c r="A55" s="111" t="n"/>
      <c r="I55" s="113" t="n"/>
    </row>
    <row r="56" ht="62.5" customHeight="1" s="151" thickBot="1">
      <c r="A56" s="134" t="n"/>
      <c r="B56" s="135" t="n"/>
      <c r="C56" s="135" t="n"/>
      <c r="D56" s="135" t="n"/>
      <c r="E56" s="135" t="n"/>
      <c r="F56" s="135" t="n"/>
      <c r="G56" s="135" t="n"/>
      <c r="H56" s="135" t="n"/>
      <c r="I56" s="136" t="n"/>
    </row>
    <row r="57" ht="25" customHeight="1" s="151">
      <c r="A57" s="137" t="inlineStr">
        <is>
          <t>HSEQ MESSAGES</t>
        </is>
      </c>
      <c r="B57" s="138" t="n"/>
      <c r="C57" s="138" t="n"/>
      <c r="D57" s="138" t="n"/>
      <c r="E57" s="138" t="n"/>
      <c r="F57" s="138" t="n"/>
      <c r="G57" s="138" t="n"/>
      <c r="H57" s="138" t="n"/>
      <c r="I57" s="139" t="n"/>
    </row>
    <row r="58" ht="18" customHeight="1" s="151">
      <c r="A58" s="53" t="inlineStr">
        <is>
          <t>TCD - Monthly Safety Focus:</t>
        </is>
      </c>
      <c r="B58" s="140" t="inlineStr">
        <is>
          <t>Underground Services</t>
        </is>
      </c>
      <c r="C58" s="159" t="n"/>
      <c r="D58" s="159" t="n"/>
      <c r="E58" s="159" t="n"/>
      <c r="F58" s="159" t="n"/>
      <c r="G58" s="159" t="n"/>
      <c r="H58" s="159" t="n"/>
      <c r="I58" s="118" t="n"/>
    </row>
    <row r="59" ht="24" customHeight="1" s="151">
      <c r="A59" s="53" t="inlineStr">
        <is>
          <t>TCD - Daily Safety Focus:</t>
        </is>
      </c>
      <c r="B59" s="141" t="inlineStr">
        <is>
          <t>Good Effort on Shutdown</t>
        </is>
      </c>
      <c r="C59" s="159" t="n"/>
      <c r="D59" s="159" t="n"/>
      <c r="E59" s="159" t="n"/>
      <c r="F59" s="159" t="n"/>
      <c r="G59" s="159" t="n"/>
      <c r="H59" s="159" t="n"/>
      <c r="I59" s="160" t="n"/>
    </row>
    <row r="60" ht="18" customHeight="1" s="151">
      <c r="A60" s="54" t="inlineStr">
        <is>
          <t xml:space="preserve">Hazards Reported: </t>
        </is>
      </c>
      <c r="B60" s="55" t="inlineStr">
        <is>
          <t>Nil</t>
        </is>
      </c>
      <c r="C60" s="141" t="n"/>
      <c r="D60" s="159" t="n"/>
      <c r="E60" s="159" t="n"/>
      <c r="F60" s="159" t="n"/>
      <c r="G60" s="159" t="n"/>
      <c r="H60" s="159" t="n"/>
      <c r="I60" s="160" t="n"/>
    </row>
    <row r="61" ht="18" customHeight="1" s="151">
      <c r="A61" s="54" t="inlineStr">
        <is>
          <t>Incident Free Days</t>
        </is>
      </c>
      <c r="B61" s="55" t="n">
        <v>1</v>
      </c>
      <c r="C61" s="140" t="n"/>
      <c r="D61" s="159" t="n"/>
      <c r="E61" s="159" t="n"/>
      <c r="F61" s="159" t="n"/>
      <c r="G61" s="159" t="n"/>
      <c r="H61" s="159" t="n"/>
      <c r="I61" s="118" t="n"/>
    </row>
    <row r="62" ht="18" customHeight="1" s="151">
      <c r="A62" s="56" t="inlineStr">
        <is>
          <t>Other Notes</t>
        </is>
      </c>
      <c r="B62" s="142" t="n"/>
      <c r="C62" s="124" t="n"/>
      <c r="D62" s="124" t="n"/>
      <c r="E62" s="124" t="n"/>
      <c r="F62" s="124" t="n"/>
      <c r="G62" s="124" t="n"/>
      <c r="H62" s="124" t="n"/>
      <c r="I62" s="125" t="n"/>
    </row>
    <row r="63" ht="20.25" customHeight="1" s="151">
      <c r="A63" s="120" t="inlineStr">
        <is>
          <t xml:space="preserve">INCIDENTS &amp; REPORTS </t>
        </is>
      </c>
      <c r="B63" s="159" t="n"/>
      <c r="C63" s="159" t="n"/>
      <c r="D63" s="159" t="n"/>
      <c r="E63" s="159" t="n"/>
      <c r="F63" s="159" t="n"/>
      <c r="G63" s="159" t="n"/>
      <c r="H63" s="159" t="n"/>
      <c r="I63" s="160" t="n"/>
    </row>
    <row r="64" ht="25" customHeight="1" s="151">
      <c r="A64" s="57" t="n"/>
      <c r="B64" s="127" t="inlineStr">
        <is>
          <t>QTY</t>
        </is>
      </c>
      <c r="C64" s="130" t="inlineStr">
        <is>
          <t>Comments</t>
        </is>
      </c>
      <c r="D64" s="159" t="n"/>
      <c r="E64" s="159" t="n"/>
      <c r="F64" s="159" t="n"/>
      <c r="G64" s="159" t="n"/>
      <c r="H64" s="159" t="n"/>
      <c r="I64" s="160" t="n"/>
    </row>
    <row r="65" ht="25" customHeight="1" s="151">
      <c r="A65" s="58" t="inlineStr">
        <is>
          <t>INCIDENT</t>
        </is>
      </c>
      <c r="B65" s="127" t="n">
        <v>0</v>
      </c>
      <c r="C65" s="145" t="inlineStr">
        <is>
          <t>NA</t>
        </is>
      </c>
      <c r="D65" s="124" t="n"/>
      <c r="E65" s="124" t="n"/>
      <c r="F65" s="124" t="n"/>
      <c r="G65" s="124" t="n"/>
      <c r="H65" s="124" t="n"/>
      <c r="I65" s="125" t="n"/>
    </row>
    <row r="66" ht="25" customHeight="1" s="151">
      <c r="A66" s="59" t="inlineStr">
        <is>
          <t>IR</t>
        </is>
      </c>
      <c r="B66" s="60" t="n">
        <v>0</v>
      </c>
      <c r="C66" s="145" t="inlineStr">
        <is>
          <t>NA</t>
        </is>
      </c>
      <c r="D66" s="124" t="n"/>
      <c r="E66" s="124" t="n"/>
      <c r="F66" s="124" t="n"/>
      <c r="G66" s="124" t="n"/>
      <c r="H66" s="124" t="n"/>
      <c r="I66" s="125" t="n"/>
    </row>
    <row r="67" ht="25" customHeight="1" s="151" thickBot="1">
      <c r="A67" s="61" t="inlineStr">
        <is>
          <t>NCR</t>
        </is>
      </c>
      <c r="B67" s="62" t="n">
        <v>0</v>
      </c>
      <c r="C67" s="146" t="inlineStr">
        <is>
          <t>NA</t>
        </is>
      </c>
      <c r="D67" s="147" t="n"/>
      <c r="E67" s="147" t="n"/>
      <c r="F67" s="147" t="n"/>
      <c r="G67" s="147" t="n"/>
      <c r="H67" s="147" t="n"/>
      <c r="I67" s="148" t="n"/>
    </row>
    <row r="68" ht="20.25" customHeight="1" s="151">
      <c r="A68" s="137" t="inlineStr">
        <is>
          <t>COMMUNICATIONS</t>
        </is>
      </c>
      <c r="B68" s="138" t="n"/>
      <c r="C68" s="138" t="n"/>
      <c r="D68" s="138" t="n"/>
      <c r="E68" s="138" t="n"/>
      <c r="F68" s="138" t="n"/>
      <c r="G68" s="138" t="n"/>
      <c r="H68" s="138" t="n"/>
      <c r="I68" s="139" t="n"/>
    </row>
    <row r="69" ht="25" customHeight="1" s="151">
      <c r="A69" s="149" t="inlineStr">
        <is>
          <t>TGS MB1119-05 Scheme D implemented</t>
        </is>
      </c>
      <c r="B69" s="159" t="n"/>
      <c r="C69" s="159" t="n"/>
      <c r="D69" s="159" t="n"/>
      <c r="E69" s="159" t="n"/>
      <c r="F69" s="159" t="n"/>
      <c r="G69" s="159" t="n"/>
      <c r="H69" s="159" t="n"/>
      <c r="I69" s="160" t="n"/>
    </row>
    <row r="70" ht="25" customHeight="1" s="151">
      <c r="A70" s="120" t="inlineStr">
        <is>
          <t>PRODUCTION (CONSTRUCTION STATUS &amp; PROGRESS)</t>
        </is>
      </c>
      <c r="B70" s="159" t="n"/>
      <c r="C70" s="159" t="n"/>
      <c r="D70" s="159" t="n"/>
      <c r="E70" s="159" t="n"/>
      <c r="F70" s="159" t="n"/>
      <c r="G70" s="159" t="n"/>
      <c r="H70" s="159" t="n"/>
      <c r="I70" s="160" t="n"/>
    </row>
    <row r="71" ht="25" customHeight="1" s="151">
      <c r="A71" s="98" t="inlineStr">
        <is>
          <t>Cement Stabilisation of Electrical Cable</t>
        </is>
      </c>
      <c r="B71" s="64" t="n"/>
      <c r="C71" s="9" t="n"/>
      <c r="D71" s="9" t="n"/>
      <c r="E71" s="64" t="n"/>
      <c r="F71" s="64" t="n"/>
      <c r="G71" s="9" t="n"/>
      <c r="H71" s="64" t="n"/>
      <c r="I71" s="65" t="n"/>
    </row>
    <row r="72" ht="25" customHeight="1" s="151">
      <c r="A72" s="98" t="inlineStr">
        <is>
          <t>Subgrade Prep Monument Parade to Bayley</t>
        </is>
      </c>
      <c r="B72" s="64" t="n"/>
      <c r="C72" s="9" t="n"/>
      <c r="D72" s="9" t="n"/>
      <c r="E72" s="64" t="n"/>
      <c r="F72" s="64" t="n"/>
      <c r="G72" s="9" t="n"/>
      <c r="H72" s="64" t="n"/>
      <c r="I72" s="65" t="n"/>
    </row>
    <row r="73" ht="25" customHeight="1" s="151">
      <c r="A73" s="98" t="inlineStr">
        <is>
          <t>Import Landscaping Soil</t>
        </is>
      </c>
      <c r="B73" s="64" t="n"/>
      <c r="C73" s="9" t="n"/>
      <c r="D73" s="9" t="n"/>
      <c r="E73" s="64" t="n"/>
      <c r="F73" s="64" t="n"/>
      <c r="G73" s="9" t="n"/>
      <c r="H73" s="64" t="n"/>
      <c r="I73" s="65" t="n"/>
    </row>
    <row r="74" ht="25" customHeight="1" s="151">
      <c r="A74" s="98" t="inlineStr">
        <is>
          <t>Trimming of batters</t>
        </is>
      </c>
      <c r="B74" s="64" t="n"/>
      <c r="C74" s="9" t="n"/>
      <c r="D74" s="9" t="n"/>
      <c r="E74" s="64" t="n"/>
      <c r="F74" s="64" t="n"/>
      <c r="G74" s="9" t="n"/>
      <c r="H74" s="64" t="n"/>
      <c r="I74" s="65" t="n"/>
    </row>
    <row r="75" ht="25" customHeight="1" s="151">
      <c r="A75" s="98" t="inlineStr">
        <is>
          <t>Boxout of Limestone Blocks</t>
        </is>
      </c>
      <c r="B75" s="64" t="n"/>
      <c r="C75" s="9" t="n"/>
      <c r="D75" s="9" t="n"/>
      <c r="E75" s="64" t="n"/>
      <c r="F75" s="64" t="n"/>
      <c r="G75" s="9" t="n"/>
      <c r="H75" s="64" t="n"/>
      <c r="I75" s="65" t="n"/>
    </row>
    <row r="76" ht="26.15" customHeight="1" s="151" thickBot="1">
      <c r="A76" s="123" t="inlineStr">
        <is>
          <t>Photos</t>
        </is>
      </c>
      <c r="B76" s="124" t="n"/>
      <c r="C76" s="124" t="n"/>
      <c r="D76" s="124" t="n"/>
      <c r="E76" s="124" t="n"/>
      <c r="F76" s="124" t="n"/>
      <c r="G76" s="124" t="n"/>
      <c r="H76" s="124" t="n"/>
      <c r="I76" s="125" t="n"/>
    </row>
    <row r="77" ht="23.15" customHeight="1" s="151">
      <c r="A77" s="66" t="n"/>
      <c r="B77" s="67" t="n"/>
      <c r="C77" s="67" t="n"/>
      <c r="D77" s="67" t="n"/>
      <c r="E77" s="67" t="n"/>
      <c r="F77" s="67" t="n"/>
      <c r="G77" s="67" t="n"/>
      <c r="H77" s="67" t="n"/>
      <c r="I77" s="68" t="n"/>
    </row>
    <row r="78" ht="23.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H99" s="70" t="n"/>
      <c r="I99" s="71" t="n"/>
    </row>
    <row r="100" ht="25" customFormat="1" customHeight="1" s="10">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thickBot="1">
      <c r="A115" s="72" t="n"/>
      <c r="B115" s="73" t="n"/>
      <c r="C115" s="73" t="n"/>
      <c r="D115" s="73" t="n"/>
      <c r="E115" s="73" t="n"/>
      <c r="F115" s="73" t="n"/>
      <c r="G115" s="73" t="n"/>
      <c r="H115" s="73" t="n"/>
      <c r="I115" s="74"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2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28"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thickBot="1">
      <c r="A140" s="69" t="n"/>
      <c r="B140" s="70" t="n"/>
      <c r="C140" s="70" t="n"/>
      <c r="D140" s="70" t="n"/>
      <c r="E140" s="70" t="n"/>
      <c r="F140" s="70" t="n"/>
      <c r="G140" s="70" t="n"/>
      <c r="H140" s="70" t="n"/>
      <c r="I140" s="71" t="n"/>
      <c r="J140" s="75"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5" customHeight="1" s="151">
      <c r="A143" s="69" t="n"/>
      <c r="B143" s="70" t="n"/>
      <c r="C143" s="70" t="n"/>
      <c r="D143" s="70" t="n"/>
      <c r="E143" s="70" t="n"/>
      <c r="F143" s="70" t="n"/>
      <c r="G143" s="70" t="n"/>
      <c r="H143" s="70" t="n"/>
      <c r="I143" s="71" t="n"/>
    </row>
    <row r="144" ht="15" customHeight="1" s="151">
      <c r="A144" s="69" t="n"/>
      <c r="B144" s="70" t="n"/>
      <c r="C144" s="70" t="n"/>
      <c r="D144" s="70" t="n"/>
      <c r="E144" s="70" t="n"/>
      <c r="F144" s="70" t="n"/>
      <c r="G144" s="70" t="n"/>
      <c r="H144" s="70" t="n"/>
      <c r="I144" s="71" t="n"/>
    </row>
    <row r="145" ht="15" customHeight="1" s="151">
      <c r="A145" s="69" t="n"/>
      <c r="B145" s="70" t="n"/>
      <c r="C145" s="70" t="n"/>
      <c r="D145" s="70" t="n"/>
      <c r="E145" s="70" t="n"/>
      <c r="F145" s="70" t="n"/>
      <c r="G145" s="70" t="n"/>
      <c r="H145" s="70" t="n"/>
      <c r="I145" s="71" t="n"/>
    </row>
    <row r="146" ht="15" customHeight="1" s="151">
      <c r="A146" s="69" t="n"/>
      <c r="B146" s="70" t="n"/>
      <c r="C146" s="70" t="n"/>
      <c r="D146" s="70" t="n"/>
      <c r="E146" s="70" t="n"/>
      <c r="F146" s="70" t="n"/>
      <c r="G146" s="70" t="n"/>
      <c r="H146" s="70" t="n"/>
      <c r="I146" s="71" t="n"/>
    </row>
    <row r="147" ht="16" customHeight="1" s="151">
      <c r="A147" s="69" t="n"/>
      <c r="B147" s="70" t="n"/>
      <c r="C147" s="70" t="n"/>
      <c r="D147" s="70" t="n"/>
      <c r="E147" s="70" t="n"/>
      <c r="F147" s="70" t="n"/>
      <c r="G147" s="70" t="n"/>
      <c r="H147" s="70" t="n"/>
      <c r="I147" s="71" t="n"/>
    </row>
    <row r="148" ht="30.75" customHeight="1" s="151">
      <c r="A148" s="143" t="n"/>
      <c r="E148" s="144" t="n"/>
      <c r="I148" s="113"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A179" s="7" t="n"/>
      <c r="I179" s="8" t="n"/>
    </row>
    <row r="180">
      <c r="A180" s="7" t="n"/>
      <c r="I180" s="8" t="n"/>
    </row>
    <row r="181">
      <c r="A181" s="7" t="n"/>
      <c r="I181" s="8" t="n"/>
    </row>
    <row r="182">
      <c r="A182" s="7" t="n"/>
      <c r="I182" s="8" t="n"/>
    </row>
    <row r="183">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c r="A198" s="7" t="n"/>
      <c r="I198" s="8" t="n"/>
    </row>
    <row r="199">
      <c r="A199" s="7" t="n"/>
      <c r="I199" s="8" t="n"/>
    </row>
    <row r="200">
      <c r="A200" s="7" t="n"/>
      <c r="I200" s="8" t="n"/>
    </row>
    <row r="201">
      <c r="A201" s="7" t="n"/>
      <c r="I201" s="8" t="n"/>
    </row>
    <row r="202" ht="16" customHeight="1" s="151" thickBot="1">
      <c r="A202" s="4" t="n"/>
      <c r="B202" s="5" t="n"/>
      <c r="C202" s="5" t="n"/>
      <c r="D202" s="5" t="n"/>
      <c r="E202" s="5" t="n"/>
      <c r="F202" s="5" t="n"/>
      <c r="G202" s="5" t="n"/>
      <c r="H202" s="5" t="n"/>
      <c r="I202" s="6" t="n"/>
    </row>
    <row r="203">
      <c r="A203" s="7" t="n"/>
      <c r="I203" s="8" t="n"/>
    </row>
    <row r="204">
      <c r="A204" s="7" t="n"/>
      <c r="I204" s="8" t="n"/>
    </row>
    <row r="205">
      <c r="A205" s="7" t="n"/>
      <c r="I205" s="8" t="n"/>
    </row>
    <row r="206">
      <c r="A206" s="7" t="n"/>
      <c r="I206" s="8" t="n"/>
    </row>
    <row r="207">
      <c r="A207" s="7" t="n"/>
      <c r="I207" s="8" t="n"/>
    </row>
    <row r="208">
      <c r="A208" s="7" t="n"/>
      <c r="I208" s="8" t="n"/>
    </row>
    <row r="209" ht="16" customHeight="1" s="151" thickBot="1">
      <c r="A209" s="4" t="n"/>
      <c r="B209" s="5" t="n"/>
      <c r="C209" s="5" t="n"/>
      <c r="D209" s="5" t="n"/>
      <c r="E209" s="5" t="n"/>
      <c r="F209" s="5" t="n"/>
      <c r="G209" s="5" t="n"/>
      <c r="H209" s="5" t="n"/>
      <c r="I209" s="6" t="n"/>
    </row>
  </sheetData>
  <mergeCells count="39">
    <mergeCell ref="D49:I49"/>
    <mergeCell ref="C61:I61"/>
    <mergeCell ref="D13:F13"/>
    <mergeCell ref="B62:I62"/>
    <mergeCell ref="G13:I13"/>
    <mergeCell ref="B8:D8"/>
    <mergeCell ref="A51:B51"/>
    <mergeCell ref="B59:I59"/>
    <mergeCell ref="D48:I48"/>
    <mergeCell ref="C67:I67"/>
    <mergeCell ref="A12:I12"/>
    <mergeCell ref="B58:I58"/>
    <mergeCell ref="C66:I66"/>
    <mergeCell ref="A57:I57"/>
    <mergeCell ref="B48:C48"/>
    <mergeCell ref="A5:I5"/>
    <mergeCell ref="A76:I76"/>
    <mergeCell ref="B9:D9"/>
    <mergeCell ref="A148:D148"/>
    <mergeCell ref="B6:D6"/>
    <mergeCell ref="A52:I52"/>
    <mergeCell ref="A13:C13"/>
    <mergeCell ref="D51:I51"/>
    <mergeCell ref="A63:I63"/>
    <mergeCell ref="E148:I148"/>
    <mergeCell ref="A10:I10"/>
    <mergeCell ref="A1:I4"/>
    <mergeCell ref="C64:I64"/>
    <mergeCell ref="A68:I68"/>
    <mergeCell ref="D50:I50"/>
    <mergeCell ref="B7:D7"/>
    <mergeCell ref="C65:I65"/>
    <mergeCell ref="B49:C49"/>
    <mergeCell ref="A11:I11"/>
    <mergeCell ref="A70:I70"/>
    <mergeCell ref="B50:C50"/>
    <mergeCell ref="C60:I60"/>
    <mergeCell ref="A69:I69"/>
    <mergeCell ref="A53:I56"/>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5" min="0" max="8" man="1"/>
  </rowBreaks>
</worksheet>
</file>

<file path=xl/worksheets/sheet20.xml><?xml version="1.0" encoding="utf-8"?>
<worksheet xmlns="http://schemas.openxmlformats.org/spreadsheetml/2006/main">
  <sheetPr>
    <outlinePr summaryBelow="1" summaryRight="1"/>
    <pageSetUpPr fitToPage="1"/>
  </sheetPr>
  <dimension ref="A1:J204"/>
  <sheetViews>
    <sheetView view="pageBreakPreview" topLeftCell="A66" zoomScale="70" zoomScaleNormal="55" zoomScaleSheetLayoutView="70" workbookViewId="0">
      <selection activeCell="D19" sqref="D19"/>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45923</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115</v>
      </c>
      <c r="C9" s="107" t="n"/>
      <c r="D9" s="107" t="n"/>
      <c r="E9" s="106" t="n"/>
      <c r="F9" s="20" t="n"/>
      <c r="G9" s="20" t="n"/>
      <c r="H9" s="16" t="inlineStr">
        <is>
          <t>Finish:</t>
        </is>
      </c>
      <c r="I9" s="18" t="n">
        <v>0.7708333333333334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58" t="inlineStr">
        <is>
          <t>Temperature: 30 degrees  Wind:  43km/h NE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Daniel McAuffile</t>
        </is>
      </c>
      <c r="H15" s="26" t="inlineStr">
        <is>
          <t>Operator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O'Brian, Jamie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Mosley,Joshua</t>
        </is>
      </c>
      <c r="H17" s="26" t="inlineStr">
        <is>
          <t>Surveyor</t>
        </is>
      </c>
      <c r="I17" s="30" t="n">
        <v>6</v>
      </c>
    </row>
    <row r="18" ht="23.15" customHeight="1" s="151">
      <c r="A18" s="25" t="inlineStr">
        <is>
          <t>GRIFFITHS, Ashley</t>
        </is>
      </c>
      <c r="B18" s="26" t="inlineStr">
        <is>
          <t>Supervisor</t>
        </is>
      </c>
      <c r="C18" s="31" t="n"/>
      <c r="D18" s="28" t="n"/>
      <c r="E18" s="28" t="n"/>
      <c r="F18" s="26" t="n"/>
      <c r="G18" s="29" t="inlineStr">
        <is>
          <t>Mullin, Connell</t>
        </is>
      </c>
      <c r="H18" s="26" t="inlineStr">
        <is>
          <t>Operator</t>
        </is>
      </c>
      <c r="I18" s="30" t="n">
        <v>12</v>
      </c>
    </row>
    <row r="19" ht="23.15" customHeight="1" s="151">
      <c r="A19" s="25" t="inlineStr">
        <is>
          <t>THOMPSON,Cheryl</t>
        </is>
      </c>
      <c r="B19" s="26" t="inlineStr">
        <is>
          <t>HSET</t>
        </is>
      </c>
      <c r="C19" s="31" t="n">
        <v>12</v>
      </c>
      <c r="D19" s="28" t="n"/>
      <c r="E19" s="28" t="n"/>
      <c r="F19" s="26" t="n"/>
      <c r="G19" s="29" t="n"/>
      <c r="H19" s="26" t="n"/>
      <c r="I19" s="30" t="n"/>
    </row>
    <row r="20" ht="23.15" customHeight="1" s="151">
      <c r="A20" s="25" t="inlineStr">
        <is>
          <t>SKINNER,Jamie</t>
        </is>
      </c>
      <c r="B20" s="26" t="inlineStr">
        <is>
          <t>Supervisor</t>
        </is>
      </c>
      <c r="C20" s="31" t="n"/>
      <c r="D20" s="28" t="n"/>
      <c r="E20" s="28" t="n"/>
      <c r="F20" s="26" t="n"/>
      <c r="G20" s="29" t="inlineStr">
        <is>
          <t>Geraldton Natural Limestone</t>
        </is>
      </c>
      <c r="H20" s="26" t="inlineStr">
        <is>
          <t>Labourers</t>
        </is>
      </c>
      <c r="I20" s="30" t="n">
        <v>40</v>
      </c>
    </row>
    <row r="21" ht="23.15" customHeight="1" s="151">
      <c r="A21" s="99" t="inlineStr">
        <is>
          <t>TONER, Ultan</t>
        </is>
      </c>
      <c r="B21" s="26" t="inlineStr">
        <is>
          <t>Supervisor</t>
        </is>
      </c>
      <c r="C21" s="31" t="n">
        <v>12</v>
      </c>
      <c r="D21" s="28" t="n"/>
      <c r="E21" s="28" t="n"/>
      <c r="F21" s="26" t="n"/>
      <c r="G21" s="29" t="n"/>
      <c r="H21" s="26" t="n"/>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131" t="inlineStr">
        <is>
          <t xml:space="preserve">Total Indirect Personnel onsite: </t>
        </is>
      </c>
      <c r="B24" s="34">
        <f>COUNT(C15:C24)</f>
        <v/>
      </c>
      <c r="C24" s="28" t="n"/>
      <c r="D24" s="28" t="n"/>
      <c r="E24" s="28" t="n"/>
      <c r="F24" s="26" t="n"/>
      <c r="G24" s="78" t="n"/>
      <c r="H24" s="77" t="n"/>
      <c r="I24" s="30" t="n"/>
    </row>
    <row r="25" ht="23.15" customHeight="1" s="151">
      <c r="A25" s="131" t="inlineStr">
        <is>
          <t xml:space="preserve">Total Indirect Personnel hours: </t>
        </is>
      </c>
      <c r="B25" s="34">
        <f>SUM(C15:C23)</f>
        <v/>
      </c>
      <c r="C25" s="31" t="n"/>
      <c r="D25" s="28" t="n"/>
      <c r="E25" s="28" t="n"/>
      <c r="F25" s="26" t="n"/>
      <c r="G25" s="35" t="inlineStr">
        <is>
          <t>Total Subcontractor on-site:</t>
        </is>
      </c>
      <c r="H25" s="36" t="n">
        <v>13</v>
      </c>
      <c r="I25" s="30" t="n"/>
    </row>
    <row r="26" ht="23.15" customHeight="1" s="151">
      <c r="A26" s="131" t="inlineStr">
        <is>
          <t xml:space="preserve">Total Direct Personnel onsite:  </t>
        </is>
      </c>
      <c r="B26" s="34">
        <f>COUNTIF(F15:F27,"&gt;0")</f>
        <v/>
      </c>
      <c r="C26" s="34" t="n"/>
      <c r="D26" s="28" t="n"/>
      <c r="E26" s="28" t="n"/>
      <c r="F26" s="37" t="n"/>
      <c r="G26" s="35" t="inlineStr">
        <is>
          <t>Total Subcontractor hours:</t>
        </is>
      </c>
      <c r="H26" s="36">
        <f>SUM(I11:I23)</f>
        <v/>
      </c>
      <c r="I26" s="130" t="n"/>
    </row>
    <row r="27" ht="23.15" customHeight="1" s="151">
      <c r="A27" s="131" t="inlineStr">
        <is>
          <t xml:space="preserve">Total Direct Personnel hours: </t>
        </is>
      </c>
      <c r="B27" s="34">
        <f>SUM(F15:F27)</f>
        <v/>
      </c>
      <c r="C27" s="34" t="n"/>
      <c r="D27" s="34" t="n"/>
      <c r="E27" s="34" t="n"/>
      <c r="F27" s="34" t="n"/>
      <c r="G27" s="34" t="n"/>
      <c r="H27" s="34" t="n"/>
      <c r="I27" s="130" t="n"/>
    </row>
    <row r="28" ht="25" customHeight="1" s="151">
      <c r="A28" s="39" t="inlineStr">
        <is>
          <t>PLANT &amp; EQUIPMENT</t>
        </is>
      </c>
      <c r="B28" s="40" t="n"/>
      <c r="C28" s="40" t="n"/>
      <c r="D28" s="40" t="n"/>
      <c r="E28" s="40" t="n"/>
      <c r="F28" s="40" t="n"/>
      <c r="G28" s="40" t="n"/>
      <c r="H28" s="40" t="n"/>
      <c r="I28" s="41" t="n"/>
    </row>
    <row r="29" ht="24" customHeight="1" s="151">
      <c r="A29" s="126" t="inlineStr">
        <is>
          <t>Plant</t>
        </is>
      </c>
      <c r="B29" s="127" t="inlineStr">
        <is>
          <t>ID</t>
        </is>
      </c>
      <c r="C29" s="127" t="inlineStr">
        <is>
          <t>Hours</t>
        </is>
      </c>
      <c r="D29" s="127" t="inlineStr">
        <is>
          <t xml:space="preserve"> Vehicles</t>
        </is>
      </c>
      <c r="E29" s="127" t="inlineStr">
        <is>
          <t>ID</t>
        </is>
      </c>
      <c r="F29" s="127" t="inlineStr">
        <is>
          <t>QTY</t>
        </is>
      </c>
      <c r="G29" s="42" t="inlineStr">
        <is>
          <t>Site Facilities</t>
        </is>
      </c>
      <c r="H29" s="42" t="inlineStr">
        <is>
          <t>ID</t>
        </is>
      </c>
      <c r="I29" s="43" t="inlineStr">
        <is>
          <t>Qty</t>
        </is>
      </c>
    </row>
    <row r="30" ht="23.15" customHeight="1" s="151">
      <c r="A30" s="25" t="inlineStr">
        <is>
          <t>Komatsu WA320</t>
        </is>
      </c>
      <c r="B30" s="26" t="inlineStr">
        <is>
          <t>FWL18</t>
        </is>
      </c>
      <c r="C30" s="26" t="n">
        <v>4</v>
      </c>
      <c r="D30" s="31" t="inlineStr">
        <is>
          <t>Hilux</t>
        </is>
      </c>
      <c r="E30" s="31" t="inlineStr">
        <is>
          <t>DLV90</t>
        </is>
      </c>
      <c r="F30" s="31" t="n">
        <v>1</v>
      </c>
      <c r="G30" s="31" t="inlineStr">
        <is>
          <t>Office 40ft</t>
        </is>
      </c>
      <c r="H30" s="31" t="n">
        <v>9255540</v>
      </c>
      <c r="I30" s="30" t="n">
        <v>1</v>
      </c>
    </row>
    <row r="31" ht="23.15" customHeight="1" s="151">
      <c r="A31" s="25" t="inlineStr">
        <is>
          <t>Wacker Neuson DPU</t>
        </is>
      </c>
      <c r="B31" s="26" t="inlineStr">
        <is>
          <t>DPC15</t>
        </is>
      </c>
      <c r="C31" s="26" t="n"/>
      <c r="D31" s="31" t="inlineStr">
        <is>
          <t>Hilux</t>
        </is>
      </c>
      <c r="E31" s="31" t="inlineStr">
        <is>
          <t>1DLV04</t>
        </is>
      </c>
      <c r="F31" s="31" t="n">
        <v>1</v>
      </c>
      <c r="G31" s="31" t="inlineStr">
        <is>
          <t>Sea Container 20ft</t>
        </is>
      </c>
      <c r="H31" s="26" t="n">
        <v>951200</v>
      </c>
      <c r="I31" s="30" t="n">
        <v>1</v>
      </c>
    </row>
    <row r="32" ht="23.15" customHeight="1" s="151">
      <c r="A32" s="44" t="inlineStr">
        <is>
          <t>Watercart</t>
        </is>
      </c>
      <c r="B32" s="31" t="inlineStr">
        <is>
          <t>WC04</t>
        </is>
      </c>
      <c r="C32" s="26" t="n">
        <v>5</v>
      </c>
      <c r="D32" s="31" t="n"/>
      <c r="E32" s="26" t="n"/>
      <c r="F32" s="31" t="n"/>
      <c r="G32" s="31" t="inlineStr">
        <is>
          <t>Site Sentry Tower</t>
        </is>
      </c>
      <c r="H32" s="31" t="n"/>
      <c r="I32" s="30" t="n">
        <v>2</v>
      </c>
    </row>
    <row r="33" ht="23.15" customHeight="1" s="151">
      <c r="A33" s="44" t="inlineStr">
        <is>
          <t>8T Excavator</t>
        </is>
      </c>
      <c r="B33" s="45" t="inlineStr">
        <is>
          <t>AMG 014</t>
        </is>
      </c>
      <c r="C33" s="26" t="n"/>
      <c r="D33" s="31" t="n"/>
      <c r="E33" s="31" t="n"/>
      <c r="F33" s="31" t="n"/>
      <c r="G33" s="31" t="inlineStr">
        <is>
          <t>Skip Bin</t>
        </is>
      </c>
      <c r="H33" s="31" t="n"/>
      <c r="I33" s="30" t="n">
        <v>1</v>
      </c>
    </row>
    <row r="34" ht="23.15" customHeight="1" s="151">
      <c r="A34" s="31" t="inlineStr">
        <is>
          <t>Mini Tipper</t>
        </is>
      </c>
      <c r="B34" s="31" t="inlineStr">
        <is>
          <t>SLS05</t>
        </is>
      </c>
      <c r="C34" s="31" t="n"/>
      <c r="D34" s="31" t="n"/>
      <c r="E34" s="31" t="n"/>
      <c r="F34" s="31" t="n"/>
      <c r="G34" s="31" t="inlineStr">
        <is>
          <t>Hydrocarbon Bund</t>
        </is>
      </c>
      <c r="H34" s="31" t="n"/>
      <c r="I34" s="30" t="n">
        <v>1</v>
      </c>
    </row>
    <row r="35" ht="23.15" customHeight="1" s="151">
      <c r="A35" s="76" t="inlineStr">
        <is>
          <t>1 t Excavator</t>
        </is>
      </c>
      <c r="B35" s="31" t="inlineStr">
        <is>
          <t>SLS03</t>
        </is>
      </c>
      <c r="C35" s="31" t="n">
        <v>2</v>
      </c>
      <c r="D35" s="31" t="n"/>
      <c r="E35" s="31" t="n"/>
      <c r="F35" s="31" t="n"/>
      <c r="G35" s="31" t="inlineStr">
        <is>
          <t>Temp Fence</t>
        </is>
      </c>
      <c r="H35" s="26" t="n"/>
      <c r="I35" s="30" t="n">
        <v>1</v>
      </c>
    </row>
    <row r="36" ht="24" customHeight="1" s="151">
      <c r="A36" s="76" t="inlineStr">
        <is>
          <t>14t Excavator with GPS</t>
        </is>
      </c>
      <c r="B36" s="31" t="inlineStr">
        <is>
          <t>EX153</t>
        </is>
      </c>
      <c r="C36" s="31" t="n">
        <v>8</v>
      </c>
      <c r="D36" s="31" t="n"/>
      <c r="E36" s="31" t="n"/>
      <c r="F36" s="31" t="n"/>
      <c r="G36" s="2" t="n"/>
      <c r="H36" s="2" t="n"/>
      <c r="I36" s="3" t="n"/>
    </row>
    <row r="37" ht="24" customHeight="1" s="151">
      <c r="A37" s="76" t="inlineStr">
        <is>
          <t>5t Excavator</t>
        </is>
      </c>
      <c r="B37" s="31" t="inlineStr">
        <is>
          <t>A118</t>
        </is>
      </c>
      <c r="C37" s="31" t="n">
        <v>2</v>
      </c>
      <c r="D37" s="31" t="n"/>
      <c r="E37" s="31" t="n"/>
      <c r="F37" s="31" t="n"/>
      <c r="G37" s="2" t="n"/>
      <c r="H37" s="2" t="n"/>
      <c r="I37" s="3" t="n"/>
    </row>
    <row r="38" ht="24" customHeight="1" s="151">
      <c r="A38" s="44" t="inlineStr">
        <is>
          <t>Padfoot/ Smooth Drum Roller</t>
        </is>
      </c>
      <c r="B38" s="31" t="inlineStr">
        <is>
          <t>RR 03</t>
        </is>
      </c>
      <c r="C38" s="26" t="n"/>
      <c r="D38" s="31" t="n"/>
      <c r="E38" s="31" t="n"/>
      <c r="F38" s="31" t="n"/>
      <c r="G38" s="2" t="n"/>
      <c r="H38" s="2" t="n"/>
      <c r="I38" s="3" t="n"/>
    </row>
    <row r="39" ht="24" customHeight="1" s="151">
      <c r="A39" s="44" t="inlineStr">
        <is>
          <t>Multi Roller</t>
        </is>
      </c>
      <c r="B39" s="31" t="n">
        <v>256</v>
      </c>
      <c r="C39" s="26" t="n"/>
      <c r="D39" s="31" t="n"/>
      <c r="E39" s="31" t="n"/>
      <c r="F39" s="31" t="n"/>
      <c r="G39" s="2" t="n"/>
      <c r="H39" s="2" t="n"/>
      <c r="I39" s="3" t="n"/>
    </row>
    <row r="40" ht="24" customHeight="1" s="151">
      <c r="A40" s="44" t="inlineStr">
        <is>
          <t>Positrak SSL</t>
        </is>
      </c>
      <c r="B40" s="31" t="inlineStr">
        <is>
          <t>SSL08</t>
        </is>
      </c>
      <c r="C40" s="26" t="n">
        <v>5</v>
      </c>
      <c r="D40" s="31" t="n"/>
      <c r="E40" s="31" t="n"/>
      <c r="F40" s="31" t="n"/>
      <c r="G40" s="2" t="n"/>
      <c r="H40" s="2" t="n"/>
      <c r="I40" s="3" t="n"/>
    </row>
    <row r="41" ht="24" customHeight="1" s="151">
      <c r="A41" s="44" t="inlineStr">
        <is>
          <t>6 Wheel Tipper</t>
        </is>
      </c>
      <c r="B41" s="31" t="inlineStr">
        <is>
          <t>T091</t>
        </is>
      </c>
      <c r="C41" s="26" t="n">
        <v>5</v>
      </c>
      <c r="D41" s="31" t="n"/>
      <c r="E41" s="31" t="n"/>
      <c r="F41" s="31" t="n"/>
      <c r="G41" s="2" t="n"/>
      <c r="H41" s="2" t="n"/>
      <c r="I41" s="3" t="n"/>
    </row>
    <row r="42" ht="24" customHeight="1" s="151">
      <c r="A42" s="44" t="inlineStr">
        <is>
          <t>Grader</t>
        </is>
      </c>
      <c r="B42" s="31" t="inlineStr">
        <is>
          <t>SLS01</t>
        </is>
      </c>
      <c r="C42" s="26" t="n">
        <v>8</v>
      </c>
      <c r="D42" s="31" t="n"/>
      <c r="E42" s="31" t="n"/>
      <c r="F42" s="31" t="n"/>
      <c r="G42" s="2" t="n"/>
      <c r="H42" s="2" t="n"/>
      <c r="I42" s="3" t="n"/>
    </row>
    <row r="43" ht="24" customHeight="1" s="151">
      <c r="A43" s="44" t="n"/>
      <c r="B43" s="31" t="n"/>
      <c r="C43" s="26" t="n"/>
      <c r="D43" s="2" t="n"/>
      <c r="E43" s="2" t="n"/>
      <c r="F43" s="2" t="n"/>
      <c r="G43" s="2" t="n"/>
      <c r="H43" s="2" t="n"/>
      <c r="I43" s="3" t="n"/>
    </row>
    <row r="44" ht="18" customHeight="1" s="151">
      <c r="A44" s="46" t="n">
        <v>0</v>
      </c>
      <c r="B44" s="128" t="inlineStr">
        <is>
          <t xml:space="preserve">Repairs Required </t>
        </is>
      </c>
      <c r="C44" s="118" t="n"/>
      <c r="D44" s="129" t="inlineStr">
        <is>
          <t>N/A</t>
        </is>
      </c>
      <c r="E44" s="159" t="n"/>
      <c r="F44" s="159" t="n"/>
      <c r="G44" s="159" t="n"/>
      <c r="H44" s="159" t="n"/>
      <c r="I44" s="160" t="n"/>
    </row>
    <row r="45" ht="18" customHeight="1" s="151">
      <c r="A45" s="47" t="n">
        <v>1</v>
      </c>
      <c r="B45" s="128" t="inlineStr">
        <is>
          <t>Scheduled Service</t>
        </is>
      </c>
      <c r="C45" s="118" t="n"/>
      <c r="D45" s="129" t="inlineStr">
        <is>
          <t>Smooth Drum Roller Completed Today</t>
        </is>
      </c>
      <c r="E45" s="159" t="n"/>
      <c r="F45" s="159" t="n"/>
      <c r="G45" s="159" t="n"/>
      <c r="H45" s="159" t="n"/>
      <c r="I45" s="160" t="n"/>
    </row>
    <row r="46" ht="18" customHeight="1" s="151">
      <c r="A46" s="48" t="n">
        <v>0</v>
      </c>
      <c r="B46" s="128" t="n"/>
      <c r="C46" s="118" t="n"/>
      <c r="D46" s="129" t="inlineStr">
        <is>
          <t>N/A</t>
        </is>
      </c>
      <c r="E46" s="159" t="n"/>
      <c r="F46" s="159" t="n"/>
      <c r="G46" s="159" t="n"/>
      <c r="H46" s="159" t="n"/>
      <c r="I46" s="160" t="n"/>
    </row>
    <row r="47" ht="23.15" customHeight="1" s="151">
      <c r="A47" s="131" t="inlineStr">
        <is>
          <t xml:space="preserve">Total Plant and Equipment Hours: </t>
        </is>
      </c>
      <c r="B47" s="118" t="n"/>
      <c r="C47" s="49">
        <f>SUM(C30:C43)</f>
        <v/>
      </c>
      <c r="D47" s="132" t="n"/>
      <c r="E47" s="159" t="n"/>
      <c r="F47" s="159" t="n"/>
      <c r="G47" s="159" t="n"/>
      <c r="H47" s="159" t="n"/>
      <c r="I47" s="160" t="n"/>
    </row>
    <row r="48" ht="25" customHeight="1" s="151">
      <c r="A48" s="120" t="inlineStr">
        <is>
          <t>DELAYS-OPPORTUNITY</t>
        </is>
      </c>
      <c r="B48" s="159" t="n"/>
      <c r="C48" s="159" t="n"/>
      <c r="D48" s="159" t="n"/>
      <c r="E48" s="159" t="n"/>
      <c r="F48" s="159" t="n"/>
      <c r="G48" s="159" t="n"/>
      <c r="H48" s="159" t="n"/>
      <c r="I48" s="160" t="n"/>
    </row>
    <row r="49" ht="15" customHeight="1" s="151" thickBot="1">
      <c r="A49" s="155" t="inlineStr">
        <is>
          <t>New Detail Provided on Centrelink Carpark                                                               
Awaiting Direction on Service Clash Forrest Street
Awaiting Confirmation on Batters Treatment 
Awaiting finalised fencing details
Awaiting COGG confirmation on "Ballast Pile"
Instructions Provided for Laneway Sewer, Drainage</t>
        </is>
      </c>
      <c r="B49" s="124" t="n"/>
      <c r="C49" s="124" t="n"/>
      <c r="D49" s="124" t="n"/>
      <c r="E49" s="124" t="n"/>
      <c r="F49" s="124" t="n"/>
      <c r="G49" s="124" t="n"/>
      <c r="H49" s="124" t="n"/>
      <c r="I49" s="125" t="n"/>
    </row>
    <row r="50">
      <c r="A50" s="111" t="n"/>
      <c r="I50" s="113" t="n"/>
    </row>
    <row r="51" ht="49.5" customHeight="1" s="151">
      <c r="A51" s="111" t="n"/>
      <c r="I51" s="113" t="n"/>
    </row>
    <row r="52" ht="62.5" customHeight="1" s="151" thickBot="1">
      <c r="A52" s="134" t="n"/>
      <c r="B52" s="135" t="n"/>
      <c r="C52" s="135" t="n"/>
      <c r="D52" s="135" t="n"/>
      <c r="E52" s="135" t="n"/>
      <c r="F52" s="135" t="n"/>
      <c r="G52" s="135" t="n"/>
      <c r="H52" s="135" t="n"/>
      <c r="I52" s="136" t="n"/>
    </row>
    <row r="53" ht="25" customHeight="1" s="151">
      <c r="A53" s="137" t="inlineStr">
        <is>
          <t>HSEQ MESSAGES</t>
        </is>
      </c>
      <c r="B53" s="138" t="n"/>
      <c r="C53" s="138" t="n"/>
      <c r="D53" s="138" t="n"/>
      <c r="E53" s="138" t="n"/>
      <c r="F53" s="138" t="n"/>
      <c r="G53" s="138" t="n"/>
      <c r="H53" s="138" t="n"/>
      <c r="I53" s="139" t="n"/>
    </row>
    <row r="54" ht="18" customHeight="1" s="151">
      <c r="A54" s="53" t="inlineStr">
        <is>
          <t>TCD - Monthly Safety Focus:</t>
        </is>
      </c>
      <c r="B54" s="140" t="inlineStr">
        <is>
          <t>Underground Services</t>
        </is>
      </c>
      <c r="C54" s="159" t="n"/>
      <c r="D54" s="159" t="n"/>
      <c r="E54" s="159" t="n"/>
      <c r="F54" s="159" t="n"/>
      <c r="G54" s="159" t="n"/>
      <c r="H54" s="159" t="n"/>
      <c r="I54" s="118" t="n"/>
    </row>
    <row r="55" ht="24" customHeight="1" s="151">
      <c r="A55" s="53" t="inlineStr">
        <is>
          <t>TCD - Daily Safety Focus:</t>
        </is>
      </c>
      <c r="B55" s="141" t="inlineStr">
        <is>
          <t>SIMOPS</t>
        </is>
      </c>
      <c r="C55" s="159" t="n"/>
      <c r="D55" s="159" t="n"/>
      <c r="E55" s="159" t="n"/>
      <c r="F55" s="159" t="n"/>
      <c r="G55" s="159" t="n"/>
      <c r="H55" s="159" t="n"/>
      <c r="I55" s="160" t="n"/>
    </row>
    <row r="56" ht="18" customHeight="1" s="151">
      <c r="A56" s="54" t="inlineStr">
        <is>
          <t xml:space="preserve">Hazards Reported: </t>
        </is>
      </c>
      <c r="B56" s="55" t="inlineStr">
        <is>
          <t>Nil</t>
        </is>
      </c>
      <c r="C56" s="141" t="n"/>
      <c r="D56" s="159" t="n"/>
      <c r="E56" s="159" t="n"/>
      <c r="F56" s="159" t="n"/>
      <c r="G56" s="159" t="n"/>
      <c r="H56" s="159" t="n"/>
      <c r="I56" s="160" t="n"/>
    </row>
    <row r="57" ht="18" customHeight="1" s="151">
      <c r="A57" s="54" t="inlineStr">
        <is>
          <t>Incident Free Days</t>
        </is>
      </c>
      <c r="B57" s="55" t="n">
        <v>2</v>
      </c>
      <c r="C57" s="140" t="n"/>
      <c r="D57" s="159" t="n"/>
      <c r="E57" s="159" t="n"/>
      <c r="F57" s="159" t="n"/>
      <c r="G57" s="159" t="n"/>
      <c r="H57" s="159" t="n"/>
      <c r="I57" s="118" t="n"/>
    </row>
    <row r="58" ht="18" customHeight="1" s="151">
      <c r="A58" s="56" t="inlineStr">
        <is>
          <t>Other Notes</t>
        </is>
      </c>
      <c r="B58" s="142" t="n"/>
      <c r="C58" s="124" t="n"/>
      <c r="D58" s="124" t="n"/>
      <c r="E58" s="124" t="n"/>
      <c r="F58" s="124" t="n"/>
      <c r="G58" s="124" t="n"/>
      <c r="H58" s="124" t="n"/>
      <c r="I58" s="125" t="n"/>
    </row>
    <row r="59" ht="20.25" customHeight="1" s="151">
      <c r="A59" s="120" t="inlineStr">
        <is>
          <t xml:space="preserve">INCIDENTS &amp; REPORTS </t>
        </is>
      </c>
      <c r="B59" s="159" t="n"/>
      <c r="C59" s="159" t="n"/>
      <c r="D59" s="159" t="n"/>
      <c r="E59" s="159" t="n"/>
      <c r="F59" s="159" t="n"/>
      <c r="G59" s="159" t="n"/>
      <c r="H59" s="159" t="n"/>
      <c r="I59" s="160" t="n"/>
    </row>
    <row r="60" ht="25" customHeight="1" s="151">
      <c r="A60" s="57" t="n"/>
      <c r="B60" s="127" t="inlineStr">
        <is>
          <t>QTY</t>
        </is>
      </c>
      <c r="C60" s="130" t="inlineStr">
        <is>
          <t>Comments</t>
        </is>
      </c>
      <c r="D60" s="159" t="n"/>
      <c r="E60" s="159" t="n"/>
      <c r="F60" s="159" t="n"/>
      <c r="G60" s="159" t="n"/>
      <c r="H60" s="159" t="n"/>
      <c r="I60" s="160" t="n"/>
    </row>
    <row r="61" ht="25" customHeight="1" s="151">
      <c r="A61" s="58" t="inlineStr">
        <is>
          <t>INCIDENT</t>
        </is>
      </c>
      <c r="B61" s="127" t="n">
        <v>0</v>
      </c>
      <c r="C61" s="145" t="inlineStr">
        <is>
          <t>NA</t>
        </is>
      </c>
      <c r="D61" s="124" t="n"/>
      <c r="E61" s="124" t="n"/>
      <c r="F61" s="124" t="n"/>
      <c r="G61" s="124" t="n"/>
      <c r="H61" s="124" t="n"/>
      <c r="I61" s="125" t="n"/>
    </row>
    <row r="62" ht="25" customHeight="1" s="151">
      <c r="A62" s="59" t="inlineStr">
        <is>
          <t>IR</t>
        </is>
      </c>
      <c r="B62" s="60" t="n">
        <v>0</v>
      </c>
      <c r="C62" s="145" t="inlineStr">
        <is>
          <t>NA</t>
        </is>
      </c>
      <c r="D62" s="124" t="n"/>
      <c r="E62" s="124" t="n"/>
      <c r="F62" s="124" t="n"/>
      <c r="G62" s="124" t="n"/>
      <c r="H62" s="124" t="n"/>
      <c r="I62" s="125" t="n"/>
    </row>
    <row r="63" ht="25" customHeight="1" s="151" thickBot="1">
      <c r="A63" s="61" t="inlineStr">
        <is>
          <t>NCR</t>
        </is>
      </c>
      <c r="B63" s="62" t="n">
        <v>0</v>
      </c>
      <c r="C63" s="146" t="inlineStr">
        <is>
          <t>NA</t>
        </is>
      </c>
      <c r="D63" s="147" t="n"/>
      <c r="E63" s="147" t="n"/>
      <c r="F63" s="147" t="n"/>
      <c r="G63" s="147" t="n"/>
      <c r="H63" s="147" t="n"/>
      <c r="I63" s="148" t="n"/>
    </row>
    <row r="64" ht="20.25" customHeight="1" s="151">
      <c r="A64" s="137" t="inlineStr">
        <is>
          <t>COMMUNICATIONS</t>
        </is>
      </c>
      <c r="B64" s="138" t="n"/>
      <c r="C64" s="138" t="n"/>
      <c r="D64" s="138" t="n"/>
      <c r="E64" s="138" t="n"/>
      <c r="F64" s="138" t="n"/>
      <c r="G64" s="138" t="n"/>
      <c r="H64" s="138" t="n"/>
      <c r="I64" s="139" t="n"/>
    </row>
    <row r="65" ht="25" customHeight="1" s="151">
      <c r="A65" s="149" t="inlineStr">
        <is>
          <t>TGS MB1119-05 Scheme D implemented</t>
        </is>
      </c>
      <c r="B65" s="159" t="n"/>
      <c r="C65" s="159" t="n"/>
      <c r="D65" s="159" t="n"/>
      <c r="E65" s="159" t="n"/>
      <c r="F65" s="159" t="n"/>
      <c r="G65" s="159" t="n"/>
      <c r="H65" s="159" t="n"/>
      <c r="I65" s="160" t="n"/>
    </row>
    <row r="66" ht="25" customHeight="1" s="151">
      <c r="A66" s="120" t="inlineStr">
        <is>
          <t>PRODUCTION (CONSTRUCTION STATUS &amp; PROGRESS)</t>
        </is>
      </c>
      <c r="B66" s="159" t="n"/>
      <c r="C66" s="159" t="n"/>
      <c r="D66" s="159" t="n"/>
      <c r="E66" s="159" t="n"/>
      <c r="F66" s="159" t="n"/>
      <c r="G66" s="159" t="n"/>
      <c r="H66" s="159" t="n"/>
      <c r="I66" s="160" t="n"/>
    </row>
    <row r="67" ht="25" customHeight="1" s="151">
      <c r="A67" s="98" t="inlineStr">
        <is>
          <t>Subgrade Prep Monument Parade to Bayley inc Proof Roll and Testing</t>
        </is>
      </c>
      <c r="B67" s="64" t="n"/>
      <c r="C67" s="9" t="n"/>
      <c r="D67" s="9" t="n"/>
      <c r="E67" s="64" t="n"/>
      <c r="F67" s="64" t="n"/>
      <c r="G67" s="9" t="n"/>
      <c r="H67" s="64" t="n"/>
      <c r="I67" s="65" t="n"/>
    </row>
    <row r="68" ht="25" customHeight="1" s="151">
      <c r="A68" s="98" t="inlineStr">
        <is>
          <t>Limestone Blockwork</t>
        </is>
      </c>
      <c r="B68" s="64" t="n"/>
      <c r="C68" s="9" t="n"/>
      <c r="D68" s="9" t="n"/>
      <c r="E68" s="64" t="n"/>
      <c r="F68" s="64" t="n"/>
      <c r="G68" s="9" t="n"/>
      <c r="H68" s="64" t="n"/>
      <c r="I68" s="65" t="n"/>
    </row>
    <row r="69" ht="25" customHeight="1" s="151">
      <c r="A69" s="98" t="inlineStr">
        <is>
          <t>Sump Works</t>
        </is>
      </c>
      <c r="B69" s="64" t="n"/>
      <c r="C69" s="9" t="n"/>
      <c r="D69" s="9" t="n"/>
      <c r="E69" s="64" t="n"/>
      <c r="F69" s="64" t="n"/>
      <c r="G69" s="9" t="n"/>
      <c r="H69" s="64" t="n"/>
      <c r="I69" s="65" t="n"/>
    </row>
    <row r="70" ht="30.5" customHeight="1" s="151">
      <c r="A70" s="98" t="inlineStr">
        <is>
          <t>Boxout of Limestone Blocks</t>
        </is>
      </c>
      <c r="B70" s="64" t="n"/>
      <c r="C70" s="9" t="n"/>
      <c r="D70" s="9" t="n"/>
      <c r="E70" s="64" t="n"/>
      <c r="F70" s="64" t="n"/>
      <c r="G70" s="9" t="n"/>
      <c r="H70" s="64" t="n"/>
      <c r="I70" s="65" t="n"/>
    </row>
    <row r="71" ht="26.15" customHeight="1" s="151" thickBot="1">
      <c r="A71" s="123" t="inlineStr">
        <is>
          <t>Photos</t>
        </is>
      </c>
      <c r="B71" s="124" t="n"/>
      <c r="C71" s="124" t="n"/>
      <c r="D71" s="124" t="n"/>
      <c r="E71" s="124" t="n"/>
      <c r="F71" s="124" t="n"/>
      <c r="G71" s="124" t="n"/>
      <c r="H71" s="124" t="n"/>
      <c r="I71" s="125" t="n"/>
    </row>
    <row r="72" ht="23.15" customHeight="1" s="151">
      <c r="A72" s="66" t="n"/>
      <c r="B72" s="67" t="n"/>
      <c r="C72" s="67" t="n"/>
      <c r="D72" s="67" t="n"/>
      <c r="E72" s="67" t="n"/>
      <c r="F72" s="67" t="n"/>
      <c r="G72" s="67" t="n"/>
      <c r="H72" s="67" t="n"/>
      <c r="I72" s="68" t="n"/>
    </row>
    <row r="73" ht="23.15" customHeight="1" s="151">
      <c r="A73" s="69" t="n"/>
      <c r="B73" s="70" t="n"/>
      <c r="C73" s="70" t="n"/>
      <c r="D73" s="70" t="n"/>
      <c r="E73" s="70" t="n"/>
      <c r="F73" s="70" t="n"/>
      <c r="G73" s="70" t="n"/>
      <c r="H73" s="70" t="n"/>
      <c r="I73" s="71" t="n"/>
    </row>
    <row r="74" ht="15" customHeight="1" s="151">
      <c r="A74" s="69" t="n"/>
      <c r="B74" s="70" t="n"/>
      <c r="C74" s="70" t="n"/>
      <c r="D74" s="70" t="n"/>
      <c r="E74" s="70" t="n"/>
      <c r="F74" s="70" t="n"/>
      <c r="G74" s="70" t="n"/>
      <c r="H74" s="70" t="n"/>
      <c r="I74" s="71" t="n"/>
    </row>
    <row r="75" ht="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H94" s="70" t="n"/>
      <c r="I94" s="71" t="n"/>
    </row>
    <row r="95" ht="25" customFormat="1" customHeight="1" s="10">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thickBot="1">
      <c r="A110" s="72" t="n"/>
      <c r="B110" s="73" t="n"/>
      <c r="C110" s="73" t="n"/>
      <c r="D110" s="73" t="n"/>
      <c r="E110" s="73" t="n"/>
      <c r="F110" s="73" t="n"/>
      <c r="G110" s="73" t="n"/>
      <c r="H110" s="73" t="n"/>
      <c r="I110" s="74"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2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8"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thickBot="1">
      <c r="A135" s="69" t="n"/>
      <c r="B135" s="70" t="n"/>
      <c r="C135" s="70" t="n"/>
      <c r="D135" s="70" t="n"/>
      <c r="E135" s="70" t="n"/>
      <c r="F135" s="70" t="n"/>
      <c r="G135" s="70" t="n"/>
      <c r="H135" s="70" t="n"/>
      <c r="I135" s="71" t="n"/>
      <c r="J135" s="75"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6" customHeight="1" s="151">
      <c r="A142" s="69" t="n"/>
      <c r="B142" s="70" t="n"/>
      <c r="C142" s="70" t="n"/>
      <c r="D142" s="70" t="n"/>
      <c r="E142" s="70" t="n"/>
      <c r="F142" s="70" t="n"/>
      <c r="G142" s="70" t="n"/>
      <c r="H142" s="70" t="n"/>
      <c r="I142" s="71" t="n"/>
    </row>
    <row r="143" ht="30.75" customHeight="1" s="151">
      <c r="A143" s="143" t="n"/>
      <c r="E143" s="144" t="n"/>
      <c r="I143" s="113" t="n"/>
    </row>
    <row r="144">
      <c r="A144" s="7" t="n"/>
      <c r="I144" s="8" t="n"/>
    </row>
    <row r="145">
      <c r="A145" s="7" t="n"/>
      <c r="I145" s="8"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ht="16" customHeight="1" s="151" thickBot="1">
      <c r="A197" s="4" t="n"/>
      <c r="B197" s="5" t="n"/>
      <c r="C197" s="5" t="n"/>
      <c r="D197" s="5" t="n"/>
      <c r="E197" s="5" t="n"/>
      <c r="F197" s="5" t="n"/>
      <c r="G197" s="5" t="n"/>
      <c r="H197" s="5" t="n"/>
      <c r="I197" s="6" t="n"/>
    </row>
    <row r="198">
      <c r="A198" s="7" t="n"/>
      <c r="I198" s="8" t="n"/>
    </row>
    <row r="199">
      <c r="A199" s="7" t="n"/>
      <c r="I199" s="8" t="n"/>
    </row>
    <row r="200">
      <c r="A200" s="7" t="n"/>
      <c r="I200" s="8" t="n"/>
    </row>
    <row r="201">
      <c r="A201" s="7" t="n"/>
      <c r="I201" s="8" t="n"/>
    </row>
    <row r="202">
      <c r="A202" s="7" t="n"/>
      <c r="I202" s="8" t="n"/>
    </row>
    <row r="203">
      <c r="A203" s="7" t="n"/>
      <c r="I203" s="8" t="n"/>
    </row>
    <row r="204" ht="16" customHeight="1" s="151" thickBot="1">
      <c r="A204" s="4" t="n"/>
      <c r="B204" s="5" t="n"/>
      <c r="C204" s="5" t="n"/>
      <c r="D204" s="5" t="n"/>
      <c r="E204" s="5" t="n"/>
      <c r="F204" s="5" t="n"/>
      <c r="G204" s="5" t="n"/>
      <c r="H204" s="5" t="n"/>
      <c r="I204" s="6" t="n"/>
    </row>
  </sheetData>
  <mergeCells count="39">
    <mergeCell ref="C61:I61"/>
    <mergeCell ref="A65:I65"/>
    <mergeCell ref="D13:F13"/>
    <mergeCell ref="G13:I13"/>
    <mergeCell ref="B8:D8"/>
    <mergeCell ref="B54:I54"/>
    <mergeCell ref="A66:I66"/>
    <mergeCell ref="B46:C46"/>
    <mergeCell ref="A12:I12"/>
    <mergeCell ref="C57:I57"/>
    <mergeCell ref="D47:I47"/>
    <mergeCell ref="B58:I58"/>
    <mergeCell ref="A71:I71"/>
    <mergeCell ref="A5:I5"/>
    <mergeCell ref="A143:D143"/>
    <mergeCell ref="E143:I143"/>
    <mergeCell ref="A49:I52"/>
    <mergeCell ref="B9:D9"/>
    <mergeCell ref="C62:I62"/>
    <mergeCell ref="A53:I53"/>
    <mergeCell ref="B6:D6"/>
    <mergeCell ref="B44:C44"/>
    <mergeCell ref="A13:C13"/>
    <mergeCell ref="A10:I10"/>
    <mergeCell ref="A1:I4"/>
    <mergeCell ref="A47:B47"/>
    <mergeCell ref="D44:I44"/>
    <mergeCell ref="B7:D7"/>
    <mergeCell ref="C63:I63"/>
    <mergeCell ref="A48:I48"/>
    <mergeCell ref="A64:I64"/>
    <mergeCell ref="A59:I59"/>
    <mergeCell ref="A11:I11"/>
    <mergeCell ref="D46:I46"/>
    <mergeCell ref="B55:I55"/>
    <mergeCell ref="C56:I56"/>
    <mergeCell ref="B45:C45"/>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0" min="0" max="8" man="1"/>
  </rowBreaks>
</worksheet>
</file>

<file path=xl/worksheets/sheet21.xml><?xml version="1.0" encoding="utf-8"?>
<worksheet xmlns="http://schemas.openxmlformats.org/spreadsheetml/2006/main">
  <sheetPr>
    <outlinePr summaryBelow="1" summaryRight="1"/>
    <pageSetUpPr fitToPage="1"/>
  </sheetPr>
  <dimension ref="A1:J204"/>
  <sheetViews>
    <sheetView view="pageBreakPreview" topLeftCell="A69" zoomScale="70" zoomScaleNormal="55" zoomScaleSheetLayoutView="70" workbookViewId="0">
      <selection activeCell="D23" sqref="D2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45924</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116</v>
      </c>
      <c r="C9" s="107" t="n"/>
      <c r="D9" s="107" t="n"/>
      <c r="E9" s="106" t="n"/>
      <c r="F9" s="20" t="n"/>
      <c r="G9" s="20" t="n"/>
      <c r="H9" s="16" t="inlineStr">
        <is>
          <t>Finish:</t>
        </is>
      </c>
      <c r="I9" s="18" t="n">
        <v>0.7708333333333334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58" t="inlineStr">
        <is>
          <t>Temperature: 32 degrees  Wind:  35km/h NE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Daniel McAuffile</t>
        </is>
      </c>
      <c r="H15" s="26" t="inlineStr">
        <is>
          <t>Operator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O'Brian, Jamie</t>
        </is>
      </c>
      <c r="H16" s="26" t="inlineStr">
        <is>
          <t>Operator</t>
        </is>
      </c>
      <c r="I16" s="30" t="n">
        <v>10</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Mosley,Joshua</t>
        </is>
      </c>
      <c r="H17" s="26" t="inlineStr">
        <is>
          <t>Surveyor</t>
        </is>
      </c>
      <c r="I17" s="30" t="n">
        <v>5</v>
      </c>
    </row>
    <row r="18" ht="23.15" customHeight="1" s="151">
      <c r="A18" s="25" t="inlineStr">
        <is>
          <t>GRIFFITHS, Ashley</t>
        </is>
      </c>
      <c r="B18" s="26" t="inlineStr">
        <is>
          <t>Supervisor</t>
        </is>
      </c>
      <c r="C18" s="31" t="n"/>
      <c r="D18" s="28" t="n"/>
      <c r="E18" s="28" t="n"/>
      <c r="F18" s="26" t="n"/>
      <c r="G18" s="29" t="inlineStr">
        <is>
          <t>Mullin, Connell</t>
        </is>
      </c>
      <c r="H18" s="26" t="inlineStr">
        <is>
          <t>Operator</t>
        </is>
      </c>
      <c r="I18" s="30" t="n">
        <v>12</v>
      </c>
    </row>
    <row r="19" ht="23.15" customHeight="1" s="151">
      <c r="A19" s="25" t="inlineStr">
        <is>
          <t>THOMPSON,Cheryl</t>
        </is>
      </c>
      <c r="B19" s="26" t="inlineStr">
        <is>
          <t>HSET</t>
        </is>
      </c>
      <c r="C19" s="31" t="n"/>
      <c r="D19" s="28" t="n"/>
      <c r="E19" s="28" t="n"/>
      <c r="F19" s="26" t="n"/>
      <c r="G19" s="29" t="n"/>
      <c r="H19" s="26" t="n"/>
      <c r="I19" s="30" t="n"/>
    </row>
    <row r="20" ht="23.15" customHeight="1" s="151">
      <c r="A20" s="25" t="inlineStr">
        <is>
          <t>SKINNER,Jamie</t>
        </is>
      </c>
      <c r="B20" s="26" t="inlineStr">
        <is>
          <t>Supervisor</t>
        </is>
      </c>
      <c r="C20" s="31" t="n"/>
      <c r="D20" s="28" t="n"/>
      <c r="E20" s="28" t="n"/>
      <c r="F20" s="26" t="n"/>
      <c r="G20" s="29" t="inlineStr">
        <is>
          <t>Geraldton Natural Limestone</t>
        </is>
      </c>
      <c r="H20" s="26" t="inlineStr">
        <is>
          <t>Labourers</t>
        </is>
      </c>
      <c r="I20" s="30" t="n">
        <v>40</v>
      </c>
    </row>
    <row r="21" ht="23.15" customHeight="1" s="151">
      <c r="A21" s="99" t="inlineStr">
        <is>
          <t>TONER, Ultan</t>
        </is>
      </c>
      <c r="B21" s="26" t="inlineStr">
        <is>
          <t>Supervisor</t>
        </is>
      </c>
      <c r="C21" s="31" t="n">
        <v>12</v>
      </c>
      <c r="D21" s="28" t="n"/>
      <c r="E21" s="28" t="n"/>
      <c r="F21" s="26" t="n"/>
      <c r="G21" s="29" t="n"/>
      <c r="H21" s="26" t="n"/>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131" t="inlineStr">
        <is>
          <t xml:space="preserve">Total Indirect Personnel onsite: </t>
        </is>
      </c>
      <c r="B24" s="34">
        <f>COUNT(C15:C24)</f>
        <v/>
      </c>
      <c r="C24" s="28" t="n"/>
      <c r="D24" s="28" t="n"/>
      <c r="E24" s="28" t="n"/>
      <c r="F24" s="26" t="n"/>
      <c r="G24" s="78" t="n"/>
      <c r="H24" s="77" t="n"/>
      <c r="I24" s="30" t="n"/>
    </row>
    <row r="25" ht="23.15" customHeight="1" s="151">
      <c r="A25" s="131" t="inlineStr">
        <is>
          <t xml:space="preserve">Total Indirect Personnel hours: </t>
        </is>
      </c>
      <c r="B25" s="34">
        <f>SUM(C15:C23)</f>
        <v/>
      </c>
      <c r="C25" s="31" t="n"/>
      <c r="D25" s="28" t="n"/>
      <c r="E25" s="28" t="n"/>
      <c r="F25" s="26" t="n"/>
      <c r="G25" s="35" t="inlineStr">
        <is>
          <t>Total Subcontractor on-site:</t>
        </is>
      </c>
      <c r="H25" s="36" t="n">
        <v>13</v>
      </c>
      <c r="I25" s="30" t="n"/>
    </row>
    <row r="26" ht="23.15" customHeight="1" s="151">
      <c r="A26" s="131" t="inlineStr">
        <is>
          <t xml:space="preserve">Total Direct Personnel onsite:  </t>
        </is>
      </c>
      <c r="B26" s="34">
        <f>COUNTIF(F15:F27,"&gt;0")</f>
        <v/>
      </c>
      <c r="C26" s="34" t="n"/>
      <c r="D26" s="28" t="n"/>
      <c r="E26" s="28" t="n"/>
      <c r="F26" s="37" t="n"/>
      <c r="G26" s="35" t="inlineStr">
        <is>
          <t>Total Subcontractor hours:</t>
        </is>
      </c>
      <c r="H26" s="36">
        <f>SUM(I11:I23)</f>
        <v/>
      </c>
      <c r="I26" s="130" t="n"/>
    </row>
    <row r="27" ht="23.15" customHeight="1" s="151">
      <c r="A27" s="131" t="inlineStr">
        <is>
          <t xml:space="preserve">Total Direct Personnel hours: </t>
        </is>
      </c>
      <c r="B27" s="34">
        <f>SUM(F15:F27)</f>
        <v/>
      </c>
      <c r="C27" s="34" t="n"/>
      <c r="D27" s="34" t="n"/>
      <c r="E27" s="34" t="n"/>
      <c r="F27" s="34" t="n"/>
      <c r="G27" s="34" t="n"/>
      <c r="H27" s="34" t="n"/>
      <c r="I27" s="130" t="n"/>
    </row>
    <row r="28" ht="25" customHeight="1" s="151">
      <c r="A28" s="39" t="inlineStr">
        <is>
          <t>PLANT &amp; EQUIPMENT</t>
        </is>
      </c>
      <c r="B28" s="40" t="n"/>
      <c r="C28" s="40" t="n"/>
      <c r="D28" s="40" t="n"/>
      <c r="E28" s="40" t="n"/>
      <c r="F28" s="40" t="n"/>
      <c r="G28" s="40" t="n"/>
      <c r="H28" s="40" t="n"/>
      <c r="I28" s="41" t="n"/>
    </row>
    <row r="29" ht="24" customHeight="1" s="151">
      <c r="A29" s="126" t="inlineStr">
        <is>
          <t>Plant</t>
        </is>
      </c>
      <c r="B29" s="127" t="inlineStr">
        <is>
          <t>ID</t>
        </is>
      </c>
      <c r="C29" s="127" t="inlineStr">
        <is>
          <t>Hours</t>
        </is>
      </c>
      <c r="D29" s="127" t="inlineStr">
        <is>
          <t xml:space="preserve"> Vehicles</t>
        </is>
      </c>
      <c r="E29" s="127" t="inlineStr">
        <is>
          <t>ID</t>
        </is>
      </c>
      <c r="F29" s="127" t="inlineStr">
        <is>
          <t>QTY</t>
        </is>
      </c>
      <c r="G29" s="42" t="inlineStr">
        <is>
          <t>Site Facilities</t>
        </is>
      </c>
      <c r="H29" s="42" t="inlineStr">
        <is>
          <t>ID</t>
        </is>
      </c>
      <c r="I29" s="43" t="inlineStr">
        <is>
          <t>Qty</t>
        </is>
      </c>
    </row>
    <row r="30" ht="23.15" customHeight="1" s="151">
      <c r="A30" s="25" t="inlineStr">
        <is>
          <t>Komatsu WA320</t>
        </is>
      </c>
      <c r="B30" s="26" t="inlineStr">
        <is>
          <t>FWL18</t>
        </is>
      </c>
      <c r="C30" s="26" t="n">
        <v>4</v>
      </c>
      <c r="D30" s="31" t="inlineStr">
        <is>
          <t>Hilux</t>
        </is>
      </c>
      <c r="E30" s="31" t="inlineStr">
        <is>
          <t>DLV90</t>
        </is>
      </c>
      <c r="F30" s="31" t="n">
        <v>1</v>
      </c>
      <c r="G30" s="31" t="inlineStr">
        <is>
          <t>Office 40ft</t>
        </is>
      </c>
      <c r="H30" s="31" t="n">
        <v>9255540</v>
      </c>
      <c r="I30" s="30" t="n">
        <v>1</v>
      </c>
    </row>
    <row r="31" ht="23.15" customHeight="1" s="151">
      <c r="A31" s="25" t="inlineStr">
        <is>
          <t>Wacker Neuson DPU</t>
        </is>
      </c>
      <c r="B31" s="26" t="inlineStr">
        <is>
          <t>DPC15</t>
        </is>
      </c>
      <c r="C31" s="26" t="n"/>
      <c r="D31" s="31" t="inlineStr">
        <is>
          <t>Hilux</t>
        </is>
      </c>
      <c r="E31" s="31" t="inlineStr">
        <is>
          <t>1DLV04</t>
        </is>
      </c>
      <c r="F31" s="31" t="n">
        <v>1</v>
      </c>
      <c r="G31" s="31" t="inlineStr">
        <is>
          <t>Sea Container 20ft</t>
        </is>
      </c>
      <c r="H31" s="26" t="n">
        <v>951200</v>
      </c>
      <c r="I31" s="30" t="n">
        <v>1</v>
      </c>
    </row>
    <row r="32" ht="23.15" customHeight="1" s="151">
      <c r="A32" s="44" t="inlineStr">
        <is>
          <t>Watercart</t>
        </is>
      </c>
      <c r="B32" s="31" t="inlineStr">
        <is>
          <t>WC04</t>
        </is>
      </c>
      <c r="C32" s="26" t="n">
        <v>5</v>
      </c>
      <c r="D32" s="31" t="n"/>
      <c r="E32" s="26" t="n"/>
      <c r="F32" s="31" t="n"/>
      <c r="G32" s="31" t="inlineStr">
        <is>
          <t>Site Sentry Tower</t>
        </is>
      </c>
      <c r="H32" s="31" t="n"/>
      <c r="I32" s="30" t="n">
        <v>2</v>
      </c>
    </row>
    <row r="33" ht="23.15" customHeight="1" s="151">
      <c r="A33" s="44" t="inlineStr">
        <is>
          <t>8T Excavator</t>
        </is>
      </c>
      <c r="B33" s="45" t="inlineStr">
        <is>
          <t>AMG 014</t>
        </is>
      </c>
      <c r="C33" s="26" t="n"/>
      <c r="D33" s="31" t="n"/>
      <c r="E33" s="31" t="n"/>
      <c r="F33" s="31" t="n"/>
      <c r="G33" s="31" t="inlineStr">
        <is>
          <t>Skip Bin</t>
        </is>
      </c>
      <c r="H33" s="31" t="n"/>
      <c r="I33" s="30" t="n">
        <v>1</v>
      </c>
    </row>
    <row r="34" ht="23.15" customHeight="1" s="151">
      <c r="A34" s="31" t="inlineStr">
        <is>
          <t>Mini Tipper</t>
        </is>
      </c>
      <c r="B34" s="31" t="inlineStr">
        <is>
          <t>SLS05</t>
        </is>
      </c>
      <c r="C34" s="31" t="n"/>
      <c r="D34" s="31" t="n"/>
      <c r="E34" s="31" t="n"/>
      <c r="F34" s="31" t="n"/>
      <c r="G34" s="31" t="inlineStr">
        <is>
          <t>Hydrocarbon Bund</t>
        </is>
      </c>
      <c r="H34" s="31" t="n"/>
      <c r="I34" s="30" t="n">
        <v>1</v>
      </c>
    </row>
    <row r="35" ht="23.15" customHeight="1" s="151">
      <c r="A35" s="76" t="inlineStr">
        <is>
          <t>1 t Excavator</t>
        </is>
      </c>
      <c r="B35" s="31" t="inlineStr">
        <is>
          <t>SLS03</t>
        </is>
      </c>
      <c r="C35" s="31" t="n">
        <v>2</v>
      </c>
      <c r="D35" s="31" t="n"/>
      <c r="E35" s="31" t="n"/>
      <c r="F35" s="31" t="n"/>
      <c r="G35" s="31" t="inlineStr">
        <is>
          <t>Temp Fence</t>
        </is>
      </c>
      <c r="H35" s="26" t="n"/>
      <c r="I35" s="30" t="n">
        <v>1</v>
      </c>
    </row>
    <row r="36" ht="24" customHeight="1" s="151">
      <c r="A36" s="76" t="inlineStr">
        <is>
          <t>14t Excavator with GPS</t>
        </is>
      </c>
      <c r="B36" s="31" t="inlineStr">
        <is>
          <t>EX153</t>
        </is>
      </c>
      <c r="C36" s="31" t="n">
        <v>10</v>
      </c>
      <c r="D36" s="31" t="n"/>
      <c r="E36" s="31" t="n"/>
      <c r="F36" s="31" t="n"/>
      <c r="G36" s="2" t="n"/>
      <c r="H36" s="2" t="n"/>
      <c r="I36" s="3" t="n"/>
    </row>
    <row r="37" ht="24" customHeight="1" s="151">
      <c r="A37" s="76" t="inlineStr">
        <is>
          <t>5t Excavator</t>
        </is>
      </c>
      <c r="B37" s="31" t="inlineStr">
        <is>
          <t>A118</t>
        </is>
      </c>
      <c r="C37" s="31" t="n"/>
      <c r="D37" s="31" t="n"/>
      <c r="E37" s="31" t="n"/>
      <c r="F37" s="31" t="n"/>
      <c r="G37" s="2" t="n"/>
      <c r="H37" s="2" t="n"/>
      <c r="I37" s="3" t="n"/>
    </row>
    <row r="38" ht="24" customHeight="1" s="151">
      <c r="A38" s="44" t="inlineStr">
        <is>
          <t>Padfoot/ Smooth Drum Roller</t>
        </is>
      </c>
      <c r="B38" s="31" t="inlineStr">
        <is>
          <t>RR 03</t>
        </is>
      </c>
      <c r="C38" s="26" t="n">
        <v>6</v>
      </c>
      <c r="D38" s="31" t="n"/>
      <c r="E38" s="31" t="n"/>
      <c r="F38" s="31" t="n"/>
      <c r="G38" s="2" t="n"/>
      <c r="H38" s="2" t="n"/>
      <c r="I38" s="3" t="n"/>
    </row>
    <row r="39" ht="24" customHeight="1" s="151">
      <c r="A39" s="44" t="inlineStr">
        <is>
          <t>Multi Roller</t>
        </is>
      </c>
      <c r="B39" s="31" t="n">
        <v>256</v>
      </c>
      <c r="C39" s="26" t="n"/>
      <c r="D39" s="31" t="n"/>
      <c r="E39" s="31" t="n"/>
      <c r="F39" s="31" t="n"/>
      <c r="G39" s="2" t="n"/>
      <c r="H39" s="2" t="n"/>
      <c r="I39" s="3" t="n"/>
    </row>
    <row r="40" ht="24" customHeight="1" s="151">
      <c r="A40" s="44" t="inlineStr">
        <is>
          <t>Positrak SSL</t>
        </is>
      </c>
      <c r="B40" s="31" t="inlineStr">
        <is>
          <t>SSL08</t>
        </is>
      </c>
      <c r="C40" s="26" t="n">
        <v>5</v>
      </c>
      <c r="D40" s="31" t="n"/>
      <c r="E40" s="31" t="n"/>
      <c r="F40" s="31" t="n"/>
      <c r="G40" s="2" t="n"/>
      <c r="H40" s="2" t="n"/>
      <c r="I40" s="3" t="n"/>
    </row>
    <row r="41" ht="24" customHeight="1" s="151">
      <c r="A41" s="44" t="inlineStr">
        <is>
          <t>6 Wheel Tipper</t>
        </is>
      </c>
      <c r="B41" s="31" t="inlineStr">
        <is>
          <t>T091</t>
        </is>
      </c>
      <c r="C41" s="26" t="n">
        <v>3</v>
      </c>
      <c r="D41" s="31" t="n"/>
      <c r="E41" s="31" t="n"/>
      <c r="F41" s="31" t="n"/>
      <c r="G41" s="2" t="n"/>
      <c r="H41" s="2" t="n"/>
      <c r="I41" s="3" t="n"/>
    </row>
    <row r="42" ht="24" customHeight="1" s="151">
      <c r="A42" s="44" t="inlineStr">
        <is>
          <t>Grader</t>
        </is>
      </c>
      <c r="B42" s="31" t="inlineStr">
        <is>
          <t>SLS01</t>
        </is>
      </c>
      <c r="C42" s="26" t="n">
        <v>9</v>
      </c>
      <c r="D42" s="31" t="n"/>
      <c r="E42" s="31" t="n"/>
      <c r="F42" s="31" t="n"/>
      <c r="G42" s="2" t="n"/>
      <c r="H42" s="2" t="n"/>
      <c r="I42" s="3" t="n"/>
    </row>
    <row r="43" ht="24" customHeight="1" s="151">
      <c r="A43" s="44" t="n"/>
      <c r="B43" s="31" t="n"/>
      <c r="C43" s="26" t="n"/>
      <c r="D43" s="2" t="n"/>
      <c r="E43" s="2" t="n"/>
      <c r="F43" s="2" t="n"/>
      <c r="G43" s="2" t="n"/>
      <c r="H43" s="2" t="n"/>
      <c r="I43" s="3" t="n"/>
    </row>
    <row r="44" ht="18" customHeight="1" s="151">
      <c r="A44" s="46" t="n">
        <v>0</v>
      </c>
      <c r="B44" s="128" t="inlineStr">
        <is>
          <t xml:space="preserve">Repairs Required </t>
        </is>
      </c>
      <c r="C44" s="118" t="n"/>
      <c r="D44" s="129" t="inlineStr">
        <is>
          <t>N/A</t>
        </is>
      </c>
      <c r="E44" s="159" t="n"/>
      <c r="F44" s="159" t="n"/>
      <c r="G44" s="159" t="n"/>
      <c r="H44" s="159" t="n"/>
      <c r="I44" s="160" t="n"/>
    </row>
    <row r="45" ht="18" customHeight="1" s="151">
      <c r="A45" s="47" t="n">
        <v>0</v>
      </c>
      <c r="B45" s="128" t="inlineStr">
        <is>
          <t>Scheduled Service</t>
        </is>
      </c>
      <c r="C45" s="118" t="n"/>
      <c r="D45" s="129" t="inlineStr">
        <is>
          <t>N/A</t>
        </is>
      </c>
      <c r="E45" s="159" t="n"/>
      <c r="F45" s="159" t="n"/>
      <c r="G45" s="159" t="n"/>
      <c r="H45" s="159" t="n"/>
      <c r="I45" s="160" t="n"/>
    </row>
    <row r="46" ht="18" customHeight="1" s="151">
      <c r="A46" s="48" t="n">
        <v>0</v>
      </c>
      <c r="B46" s="128" t="n"/>
      <c r="C46" s="118" t="n"/>
      <c r="D46" s="129" t="inlineStr">
        <is>
          <t>N/A</t>
        </is>
      </c>
      <c r="E46" s="159" t="n"/>
      <c r="F46" s="159" t="n"/>
      <c r="G46" s="159" t="n"/>
      <c r="H46" s="159" t="n"/>
      <c r="I46" s="160" t="n"/>
    </row>
    <row r="47" ht="23.15" customHeight="1" s="151">
      <c r="A47" s="131" t="inlineStr">
        <is>
          <t xml:space="preserve">Total Plant and Equipment Hours: </t>
        </is>
      </c>
      <c r="B47" s="118" t="n"/>
      <c r="C47" s="49">
        <f>SUM(C30:C43)</f>
        <v/>
      </c>
      <c r="D47" s="132" t="n"/>
      <c r="E47" s="159" t="n"/>
      <c r="F47" s="159" t="n"/>
      <c r="G47" s="159" t="n"/>
      <c r="H47" s="159" t="n"/>
      <c r="I47" s="160" t="n"/>
    </row>
    <row r="48" ht="25" customHeight="1" s="151">
      <c r="A48" s="120" t="inlineStr">
        <is>
          <t>DELAYS-OPPORTUNITY</t>
        </is>
      </c>
      <c r="B48" s="159" t="n"/>
      <c r="C48" s="159" t="n"/>
      <c r="D48" s="159" t="n"/>
      <c r="E48" s="159" t="n"/>
      <c r="F48" s="159" t="n"/>
      <c r="G48" s="159" t="n"/>
      <c r="H48" s="159" t="n"/>
      <c r="I48" s="160" t="n"/>
    </row>
    <row r="49" ht="15" customHeight="1" s="151" thickBot="1">
      <c r="A49" s="155" t="inlineStr">
        <is>
          <t>New Detail Provided on Centrelink Carpark                                                               
Awaiting Direction on Service Clash Forrest Street
Awaiting Confirmation on Batters Treatment 
Awaiting finalised fencing details
Awaiting COGG confirmation on "Ballast Pile"
Instructions Provided for Laneway Sewer, Drainage</t>
        </is>
      </c>
      <c r="B49" s="124" t="n"/>
      <c r="C49" s="124" t="n"/>
      <c r="D49" s="124" t="n"/>
      <c r="E49" s="124" t="n"/>
      <c r="F49" s="124" t="n"/>
      <c r="G49" s="124" t="n"/>
      <c r="H49" s="124" t="n"/>
      <c r="I49" s="125" t="n"/>
    </row>
    <row r="50">
      <c r="A50" s="111" t="n"/>
      <c r="I50" s="113" t="n"/>
    </row>
    <row r="51" ht="49.5" customHeight="1" s="151">
      <c r="A51" s="111" t="n"/>
      <c r="I51" s="113" t="n"/>
    </row>
    <row r="52" ht="62.5" customHeight="1" s="151" thickBot="1">
      <c r="A52" s="134" t="n"/>
      <c r="B52" s="135" t="n"/>
      <c r="C52" s="135" t="n"/>
      <c r="D52" s="135" t="n"/>
      <c r="E52" s="135" t="n"/>
      <c r="F52" s="135" t="n"/>
      <c r="G52" s="135" t="n"/>
      <c r="H52" s="135" t="n"/>
      <c r="I52" s="136" t="n"/>
    </row>
    <row r="53" ht="25" customHeight="1" s="151">
      <c r="A53" s="137" t="inlineStr">
        <is>
          <t>HSEQ MESSAGES</t>
        </is>
      </c>
      <c r="B53" s="138" t="n"/>
      <c r="C53" s="138" t="n"/>
      <c r="D53" s="138" t="n"/>
      <c r="E53" s="138" t="n"/>
      <c r="F53" s="138" t="n"/>
      <c r="G53" s="138" t="n"/>
      <c r="H53" s="138" t="n"/>
      <c r="I53" s="139" t="n"/>
    </row>
    <row r="54" ht="18" customHeight="1" s="151">
      <c r="A54" s="53" t="inlineStr">
        <is>
          <t>TCD - Monthly Safety Focus:</t>
        </is>
      </c>
      <c r="B54" s="140" t="inlineStr">
        <is>
          <t>Underground Services</t>
        </is>
      </c>
      <c r="C54" s="159" t="n"/>
      <c r="D54" s="159" t="n"/>
      <c r="E54" s="159" t="n"/>
      <c r="F54" s="159" t="n"/>
      <c r="G54" s="159" t="n"/>
      <c r="H54" s="159" t="n"/>
      <c r="I54" s="118" t="n"/>
    </row>
    <row r="55" ht="24" customHeight="1" s="151">
      <c r="A55" s="53" t="inlineStr">
        <is>
          <t>TCD - Daily Safety Focus:</t>
        </is>
      </c>
      <c r="B55" s="141" t="inlineStr">
        <is>
          <t>Truck Movements</t>
        </is>
      </c>
      <c r="C55" s="159" t="n"/>
      <c r="D55" s="159" t="n"/>
      <c r="E55" s="159" t="n"/>
      <c r="F55" s="159" t="n"/>
      <c r="G55" s="159" t="n"/>
      <c r="H55" s="159" t="n"/>
      <c r="I55" s="160" t="n"/>
    </row>
    <row r="56" ht="18" customHeight="1" s="151">
      <c r="A56" s="54" t="inlineStr">
        <is>
          <t xml:space="preserve">Hazards Reported: </t>
        </is>
      </c>
      <c r="B56" s="55" t="inlineStr">
        <is>
          <t>Nil</t>
        </is>
      </c>
      <c r="C56" s="141" t="n"/>
      <c r="D56" s="159" t="n"/>
      <c r="E56" s="159" t="n"/>
      <c r="F56" s="159" t="n"/>
      <c r="G56" s="159" t="n"/>
      <c r="H56" s="159" t="n"/>
      <c r="I56" s="160" t="n"/>
    </row>
    <row r="57" ht="18" customHeight="1" s="151">
      <c r="A57" s="54" t="inlineStr">
        <is>
          <t>Incident Free Days</t>
        </is>
      </c>
      <c r="B57" s="55" t="n">
        <v>3</v>
      </c>
      <c r="C57" s="140" t="n"/>
      <c r="D57" s="159" t="n"/>
      <c r="E57" s="159" t="n"/>
      <c r="F57" s="159" t="n"/>
      <c r="G57" s="159" t="n"/>
      <c r="H57" s="159" t="n"/>
      <c r="I57" s="118" t="n"/>
    </row>
    <row r="58" ht="18" customHeight="1" s="151">
      <c r="A58" s="56" t="inlineStr">
        <is>
          <t>Other Notes</t>
        </is>
      </c>
      <c r="B58" s="142" t="n"/>
      <c r="C58" s="124" t="n"/>
      <c r="D58" s="124" t="n"/>
      <c r="E58" s="124" t="n"/>
      <c r="F58" s="124" t="n"/>
      <c r="G58" s="124" t="n"/>
      <c r="H58" s="124" t="n"/>
      <c r="I58" s="125" t="n"/>
    </row>
    <row r="59" ht="20.25" customHeight="1" s="151">
      <c r="A59" s="120" t="inlineStr">
        <is>
          <t xml:space="preserve">INCIDENTS &amp; REPORTS </t>
        </is>
      </c>
      <c r="B59" s="159" t="n"/>
      <c r="C59" s="159" t="n"/>
      <c r="D59" s="159" t="n"/>
      <c r="E59" s="159" t="n"/>
      <c r="F59" s="159" t="n"/>
      <c r="G59" s="159" t="n"/>
      <c r="H59" s="159" t="n"/>
      <c r="I59" s="160" t="n"/>
    </row>
    <row r="60" ht="25" customHeight="1" s="151">
      <c r="A60" s="57" t="n"/>
      <c r="B60" s="127" t="inlineStr">
        <is>
          <t>QTY</t>
        </is>
      </c>
      <c r="C60" s="130" t="inlineStr">
        <is>
          <t>Comments</t>
        </is>
      </c>
      <c r="D60" s="159" t="n"/>
      <c r="E60" s="159" t="n"/>
      <c r="F60" s="159" t="n"/>
      <c r="G60" s="159" t="n"/>
      <c r="H60" s="159" t="n"/>
      <c r="I60" s="160" t="n"/>
    </row>
    <row r="61" ht="25" customHeight="1" s="151">
      <c r="A61" s="58" t="inlineStr">
        <is>
          <t>INCIDENT</t>
        </is>
      </c>
      <c r="B61" s="127" t="n">
        <v>0</v>
      </c>
      <c r="C61" s="145" t="inlineStr">
        <is>
          <t>NA</t>
        </is>
      </c>
      <c r="D61" s="124" t="n"/>
      <c r="E61" s="124" t="n"/>
      <c r="F61" s="124" t="n"/>
      <c r="G61" s="124" t="n"/>
      <c r="H61" s="124" t="n"/>
      <c r="I61" s="125" t="n"/>
    </row>
    <row r="62" ht="25" customHeight="1" s="151">
      <c r="A62" s="59" t="inlineStr">
        <is>
          <t>IR</t>
        </is>
      </c>
      <c r="B62" s="60" t="n">
        <v>0</v>
      </c>
      <c r="C62" s="145" t="inlineStr">
        <is>
          <t>NA</t>
        </is>
      </c>
      <c r="D62" s="124" t="n"/>
      <c r="E62" s="124" t="n"/>
      <c r="F62" s="124" t="n"/>
      <c r="G62" s="124" t="n"/>
      <c r="H62" s="124" t="n"/>
      <c r="I62" s="125" t="n"/>
    </row>
    <row r="63" ht="25" customHeight="1" s="151" thickBot="1">
      <c r="A63" s="61" t="inlineStr">
        <is>
          <t>NCR</t>
        </is>
      </c>
      <c r="B63" s="62" t="n">
        <v>0</v>
      </c>
      <c r="C63" s="146" t="inlineStr">
        <is>
          <t>NA</t>
        </is>
      </c>
      <c r="D63" s="147" t="n"/>
      <c r="E63" s="147" t="n"/>
      <c r="F63" s="147" t="n"/>
      <c r="G63" s="147" t="n"/>
      <c r="H63" s="147" t="n"/>
      <c r="I63" s="148" t="n"/>
    </row>
    <row r="64" ht="20.25" customHeight="1" s="151">
      <c r="A64" s="137" t="inlineStr">
        <is>
          <t>COMMUNICATIONS</t>
        </is>
      </c>
      <c r="B64" s="138" t="n"/>
      <c r="C64" s="138" t="n"/>
      <c r="D64" s="138" t="n"/>
      <c r="E64" s="138" t="n"/>
      <c r="F64" s="138" t="n"/>
      <c r="G64" s="138" t="n"/>
      <c r="H64" s="138" t="n"/>
      <c r="I64" s="139" t="n"/>
    </row>
    <row r="65" ht="25" customHeight="1" s="151">
      <c r="A65" s="149" t="inlineStr">
        <is>
          <t>TGS MB1119-05 Scheme D implemented</t>
        </is>
      </c>
      <c r="B65" s="159" t="n"/>
      <c r="C65" s="159" t="n"/>
      <c r="D65" s="159" t="n"/>
      <c r="E65" s="159" t="n"/>
      <c r="F65" s="159" t="n"/>
      <c r="G65" s="159" t="n"/>
      <c r="H65" s="159" t="n"/>
      <c r="I65" s="160" t="n"/>
    </row>
    <row r="66" ht="25" customHeight="1" s="151">
      <c r="A66" s="120" t="inlineStr">
        <is>
          <t>PRODUCTION (CONSTRUCTION STATUS &amp; PROGRESS)</t>
        </is>
      </c>
      <c r="B66" s="159" t="n"/>
      <c r="C66" s="159" t="n"/>
      <c r="D66" s="159" t="n"/>
      <c r="E66" s="159" t="n"/>
      <c r="F66" s="159" t="n"/>
      <c r="G66" s="159" t="n"/>
      <c r="H66" s="159" t="n"/>
      <c r="I66" s="160" t="n"/>
    </row>
    <row r="67" ht="25" customHeight="1" s="151">
      <c r="A67" s="98" t="inlineStr">
        <is>
          <t>Subgrade Prep Monument Parade to Bayley inc Proof Roll and Testing</t>
        </is>
      </c>
      <c r="B67" s="64" t="n"/>
      <c r="C67" s="9" t="n"/>
      <c r="D67" s="9" t="n"/>
      <c r="E67" s="64" t="n"/>
      <c r="F67" s="64" t="n"/>
      <c r="G67" s="9" t="n"/>
      <c r="H67" s="64" t="n"/>
      <c r="I67" s="65" t="n"/>
    </row>
    <row r="68" ht="25" customHeight="1" s="151">
      <c r="A68" s="98" t="inlineStr">
        <is>
          <t>Trimming of batters/ Footpath area</t>
        </is>
      </c>
      <c r="B68" s="64" t="n"/>
      <c r="C68" s="9" t="n"/>
      <c r="D68" s="9" t="n"/>
      <c r="E68" s="64" t="n"/>
      <c r="F68" s="64" t="n"/>
      <c r="G68" s="9" t="n"/>
      <c r="H68" s="64" t="n"/>
      <c r="I68" s="65" t="n"/>
    </row>
    <row r="69" ht="30.5" customHeight="1" s="151">
      <c r="A69" s="98" t="inlineStr">
        <is>
          <t>Boxout of Limestone Blocks</t>
        </is>
      </c>
      <c r="B69" s="64" t="n"/>
      <c r="C69" s="9" t="n"/>
      <c r="D69" s="9" t="n"/>
      <c r="E69" s="64" t="n"/>
      <c r="F69" s="64" t="n"/>
      <c r="G69" s="9" t="n"/>
      <c r="H69" s="64" t="n"/>
      <c r="I69" s="65" t="n"/>
    </row>
    <row r="70" ht="30.5" customHeight="1" s="151">
      <c r="A70" s="98" t="inlineStr">
        <is>
          <t>Limestone Block Install</t>
        </is>
      </c>
      <c r="B70" s="64" t="n"/>
      <c r="C70" s="9" t="n"/>
      <c r="D70" s="9" t="n"/>
      <c r="E70" s="64" t="n"/>
      <c r="F70" s="64" t="n"/>
      <c r="G70" s="9" t="n"/>
      <c r="H70" s="64" t="n"/>
      <c r="I70" s="65" t="n"/>
    </row>
    <row r="71" ht="26.15" customHeight="1" s="151" thickBot="1">
      <c r="A71" s="123" t="inlineStr">
        <is>
          <t>Photos</t>
        </is>
      </c>
      <c r="B71" s="124" t="n"/>
      <c r="C71" s="124" t="n"/>
      <c r="D71" s="124" t="n"/>
      <c r="E71" s="124" t="n"/>
      <c r="F71" s="124" t="n"/>
      <c r="G71" s="124" t="n"/>
      <c r="H71" s="124" t="n"/>
      <c r="I71" s="125" t="n"/>
    </row>
    <row r="72" ht="23.15" customHeight="1" s="151">
      <c r="A72" s="66" t="n"/>
      <c r="B72" s="67" t="n"/>
      <c r="C72" s="67" t="n"/>
      <c r="D72" s="67" t="n"/>
      <c r="E72" s="67" t="n"/>
      <c r="F72" s="67" t="n"/>
      <c r="G72" s="67" t="n"/>
      <c r="H72" s="67" t="n"/>
      <c r="I72" s="68" t="n"/>
    </row>
    <row r="73" ht="23.15" customHeight="1" s="151">
      <c r="A73" s="69" t="n"/>
      <c r="B73" s="70" t="n"/>
      <c r="C73" s="70" t="n"/>
      <c r="D73" s="70" t="n"/>
      <c r="E73" s="70" t="n"/>
      <c r="F73" s="70" t="n"/>
      <c r="G73" s="70" t="n"/>
      <c r="H73" s="70" t="n"/>
      <c r="I73" s="71" t="n"/>
    </row>
    <row r="74" ht="15" customHeight="1" s="151">
      <c r="A74" s="69" t="n"/>
      <c r="B74" s="70" t="n"/>
      <c r="C74" s="70" t="n"/>
      <c r="D74" s="70" t="n"/>
      <c r="E74" s="70" t="n"/>
      <c r="F74" s="70" t="n"/>
      <c r="G74" s="70" t="n"/>
      <c r="H74" s="70" t="n"/>
      <c r="I74" s="71" t="n"/>
    </row>
    <row r="75" ht="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H94" s="70" t="n"/>
      <c r="I94" s="71" t="n"/>
    </row>
    <row r="95" ht="25" customFormat="1" customHeight="1" s="10">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thickBot="1">
      <c r="A110" s="72" t="n"/>
      <c r="B110" s="73" t="n"/>
      <c r="C110" s="73" t="n"/>
      <c r="D110" s="73" t="n"/>
      <c r="E110" s="73" t="n"/>
      <c r="F110" s="73" t="n"/>
      <c r="G110" s="73" t="n"/>
      <c r="H110" s="73" t="n"/>
      <c r="I110" s="74"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2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8"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thickBot="1">
      <c r="A135" s="69" t="n"/>
      <c r="B135" s="70" t="n"/>
      <c r="C135" s="70" t="n"/>
      <c r="D135" s="70" t="n"/>
      <c r="E135" s="70" t="n"/>
      <c r="F135" s="70" t="n"/>
      <c r="G135" s="70" t="n"/>
      <c r="H135" s="70" t="n"/>
      <c r="I135" s="71" t="n"/>
      <c r="J135" s="75"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6" customHeight="1" s="151">
      <c r="A142" s="69" t="n"/>
      <c r="B142" s="70" t="n"/>
      <c r="C142" s="70" t="n"/>
      <c r="D142" s="70" t="n"/>
      <c r="E142" s="70" t="n"/>
      <c r="F142" s="70" t="n"/>
      <c r="G142" s="70" t="n"/>
      <c r="H142" s="70" t="n"/>
      <c r="I142" s="71" t="n"/>
    </row>
    <row r="143" ht="30.75" customHeight="1" s="151">
      <c r="A143" s="143" t="n"/>
      <c r="E143" s="144" t="n"/>
      <c r="I143" s="113" t="n"/>
    </row>
    <row r="144">
      <c r="A144" s="7" t="n"/>
      <c r="I144" s="8" t="n"/>
    </row>
    <row r="145">
      <c r="A145" s="7" t="n"/>
      <c r="I145" s="8"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ht="16" customHeight="1" s="151" thickBot="1">
      <c r="A197" s="4" t="n"/>
      <c r="B197" s="5" t="n"/>
      <c r="C197" s="5" t="n"/>
      <c r="D197" s="5" t="n"/>
      <c r="E197" s="5" t="n"/>
      <c r="F197" s="5" t="n"/>
      <c r="G197" s="5" t="n"/>
      <c r="H197" s="5" t="n"/>
      <c r="I197" s="6" t="n"/>
    </row>
    <row r="198">
      <c r="A198" s="7" t="n"/>
      <c r="I198" s="8" t="n"/>
    </row>
    <row r="199">
      <c r="A199" s="7" t="n"/>
      <c r="I199" s="8" t="n"/>
    </row>
    <row r="200">
      <c r="A200" s="7" t="n"/>
      <c r="I200" s="8" t="n"/>
    </row>
    <row r="201">
      <c r="A201" s="7" t="n"/>
      <c r="I201" s="8" t="n"/>
    </row>
    <row r="202">
      <c r="A202" s="7" t="n"/>
      <c r="I202" s="8" t="n"/>
    </row>
    <row r="203">
      <c r="A203" s="7" t="n"/>
      <c r="I203" s="8" t="n"/>
    </row>
    <row r="204" ht="16" customHeight="1" s="151" thickBot="1">
      <c r="A204" s="4" t="n"/>
      <c r="B204" s="5" t="n"/>
      <c r="C204" s="5" t="n"/>
      <c r="D204" s="5" t="n"/>
      <c r="E204" s="5" t="n"/>
      <c r="F204" s="5" t="n"/>
      <c r="G204" s="5" t="n"/>
      <c r="H204" s="5" t="n"/>
      <c r="I204" s="6" t="n"/>
    </row>
  </sheetData>
  <mergeCells count="39">
    <mergeCell ref="C61:I61"/>
    <mergeCell ref="A65:I65"/>
    <mergeCell ref="D13:F13"/>
    <mergeCell ref="G13:I13"/>
    <mergeCell ref="B8:D8"/>
    <mergeCell ref="B54:I54"/>
    <mergeCell ref="A66:I66"/>
    <mergeCell ref="B46:C46"/>
    <mergeCell ref="A12:I12"/>
    <mergeCell ref="C57:I57"/>
    <mergeCell ref="D47:I47"/>
    <mergeCell ref="B58:I58"/>
    <mergeCell ref="A71:I71"/>
    <mergeCell ref="A5:I5"/>
    <mergeCell ref="A143:D143"/>
    <mergeCell ref="E143:I143"/>
    <mergeCell ref="A49:I52"/>
    <mergeCell ref="B9:D9"/>
    <mergeCell ref="C62:I62"/>
    <mergeCell ref="A53:I53"/>
    <mergeCell ref="B6:D6"/>
    <mergeCell ref="B44:C44"/>
    <mergeCell ref="A13:C13"/>
    <mergeCell ref="A10:I10"/>
    <mergeCell ref="A1:I4"/>
    <mergeCell ref="A47:B47"/>
    <mergeCell ref="D44:I44"/>
    <mergeCell ref="B7:D7"/>
    <mergeCell ref="C63:I63"/>
    <mergeCell ref="A48:I48"/>
    <mergeCell ref="A64:I64"/>
    <mergeCell ref="A59:I59"/>
    <mergeCell ref="A11:I11"/>
    <mergeCell ref="D46:I46"/>
    <mergeCell ref="B55:I55"/>
    <mergeCell ref="C56:I56"/>
    <mergeCell ref="B45:C45"/>
    <mergeCell ref="D45:I45"/>
    <mergeCell ref="C60:I60"/>
  </mergeCells>
  <printOptions horizontalCentered="1"/>
  <pageMargins left="0.2362204724409449" right="0.2362204724409449" top="0.7480314960629921" bottom="0.7480314960629921" header="0.3149606299212598" footer="0.3149606299212598"/>
  <pageSetup orientation="portrait" scale="35" fitToHeight="0"/>
  <rowBreaks count="1" manualBreakCount="1">
    <brk id="70" min="0" max="8" man="1"/>
  </rowBreaks>
</worksheet>
</file>

<file path=xl/worksheets/sheet22.xml><?xml version="1.0" encoding="utf-8"?>
<worksheet xmlns="http://schemas.openxmlformats.org/spreadsheetml/2006/main">
  <sheetPr>
    <outlinePr summaryBelow="1" summaryRight="1"/>
    <pageSetUpPr fitToPage="1"/>
  </sheetPr>
  <dimension ref="A1:J204"/>
  <sheetViews>
    <sheetView view="pageBreakPreview" zoomScale="70" zoomScaleNormal="55" zoomScaleSheetLayoutView="70" workbookViewId="0">
      <selection activeCell="D23" sqref="D2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45925</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117</v>
      </c>
      <c r="C9" s="107" t="n"/>
      <c r="D9" s="107" t="n"/>
      <c r="E9" s="106" t="n"/>
      <c r="F9" s="20" t="n"/>
      <c r="G9" s="20" t="n"/>
      <c r="H9" s="16" t="inlineStr">
        <is>
          <t>Finish:</t>
        </is>
      </c>
      <c r="I9" s="18" t="n">
        <v>0.7708333333333334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58" t="inlineStr">
        <is>
          <t>Temperature: 30 degrees  Wind:  30km/h S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Daniel McAuffile</t>
        </is>
      </c>
      <c r="H15" s="26" t="inlineStr">
        <is>
          <t>Operator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v>12</v>
      </c>
      <c r="G16" s="29" t="inlineStr">
        <is>
          <t>Mosley,Joshua</t>
        </is>
      </c>
      <c r="H16" s="26" t="inlineStr">
        <is>
          <t>Surveyor</t>
        </is>
      </c>
      <c r="I16" s="30" t="n">
        <v>6</v>
      </c>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Mullin, Connell</t>
        </is>
      </c>
      <c r="H17" s="26" t="inlineStr">
        <is>
          <t>Operator</t>
        </is>
      </c>
      <c r="I17" s="30" t="n">
        <v>12</v>
      </c>
    </row>
    <row r="18" ht="23.15" customHeight="1" s="151">
      <c r="A18" s="25" t="inlineStr">
        <is>
          <t>GRIFFITHS, Ashley</t>
        </is>
      </c>
      <c r="B18" s="26" t="inlineStr">
        <is>
          <t>Supervisor</t>
        </is>
      </c>
      <c r="C18" s="31" t="n"/>
      <c r="D18" s="28" t="n"/>
      <c r="E18" s="28" t="n"/>
      <c r="F18" s="26" t="n"/>
      <c r="G18" s="29" t="n"/>
      <c r="H18" s="26" t="n"/>
      <c r="I18" s="30" t="n"/>
    </row>
    <row r="19" ht="23.15" customHeight="1" s="151">
      <c r="A19" s="25" t="inlineStr">
        <is>
          <t>THOMPSON,Cheryl</t>
        </is>
      </c>
      <c r="B19" s="26" t="inlineStr">
        <is>
          <t>HSET</t>
        </is>
      </c>
      <c r="C19" s="31" t="n"/>
      <c r="D19" s="28" t="n"/>
      <c r="E19" s="28" t="n"/>
      <c r="F19" s="26" t="n"/>
      <c r="G19" s="29" t="inlineStr">
        <is>
          <t>Geraldton Natural Limestone</t>
        </is>
      </c>
      <c r="H19" s="26" t="inlineStr">
        <is>
          <t>Labourers</t>
        </is>
      </c>
      <c r="I19" s="30" t="n">
        <v>40</v>
      </c>
    </row>
    <row r="20" ht="23.15" customHeight="1" s="151">
      <c r="A20" s="25" t="inlineStr">
        <is>
          <t>SKINNER,Jamie</t>
        </is>
      </c>
      <c r="B20" s="26" t="inlineStr">
        <is>
          <t>Supervisor</t>
        </is>
      </c>
      <c r="C20" s="31" t="n"/>
      <c r="D20" s="28" t="n"/>
      <c r="E20" s="28" t="n"/>
      <c r="F20" s="26" t="n"/>
      <c r="G20" s="29" t="n"/>
      <c r="H20" s="26" t="n"/>
      <c r="I20" s="30" t="n"/>
    </row>
    <row r="21" ht="23.15" customHeight="1" s="151">
      <c r="A21" s="99" t="inlineStr">
        <is>
          <t>TONER, Ultan</t>
        </is>
      </c>
      <c r="B21" s="26" t="inlineStr">
        <is>
          <t>Supervisor</t>
        </is>
      </c>
      <c r="C21" s="31" t="n">
        <v>12</v>
      </c>
      <c r="D21" s="28" t="n"/>
      <c r="E21" s="28" t="n"/>
      <c r="F21" s="26" t="n"/>
      <c r="G21" s="29" t="n"/>
      <c r="H21" s="26" t="n"/>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131" t="inlineStr">
        <is>
          <t xml:space="preserve">Total Indirect Personnel onsite: </t>
        </is>
      </c>
      <c r="B24" s="34">
        <f>COUNT(C15:C24)</f>
        <v/>
      </c>
      <c r="C24" s="28" t="n"/>
      <c r="D24" s="28" t="n"/>
      <c r="E24" s="28" t="n"/>
      <c r="F24" s="26" t="n"/>
      <c r="G24" s="78" t="n"/>
      <c r="H24" s="77" t="n"/>
      <c r="I24" s="30" t="n"/>
    </row>
    <row r="25" ht="23.15" customHeight="1" s="151">
      <c r="A25" s="131" t="inlineStr">
        <is>
          <t xml:space="preserve">Total Indirect Personnel hours: </t>
        </is>
      </c>
      <c r="B25" s="34">
        <f>SUM(C15:C23)</f>
        <v/>
      </c>
      <c r="C25" s="31" t="n"/>
      <c r="D25" s="28" t="n"/>
      <c r="E25" s="28" t="n"/>
      <c r="F25" s="26" t="n"/>
      <c r="G25" s="35" t="inlineStr">
        <is>
          <t>Total Subcontractor on-site:</t>
        </is>
      </c>
      <c r="H25" s="36" t="n">
        <v>13</v>
      </c>
      <c r="I25" s="30" t="n"/>
    </row>
    <row r="26" ht="23.15" customHeight="1" s="151">
      <c r="A26" s="131" t="inlineStr">
        <is>
          <t xml:space="preserve">Total Direct Personnel onsite:  </t>
        </is>
      </c>
      <c r="B26" s="34">
        <f>COUNTIF(F15:F27,"&gt;0")</f>
        <v/>
      </c>
      <c r="C26" s="34" t="n"/>
      <c r="D26" s="28" t="n"/>
      <c r="E26" s="28" t="n"/>
      <c r="F26" s="37" t="n"/>
      <c r="G26" s="35" t="inlineStr">
        <is>
          <t>Total Subcontractor hours:</t>
        </is>
      </c>
      <c r="H26" s="36">
        <f>SUM(I11:I23)</f>
        <v/>
      </c>
      <c r="I26" s="130" t="n"/>
    </row>
    <row r="27" ht="23.15" customHeight="1" s="151">
      <c r="A27" s="131" t="inlineStr">
        <is>
          <t xml:space="preserve">Total Direct Personnel hours: </t>
        </is>
      </c>
      <c r="B27" s="34">
        <f>SUM(F15:F27)</f>
        <v/>
      </c>
      <c r="C27" s="34" t="n"/>
      <c r="D27" s="34" t="n"/>
      <c r="E27" s="34" t="n"/>
      <c r="F27" s="34" t="n"/>
      <c r="G27" s="34" t="n"/>
      <c r="H27" s="34" t="n"/>
      <c r="I27" s="130" t="n"/>
    </row>
    <row r="28" ht="25" customHeight="1" s="151">
      <c r="A28" s="39" t="inlineStr">
        <is>
          <t>PLANT &amp; EQUIPMENT</t>
        </is>
      </c>
      <c r="B28" s="40" t="n"/>
      <c r="C28" s="40" t="n"/>
      <c r="D28" s="40" t="n"/>
      <c r="E28" s="40" t="n"/>
      <c r="F28" s="40" t="n"/>
      <c r="G28" s="40" t="n"/>
      <c r="H28" s="40" t="n"/>
      <c r="I28" s="41" t="n"/>
    </row>
    <row r="29" ht="24" customHeight="1" s="151">
      <c r="A29" s="126" t="inlineStr">
        <is>
          <t>Plant</t>
        </is>
      </c>
      <c r="B29" s="127" t="inlineStr">
        <is>
          <t>ID</t>
        </is>
      </c>
      <c r="C29" s="127" t="inlineStr">
        <is>
          <t>Hours</t>
        </is>
      </c>
      <c r="D29" s="127" t="inlineStr">
        <is>
          <t xml:space="preserve"> Vehicles</t>
        </is>
      </c>
      <c r="E29" s="127" t="inlineStr">
        <is>
          <t>ID</t>
        </is>
      </c>
      <c r="F29" s="127" t="inlineStr">
        <is>
          <t>QTY</t>
        </is>
      </c>
      <c r="G29" s="42" t="inlineStr">
        <is>
          <t>Site Facilities</t>
        </is>
      </c>
      <c r="H29" s="42" t="inlineStr">
        <is>
          <t>ID</t>
        </is>
      </c>
      <c r="I29" s="43" t="inlineStr">
        <is>
          <t>Qty</t>
        </is>
      </c>
    </row>
    <row r="30" ht="23.15" customHeight="1" s="151">
      <c r="A30" s="25" t="inlineStr">
        <is>
          <t>Komatsu WA320</t>
        </is>
      </c>
      <c r="B30" s="26" t="inlineStr">
        <is>
          <t>FWL18</t>
        </is>
      </c>
      <c r="C30" s="26" t="n">
        <v>4</v>
      </c>
      <c r="D30" s="31" t="inlineStr">
        <is>
          <t>Hilux</t>
        </is>
      </c>
      <c r="E30" s="31" t="inlineStr">
        <is>
          <t>DLV90</t>
        </is>
      </c>
      <c r="F30" s="31" t="n">
        <v>1</v>
      </c>
      <c r="G30" s="31" t="inlineStr">
        <is>
          <t>Office 40ft</t>
        </is>
      </c>
      <c r="H30" s="31" t="n">
        <v>9255540</v>
      </c>
      <c r="I30" s="30" t="n">
        <v>1</v>
      </c>
    </row>
    <row r="31" ht="23.15" customHeight="1" s="151">
      <c r="A31" s="25" t="inlineStr">
        <is>
          <t>Wacker Neuson DPU</t>
        </is>
      </c>
      <c r="B31" s="26" t="inlineStr">
        <is>
          <t>DPC15</t>
        </is>
      </c>
      <c r="C31" s="26" t="n"/>
      <c r="D31" s="31" t="inlineStr">
        <is>
          <t>Hilux</t>
        </is>
      </c>
      <c r="E31" s="31" t="inlineStr">
        <is>
          <t>1DLV04</t>
        </is>
      </c>
      <c r="F31" s="31" t="n">
        <v>1</v>
      </c>
      <c r="G31" s="31" t="inlineStr">
        <is>
          <t>Sea Container 20ft</t>
        </is>
      </c>
      <c r="H31" s="26" t="n">
        <v>951200</v>
      </c>
      <c r="I31" s="30" t="n">
        <v>1</v>
      </c>
    </row>
    <row r="32" ht="23.15" customHeight="1" s="151">
      <c r="A32" s="44" t="inlineStr">
        <is>
          <t>Watercart</t>
        </is>
      </c>
      <c r="B32" s="31" t="inlineStr">
        <is>
          <t>WC04</t>
        </is>
      </c>
      <c r="C32" s="26" t="n">
        <v>5</v>
      </c>
      <c r="D32" s="31" t="n"/>
      <c r="E32" s="26" t="n"/>
      <c r="F32" s="31" t="n"/>
      <c r="G32" s="31" t="inlineStr">
        <is>
          <t>Site Sentry Tower</t>
        </is>
      </c>
      <c r="H32" s="31" t="n"/>
      <c r="I32" s="30" t="n">
        <v>2</v>
      </c>
    </row>
    <row r="33" ht="23.15" customHeight="1" s="151">
      <c r="A33" s="44" t="inlineStr">
        <is>
          <t>8T Excavator</t>
        </is>
      </c>
      <c r="B33" s="45" t="inlineStr">
        <is>
          <t>AMG 014</t>
        </is>
      </c>
      <c r="C33" s="26" t="n"/>
      <c r="D33" s="31" t="n"/>
      <c r="E33" s="31" t="n"/>
      <c r="F33" s="31" t="n"/>
      <c r="G33" s="31" t="inlineStr">
        <is>
          <t>Skip Bin</t>
        </is>
      </c>
      <c r="H33" s="31" t="n"/>
      <c r="I33" s="30" t="n">
        <v>1</v>
      </c>
    </row>
    <row r="34" ht="23.15" customHeight="1" s="151">
      <c r="A34" s="31" t="inlineStr">
        <is>
          <t>Mini Tipper</t>
        </is>
      </c>
      <c r="B34" s="31" t="inlineStr">
        <is>
          <t>SLS05</t>
        </is>
      </c>
      <c r="C34" s="31" t="n"/>
      <c r="D34" s="31" t="n"/>
      <c r="E34" s="31" t="n"/>
      <c r="F34" s="31" t="n"/>
      <c r="G34" s="31" t="inlineStr">
        <is>
          <t>Hydrocarbon Bund</t>
        </is>
      </c>
      <c r="H34" s="31" t="n"/>
      <c r="I34" s="30" t="n">
        <v>1</v>
      </c>
    </row>
    <row r="35" ht="23.15" customHeight="1" s="151">
      <c r="A35" s="76" t="inlineStr">
        <is>
          <t>1 t Excavator</t>
        </is>
      </c>
      <c r="B35" s="31" t="inlineStr">
        <is>
          <t>SLS03</t>
        </is>
      </c>
      <c r="C35" s="31" t="n">
        <v>2</v>
      </c>
      <c r="D35" s="31" t="n"/>
      <c r="E35" s="31" t="n"/>
      <c r="F35" s="31" t="n"/>
      <c r="G35" s="31" t="inlineStr">
        <is>
          <t>Temp Fence</t>
        </is>
      </c>
      <c r="H35" s="26" t="n"/>
      <c r="I35" s="30" t="n">
        <v>1</v>
      </c>
    </row>
    <row r="36" ht="24" customHeight="1" s="151">
      <c r="A36" s="76" t="inlineStr">
        <is>
          <t>14t Excavator with GPS</t>
        </is>
      </c>
      <c r="B36" s="31" t="inlineStr">
        <is>
          <t>EX153</t>
        </is>
      </c>
      <c r="C36" s="31" t="n">
        <v>8</v>
      </c>
      <c r="D36" s="31" t="n"/>
      <c r="E36" s="31" t="n"/>
      <c r="F36" s="31" t="n"/>
      <c r="G36" s="2" t="n"/>
      <c r="H36" s="2" t="n"/>
      <c r="I36" s="3" t="n"/>
    </row>
    <row r="37" ht="24" customHeight="1" s="151">
      <c r="A37" s="76" t="inlineStr">
        <is>
          <t>5t Excavator</t>
        </is>
      </c>
      <c r="B37" s="31" t="inlineStr">
        <is>
          <t>A118</t>
        </is>
      </c>
      <c r="C37" s="31" t="n">
        <v>2</v>
      </c>
      <c r="D37" s="31" t="n"/>
      <c r="E37" s="31" t="n"/>
      <c r="F37" s="31" t="n"/>
      <c r="G37" s="2" t="n"/>
      <c r="H37" s="2" t="n"/>
      <c r="I37" s="3" t="n"/>
    </row>
    <row r="38" ht="24" customHeight="1" s="151">
      <c r="A38" s="44" t="inlineStr">
        <is>
          <t>Padfoot/ Smooth Drum Roller</t>
        </is>
      </c>
      <c r="B38" s="31" t="inlineStr">
        <is>
          <t>RR 03</t>
        </is>
      </c>
      <c r="C38" s="26" t="n"/>
      <c r="D38" s="31" t="n"/>
      <c r="E38" s="31" t="n"/>
      <c r="F38" s="31" t="n"/>
      <c r="G38" s="2" t="n"/>
      <c r="H38" s="2" t="n"/>
      <c r="I38" s="3" t="n"/>
    </row>
    <row r="39" ht="24" customHeight="1" s="151">
      <c r="A39" s="44" t="inlineStr">
        <is>
          <t>Multi Roller</t>
        </is>
      </c>
      <c r="B39" s="31" t="n">
        <v>256</v>
      </c>
      <c r="C39" s="26" t="n"/>
      <c r="D39" s="31" t="n"/>
      <c r="E39" s="31" t="n"/>
      <c r="F39" s="31" t="n"/>
      <c r="G39" s="2" t="n"/>
      <c r="H39" s="2" t="n"/>
      <c r="I39" s="3" t="n"/>
    </row>
    <row r="40" ht="24" customHeight="1" s="151">
      <c r="A40" s="44" t="inlineStr">
        <is>
          <t>Positrak SSL</t>
        </is>
      </c>
      <c r="B40" s="31" t="inlineStr">
        <is>
          <t>SSL08</t>
        </is>
      </c>
      <c r="C40" s="26" t="n">
        <v>5</v>
      </c>
      <c r="D40" s="31" t="n"/>
      <c r="E40" s="31" t="n"/>
      <c r="F40" s="31" t="n"/>
      <c r="G40" s="2" t="n"/>
      <c r="H40" s="2" t="n"/>
      <c r="I40" s="3" t="n"/>
    </row>
    <row r="41" ht="24" customHeight="1" s="151">
      <c r="A41" s="44" t="inlineStr">
        <is>
          <t>6 Wheel Tipper</t>
        </is>
      </c>
      <c r="B41" s="31" t="inlineStr">
        <is>
          <t>T091</t>
        </is>
      </c>
      <c r="C41" s="26" t="n">
        <v>5</v>
      </c>
      <c r="D41" s="31" t="n"/>
      <c r="E41" s="31" t="n"/>
      <c r="F41" s="31" t="n"/>
      <c r="G41" s="2" t="n"/>
      <c r="H41" s="2" t="n"/>
      <c r="I41" s="3" t="n"/>
    </row>
    <row r="42" ht="24" customHeight="1" s="151">
      <c r="A42" s="44" t="inlineStr">
        <is>
          <t>Grader</t>
        </is>
      </c>
      <c r="B42" s="31" t="inlineStr">
        <is>
          <t>SLS01</t>
        </is>
      </c>
      <c r="C42" s="26" t="n">
        <v>8</v>
      </c>
      <c r="D42" s="31" t="n"/>
      <c r="E42" s="31" t="n"/>
      <c r="F42" s="31" t="n"/>
      <c r="G42" s="2" t="n"/>
      <c r="H42" s="2" t="n"/>
      <c r="I42" s="3" t="n"/>
    </row>
    <row r="43" ht="24" customHeight="1" s="151">
      <c r="A43" s="44" t="n"/>
      <c r="B43" s="31" t="n"/>
      <c r="C43" s="26" t="n"/>
      <c r="D43" s="2" t="n"/>
      <c r="E43" s="2" t="n"/>
      <c r="F43" s="2" t="n"/>
      <c r="G43" s="2" t="n"/>
      <c r="H43" s="2" t="n"/>
      <c r="I43" s="3" t="n"/>
    </row>
    <row r="44" ht="18" customHeight="1" s="151">
      <c r="A44" s="46" t="n">
        <v>0</v>
      </c>
      <c r="B44" s="128" t="inlineStr">
        <is>
          <t xml:space="preserve">Repairs Required </t>
        </is>
      </c>
      <c r="C44" s="118" t="n"/>
      <c r="D44" s="129" t="inlineStr">
        <is>
          <t>N/A</t>
        </is>
      </c>
      <c r="E44" s="159" t="n"/>
      <c r="F44" s="159" t="n"/>
      <c r="G44" s="159" t="n"/>
      <c r="H44" s="159" t="n"/>
      <c r="I44" s="160" t="n"/>
    </row>
    <row r="45" ht="18" customHeight="1" s="151">
      <c r="A45" s="47" t="n">
        <v>0</v>
      </c>
      <c r="B45" s="128" t="inlineStr">
        <is>
          <t>Scheduled Service</t>
        </is>
      </c>
      <c r="C45" s="118" t="n"/>
      <c r="D45" s="129" t="inlineStr">
        <is>
          <t>N/A</t>
        </is>
      </c>
      <c r="E45" s="159" t="n"/>
      <c r="F45" s="159" t="n"/>
      <c r="G45" s="159" t="n"/>
      <c r="H45" s="159" t="n"/>
      <c r="I45" s="160" t="n"/>
    </row>
    <row r="46" ht="18" customHeight="1" s="151">
      <c r="A46" s="48" t="n">
        <v>0</v>
      </c>
      <c r="B46" s="128" t="n"/>
      <c r="C46" s="118" t="n"/>
      <c r="D46" s="129" t="inlineStr">
        <is>
          <t>N/A</t>
        </is>
      </c>
      <c r="E46" s="159" t="n"/>
      <c r="F46" s="159" t="n"/>
      <c r="G46" s="159" t="n"/>
      <c r="H46" s="159" t="n"/>
      <c r="I46" s="160" t="n"/>
    </row>
    <row r="47" ht="23.15" customHeight="1" s="151">
      <c r="A47" s="131" t="inlineStr">
        <is>
          <t xml:space="preserve">Total Plant and Equipment Hours: </t>
        </is>
      </c>
      <c r="B47" s="118" t="n"/>
      <c r="C47" s="49">
        <f>SUM(C30:C43)</f>
        <v/>
      </c>
      <c r="D47" s="132" t="n"/>
      <c r="E47" s="159" t="n"/>
      <c r="F47" s="159" t="n"/>
      <c r="G47" s="159" t="n"/>
      <c r="H47" s="159" t="n"/>
      <c r="I47" s="160" t="n"/>
    </row>
    <row r="48" ht="25" customHeight="1" s="151">
      <c r="A48" s="120" t="inlineStr">
        <is>
          <t>DELAYS-OPPORTUNITY</t>
        </is>
      </c>
      <c r="B48" s="159" t="n"/>
      <c r="C48" s="159" t="n"/>
      <c r="D48" s="159" t="n"/>
      <c r="E48" s="159" t="n"/>
      <c r="F48" s="159" t="n"/>
      <c r="G48" s="159" t="n"/>
      <c r="H48" s="159" t="n"/>
      <c r="I48" s="160" t="n"/>
    </row>
    <row r="49" ht="15" customHeight="1" s="151" thickBot="1">
      <c r="A49" s="155" t="inlineStr">
        <is>
          <t>New Detail Provided on Centrelink Carpark                                                               
Awaiting Direction on Service Clash Forrest Street
Awaiting Confirmation on Batters Treatment 
Awaiting finalised fencing details
Awaiting COGG confirmation on "Ballast Pile"
Instructions Provided for Laneway Sewer, Drainage</t>
        </is>
      </c>
      <c r="B49" s="124" t="n"/>
      <c r="C49" s="124" t="n"/>
      <c r="D49" s="124" t="n"/>
      <c r="E49" s="124" t="n"/>
      <c r="F49" s="124" t="n"/>
      <c r="G49" s="124" t="n"/>
      <c r="H49" s="124" t="n"/>
      <c r="I49" s="125" t="n"/>
    </row>
    <row r="50">
      <c r="A50" s="111" t="n"/>
      <c r="I50" s="113" t="n"/>
    </row>
    <row r="51" ht="49.5" customHeight="1" s="151">
      <c r="A51" s="111" t="n"/>
      <c r="I51" s="113" t="n"/>
    </row>
    <row r="52" ht="62.5" customHeight="1" s="151" thickBot="1">
      <c r="A52" s="134" t="n"/>
      <c r="B52" s="135" t="n"/>
      <c r="C52" s="135" t="n"/>
      <c r="D52" s="135" t="n"/>
      <c r="E52" s="135" t="n"/>
      <c r="F52" s="135" t="n"/>
      <c r="G52" s="135" t="n"/>
      <c r="H52" s="135" t="n"/>
      <c r="I52" s="136" t="n"/>
    </row>
    <row r="53" ht="25" customHeight="1" s="151">
      <c r="A53" s="137" t="inlineStr">
        <is>
          <t>HSEQ MESSAGES</t>
        </is>
      </c>
      <c r="B53" s="138" t="n"/>
      <c r="C53" s="138" t="n"/>
      <c r="D53" s="138" t="n"/>
      <c r="E53" s="138" t="n"/>
      <c r="F53" s="138" t="n"/>
      <c r="G53" s="138" t="n"/>
      <c r="H53" s="138" t="n"/>
      <c r="I53" s="139" t="n"/>
    </row>
    <row r="54" ht="18" customHeight="1" s="151">
      <c r="A54" s="53" t="inlineStr">
        <is>
          <t>TCD - Monthly Safety Focus:</t>
        </is>
      </c>
      <c r="B54" s="140" t="inlineStr">
        <is>
          <t>Underground Services</t>
        </is>
      </c>
      <c r="C54" s="159" t="n"/>
      <c r="D54" s="159" t="n"/>
      <c r="E54" s="159" t="n"/>
      <c r="F54" s="159" t="n"/>
      <c r="G54" s="159" t="n"/>
      <c r="H54" s="159" t="n"/>
      <c r="I54" s="118" t="n"/>
    </row>
    <row r="55" ht="24" customHeight="1" s="151">
      <c r="A55" s="53" t="inlineStr">
        <is>
          <t>TCD - Daily Safety Focus:</t>
        </is>
      </c>
      <c r="B55" s="141" t="inlineStr">
        <is>
          <t>SIMOPS</t>
        </is>
      </c>
      <c r="C55" s="159" t="n"/>
      <c r="D55" s="159" t="n"/>
      <c r="E55" s="159" t="n"/>
      <c r="F55" s="159" t="n"/>
      <c r="G55" s="159" t="n"/>
      <c r="H55" s="159" t="n"/>
      <c r="I55" s="160" t="n"/>
    </row>
    <row r="56" ht="18" customHeight="1" s="151">
      <c r="A56" s="54" t="inlineStr">
        <is>
          <t xml:space="preserve">Hazards Reported: </t>
        </is>
      </c>
      <c r="B56" s="55" t="inlineStr">
        <is>
          <t>Nil</t>
        </is>
      </c>
      <c r="C56" s="141" t="n"/>
      <c r="D56" s="159" t="n"/>
      <c r="E56" s="159" t="n"/>
      <c r="F56" s="159" t="n"/>
      <c r="G56" s="159" t="n"/>
      <c r="H56" s="159" t="n"/>
      <c r="I56" s="160" t="n"/>
    </row>
    <row r="57" ht="18" customHeight="1" s="151">
      <c r="A57" s="54" t="inlineStr">
        <is>
          <t>Incident Free Days</t>
        </is>
      </c>
      <c r="B57" s="55" t="n">
        <v>4</v>
      </c>
      <c r="C57" s="140" t="n"/>
      <c r="D57" s="159" t="n"/>
      <c r="E57" s="159" t="n"/>
      <c r="F57" s="159" t="n"/>
      <c r="G57" s="159" t="n"/>
      <c r="H57" s="159" t="n"/>
      <c r="I57" s="118" t="n"/>
    </row>
    <row r="58" ht="18" customHeight="1" s="151">
      <c r="A58" s="56" t="inlineStr">
        <is>
          <t>Other Notes</t>
        </is>
      </c>
      <c r="B58" s="142" t="n"/>
      <c r="C58" s="124" t="n"/>
      <c r="D58" s="124" t="n"/>
      <c r="E58" s="124" t="n"/>
      <c r="F58" s="124" t="n"/>
      <c r="G58" s="124" t="n"/>
      <c r="H58" s="124" t="n"/>
      <c r="I58" s="125" t="n"/>
    </row>
    <row r="59" ht="20.25" customHeight="1" s="151">
      <c r="A59" s="120" t="inlineStr">
        <is>
          <t xml:space="preserve">INCIDENTS &amp; REPORTS </t>
        </is>
      </c>
      <c r="B59" s="159" t="n"/>
      <c r="C59" s="159" t="n"/>
      <c r="D59" s="159" t="n"/>
      <c r="E59" s="159" t="n"/>
      <c r="F59" s="159" t="n"/>
      <c r="G59" s="159" t="n"/>
      <c r="H59" s="159" t="n"/>
      <c r="I59" s="160" t="n"/>
    </row>
    <row r="60" ht="25" customHeight="1" s="151">
      <c r="A60" s="57" t="n"/>
      <c r="B60" s="127" t="inlineStr">
        <is>
          <t>QTY</t>
        </is>
      </c>
      <c r="C60" s="130" t="inlineStr">
        <is>
          <t>Comments</t>
        </is>
      </c>
      <c r="D60" s="159" t="n"/>
      <c r="E60" s="159" t="n"/>
      <c r="F60" s="159" t="n"/>
      <c r="G60" s="159" t="n"/>
      <c r="H60" s="159" t="n"/>
      <c r="I60" s="160" t="n"/>
    </row>
    <row r="61" ht="25" customHeight="1" s="151">
      <c r="A61" s="58" t="inlineStr">
        <is>
          <t>INCIDENT</t>
        </is>
      </c>
      <c r="B61" s="127" t="n">
        <v>0</v>
      </c>
      <c r="C61" s="145" t="inlineStr">
        <is>
          <t>NA</t>
        </is>
      </c>
      <c r="D61" s="124" t="n"/>
      <c r="E61" s="124" t="n"/>
      <c r="F61" s="124" t="n"/>
      <c r="G61" s="124" t="n"/>
      <c r="H61" s="124" t="n"/>
      <c r="I61" s="125" t="n"/>
    </row>
    <row r="62" ht="25" customHeight="1" s="151">
      <c r="A62" s="59" t="inlineStr">
        <is>
          <t>IR</t>
        </is>
      </c>
      <c r="B62" s="60" t="n">
        <v>0</v>
      </c>
      <c r="C62" s="145" t="inlineStr">
        <is>
          <t>NA</t>
        </is>
      </c>
      <c r="D62" s="124" t="n"/>
      <c r="E62" s="124" t="n"/>
      <c r="F62" s="124" t="n"/>
      <c r="G62" s="124" t="n"/>
      <c r="H62" s="124" t="n"/>
      <c r="I62" s="125" t="n"/>
    </row>
    <row r="63" ht="25" customHeight="1" s="151" thickBot="1">
      <c r="A63" s="61" t="inlineStr">
        <is>
          <t>NCR</t>
        </is>
      </c>
      <c r="B63" s="62" t="n">
        <v>0</v>
      </c>
      <c r="C63" s="146" t="inlineStr">
        <is>
          <t>NA</t>
        </is>
      </c>
      <c r="D63" s="147" t="n"/>
      <c r="E63" s="147" t="n"/>
      <c r="F63" s="147" t="n"/>
      <c r="G63" s="147" t="n"/>
      <c r="H63" s="147" t="n"/>
      <c r="I63" s="148" t="n"/>
    </row>
    <row r="64" ht="20.25" customHeight="1" s="151">
      <c r="A64" s="137" t="inlineStr">
        <is>
          <t>COMMUNICATIONS</t>
        </is>
      </c>
      <c r="B64" s="138" t="n"/>
      <c r="C64" s="138" t="n"/>
      <c r="D64" s="138" t="n"/>
      <c r="E64" s="138" t="n"/>
      <c r="F64" s="138" t="n"/>
      <c r="G64" s="138" t="n"/>
      <c r="H64" s="138" t="n"/>
      <c r="I64" s="139" t="n"/>
    </row>
    <row r="65" ht="25" customHeight="1" s="151">
      <c r="A65" s="149" t="inlineStr">
        <is>
          <t>TGS MB1119-05 Scheme D implemented</t>
        </is>
      </c>
      <c r="B65" s="159" t="n"/>
      <c r="C65" s="159" t="n"/>
      <c r="D65" s="159" t="n"/>
      <c r="E65" s="159" t="n"/>
      <c r="F65" s="159" t="n"/>
      <c r="G65" s="159" t="n"/>
      <c r="H65" s="159" t="n"/>
      <c r="I65" s="160" t="n"/>
    </row>
    <row r="66" ht="25" customHeight="1" s="151">
      <c r="A66" s="120" t="inlineStr">
        <is>
          <t>PRODUCTION (CONSTRUCTION STATUS &amp; PROGRESS)</t>
        </is>
      </c>
      <c r="B66" s="159" t="n"/>
      <c r="C66" s="159" t="n"/>
      <c r="D66" s="159" t="n"/>
      <c r="E66" s="159" t="n"/>
      <c r="F66" s="159" t="n"/>
      <c r="G66" s="159" t="n"/>
      <c r="H66" s="159" t="n"/>
      <c r="I66" s="160" t="n"/>
    </row>
    <row r="67" ht="25" customHeight="1" s="151">
      <c r="A67" s="98" t="inlineStr">
        <is>
          <t xml:space="preserve">Subbase Import Monument Parade to Bayley </t>
        </is>
      </c>
      <c r="B67" s="64" t="n"/>
      <c r="C67" s="9" t="n"/>
      <c r="D67" s="9" t="n"/>
      <c r="E67" s="64" t="n"/>
      <c r="F67" s="64" t="n"/>
      <c r="G67" s="9" t="n"/>
      <c r="H67" s="64" t="n"/>
      <c r="I67" s="65" t="n"/>
    </row>
    <row r="68" ht="25" customHeight="1" s="151">
      <c r="A68" s="98" t="inlineStr">
        <is>
          <t>Trimming of batters/ Footpath area</t>
        </is>
      </c>
      <c r="B68" s="64" t="n"/>
      <c r="C68" s="9" t="n"/>
      <c r="D68" s="9" t="n"/>
      <c r="E68" s="64" t="n"/>
      <c r="F68" s="64" t="n"/>
      <c r="G68" s="9" t="n"/>
      <c r="H68" s="64" t="n"/>
      <c r="I68" s="65" t="n"/>
    </row>
    <row r="69" ht="25" customHeight="1" s="151">
      <c r="A69" s="98" t="inlineStr">
        <is>
          <t>Limestone Block Install</t>
        </is>
      </c>
      <c r="B69" s="64" t="n"/>
      <c r="C69" s="9" t="n"/>
      <c r="D69" s="9" t="n"/>
      <c r="E69" s="64" t="n"/>
      <c r="F69" s="64" t="n"/>
      <c r="G69" s="9" t="n"/>
      <c r="H69" s="64" t="n"/>
      <c r="I69" s="65" t="n"/>
    </row>
    <row r="70" ht="30.5" customHeight="1" s="151">
      <c r="A70" s="98" t="inlineStr">
        <is>
          <t>Boxout of Limestone Blocks</t>
        </is>
      </c>
      <c r="B70" s="64" t="n"/>
      <c r="C70" s="9" t="n"/>
      <c r="D70" s="9" t="n"/>
      <c r="E70" s="64" t="n"/>
      <c r="F70" s="64" t="n"/>
      <c r="G70" s="9" t="n"/>
      <c r="H70" s="64" t="n"/>
      <c r="I70" s="65" t="n"/>
    </row>
    <row r="71" ht="26.15" customHeight="1" s="151" thickBot="1">
      <c r="A71" s="123" t="inlineStr">
        <is>
          <t>Photos</t>
        </is>
      </c>
      <c r="B71" s="124" t="n"/>
      <c r="C71" s="124" t="n"/>
      <c r="D71" s="124" t="n"/>
      <c r="E71" s="124" t="n"/>
      <c r="F71" s="124" t="n"/>
      <c r="G71" s="124" t="n"/>
      <c r="H71" s="124" t="n"/>
      <c r="I71" s="125" t="n"/>
    </row>
    <row r="72" ht="23.15" customHeight="1" s="151">
      <c r="A72" s="66" t="n"/>
      <c r="B72" s="67" t="n"/>
      <c r="C72" s="67" t="n"/>
      <c r="D72" s="67" t="n"/>
      <c r="E72" s="67" t="n"/>
      <c r="F72" s="67" t="n"/>
      <c r="G72" s="67" t="n"/>
      <c r="H72" s="67" t="n"/>
      <c r="I72" s="68" t="n"/>
    </row>
    <row r="73" ht="23.15" customHeight="1" s="151">
      <c r="A73" s="69" t="n"/>
      <c r="B73" s="70" t="n"/>
      <c r="C73" s="70" t="n"/>
      <c r="D73" s="70" t="n"/>
      <c r="E73" s="70" t="n"/>
      <c r="F73" s="70" t="n"/>
      <c r="G73" s="70" t="n"/>
      <c r="H73" s="70" t="n"/>
      <c r="I73" s="71" t="n"/>
    </row>
    <row r="74" ht="15" customHeight="1" s="151">
      <c r="A74" s="69" t="n"/>
      <c r="B74" s="70" t="n"/>
      <c r="C74" s="70" t="n"/>
      <c r="D74" s="70" t="n"/>
      <c r="E74" s="70" t="n"/>
      <c r="F74" s="70" t="n"/>
      <c r="G74" s="70" t="n"/>
      <c r="H74" s="70" t="n"/>
      <c r="I74" s="71" t="n"/>
    </row>
    <row r="75" ht="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H94" s="70" t="n"/>
      <c r="I94" s="71" t="n"/>
    </row>
    <row r="95" ht="25" customFormat="1" customHeight="1" s="10">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thickBot="1">
      <c r="A110" s="72" t="n"/>
      <c r="B110" s="73" t="n"/>
      <c r="C110" s="73" t="n"/>
      <c r="D110" s="73" t="n"/>
      <c r="E110" s="73" t="n"/>
      <c r="F110" s="73" t="n"/>
      <c r="G110" s="73" t="n"/>
      <c r="H110" s="73" t="n"/>
      <c r="I110" s="74"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2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28"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thickBot="1">
      <c r="A135" s="69" t="n"/>
      <c r="B135" s="70" t="n"/>
      <c r="C135" s="70" t="n"/>
      <c r="D135" s="70" t="n"/>
      <c r="E135" s="70" t="n"/>
      <c r="F135" s="70" t="n"/>
      <c r="G135" s="70" t="n"/>
      <c r="H135" s="70" t="n"/>
      <c r="I135" s="71" t="n"/>
      <c r="J135" s="75"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6" customHeight="1" s="151">
      <c r="A142" s="69" t="n"/>
      <c r="B142" s="70" t="n"/>
      <c r="C142" s="70" t="n"/>
      <c r="D142" s="70" t="n"/>
      <c r="E142" s="70" t="n"/>
      <c r="F142" s="70" t="n"/>
      <c r="G142" s="70" t="n"/>
      <c r="H142" s="70" t="n"/>
      <c r="I142" s="71" t="n"/>
    </row>
    <row r="143" ht="30.75" customHeight="1" s="151">
      <c r="A143" s="143" t="n"/>
      <c r="E143" s="144" t="n"/>
      <c r="I143" s="113" t="n"/>
    </row>
    <row r="144">
      <c r="A144" s="7" t="n"/>
      <c r="I144" s="8" t="n"/>
    </row>
    <row r="145">
      <c r="A145" s="7" t="n"/>
      <c r="I145" s="8"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ht="16" customHeight="1" s="151" thickBot="1">
      <c r="A197" s="4" t="n"/>
      <c r="B197" s="5" t="n"/>
      <c r="C197" s="5" t="n"/>
      <c r="D197" s="5" t="n"/>
      <c r="E197" s="5" t="n"/>
      <c r="F197" s="5" t="n"/>
      <c r="G197" s="5" t="n"/>
      <c r="H197" s="5" t="n"/>
      <c r="I197" s="6" t="n"/>
    </row>
    <row r="198">
      <c r="A198" s="7" t="n"/>
      <c r="I198" s="8" t="n"/>
    </row>
    <row r="199">
      <c r="A199" s="7" t="n"/>
      <c r="I199" s="8" t="n"/>
    </row>
    <row r="200">
      <c r="A200" s="7" t="n"/>
      <c r="I200" s="8" t="n"/>
    </row>
    <row r="201">
      <c r="A201" s="7" t="n"/>
      <c r="I201" s="8" t="n"/>
    </row>
    <row r="202">
      <c r="A202" s="7" t="n"/>
      <c r="I202" s="8" t="n"/>
    </row>
    <row r="203">
      <c r="A203" s="7" t="n"/>
      <c r="I203" s="8" t="n"/>
    </row>
    <row r="204" ht="16" customHeight="1" s="151" thickBot="1">
      <c r="A204" s="4" t="n"/>
      <c r="B204" s="5" t="n"/>
      <c r="C204" s="5" t="n"/>
      <c r="D204" s="5" t="n"/>
      <c r="E204" s="5" t="n"/>
      <c r="F204" s="5" t="n"/>
      <c r="G204" s="5" t="n"/>
      <c r="H204" s="5" t="n"/>
      <c r="I204" s="6" t="n"/>
    </row>
  </sheetData>
  <mergeCells count="39">
    <mergeCell ref="C61:I61"/>
    <mergeCell ref="A65:I65"/>
    <mergeCell ref="D13:F13"/>
    <mergeCell ref="G13:I13"/>
    <mergeCell ref="B8:D8"/>
    <mergeCell ref="B54:I54"/>
    <mergeCell ref="A66:I66"/>
    <mergeCell ref="B46:C46"/>
    <mergeCell ref="A12:I12"/>
    <mergeCell ref="C57:I57"/>
    <mergeCell ref="D47:I47"/>
    <mergeCell ref="B58:I58"/>
    <mergeCell ref="A71:I71"/>
    <mergeCell ref="A5:I5"/>
    <mergeCell ref="A143:D143"/>
    <mergeCell ref="E143:I143"/>
    <mergeCell ref="A49:I52"/>
    <mergeCell ref="B9:D9"/>
    <mergeCell ref="C62:I62"/>
    <mergeCell ref="A53:I53"/>
    <mergeCell ref="B6:D6"/>
    <mergeCell ref="B44:C44"/>
    <mergeCell ref="A13:C13"/>
    <mergeCell ref="A10:I10"/>
    <mergeCell ref="A1:I4"/>
    <mergeCell ref="A47:B47"/>
    <mergeCell ref="D44:I44"/>
    <mergeCell ref="B7:D7"/>
    <mergeCell ref="C63:I63"/>
    <mergeCell ref="A48:I48"/>
    <mergeCell ref="A64:I64"/>
    <mergeCell ref="A59:I59"/>
    <mergeCell ref="A11:I11"/>
    <mergeCell ref="D46:I46"/>
    <mergeCell ref="B55:I55"/>
    <mergeCell ref="C56:I56"/>
    <mergeCell ref="B45:C45"/>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0" min="0" max="8" man="1"/>
  </rowBreaks>
</worksheet>
</file>

<file path=xl/worksheets/sheet23.xml><?xml version="1.0" encoding="utf-8"?>
<worksheet xmlns="http://schemas.openxmlformats.org/spreadsheetml/2006/main">
  <sheetPr>
    <outlinePr summaryBelow="1" summaryRight="1"/>
    <pageSetUpPr fitToPage="1"/>
  </sheetPr>
  <dimension ref="A1:J203"/>
  <sheetViews>
    <sheetView view="pageBreakPreview" zoomScale="70" zoomScaleNormal="55" zoomScaleSheetLayoutView="70" workbookViewId="0">
      <selection activeCell="B8" sqref="B8:D8"/>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45926</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118</v>
      </c>
      <c r="C9" s="107" t="n"/>
      <c r="D9" s="107" t="n"/>
      <c r="E9" s="106" t="n"/>
      <c r="F9" s="20" t="n"/>
      <c r="G9" s="20" t="n"/>
      <c r="H9" s="16" t="inlineStr">
        <is>
          <t>Finish:</t>
        </is>
      </c>
      <c r="I9" s="18" t="n">
        <v>0.7708333333333334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58" t="inlineStr">
        <is>
          <t>Temperature: 26 degrees  Wind:  43km/h SSW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v>12</v>
      </c>
      <c r="G15" s="29" t="inlineStr">
        <is>
          <t>Daniel McAuffile</t>
        </is>
      </c>
      <c r="H15" s="26" t="inlineStr">
        <is>
          <t>Operator</t>
        </is>
      </c>
      <c r="I15" s="30" t="n">
        <v>10</v>
      </c>
    </row>
    <row r="16" ht="23.15" customHeight="1" s="151">
      <c r="A16" s="25" t="inlineStr">
        <is>
          <t>GRIFFITHS, Daniel</t>
        </is>
      </c>
      <c r="B16" s="26" t="inlineStr">
        <is>
          <t>Project Manager</t>
        </is>
      </c>
      <c r="C16" s="31" t="n">
        <v>8</v>
      </c>
      <c r="D16" s="29" t="inlineStr">
        <is>
          <t>Hanly,Thomas</t>
        </is>
      </c>
      <c r="E16" s="26" t="inlineStr">
        <is>
          <t>Operator</t>
        </is>
      </c>
      <c r="F16" s="26" t="n">
        <v>12</v>
      </c>
      <c r="G16" s="29" t="inlineStr">
        <is>
          <t>Mosley,Joshua</t>
        </is>
      </c>
      <c r="H16" s="26" t="inlineStr">
        <is>
          <t>Surveyor</t>
        </is>
      </c>
      <c r="I16" s="30" t="n"/>
    </row>
    <row r="17" ht="23.15" customHeight="1" s="151">
      <c r="A17" s="25" t="inlineStr">
        <is>
          <t>O"SHEA, John</t>
        </is>
      </c>
      <c r="B17" s="26" t="inlineStr">
        <is>
          <t>Senior Project Engineer</t>
        </is>
      </c>
      <c r="C17" s="31" t="n"/>
      <c r="D17" s="26" t="inlineStr">
        <is>
          <t>McGahon,Aideen</t>
        </is>
      </c>
      <c r="E17" s="26" t="inlineStr">
        <is>
          <t>Operator</t>
        </is>
      </c>
      <c r="F17" s="26" t="n">
        <v>12</v>
      </c>
      <c r="G17" s="29" t="inlineStr">
        <is>
          <t>Mullin, Connell</t>
        </is>
      </c>
      <c r="H17" s="26" t="inlineStr">
        <is>
          <t>Operator</t>
        </is>
      </c>
      <c r="I17" s="30" t="n">
        <v>12</v>
      </c>
    </row>
    <row r="18" ht="23.15" customHeight="1" s="151">
      <c r="A18" s="25" t="inlineStr">
        <is>
          <t>GRIFFITHS, Ashley</t>
        </is>
      </c>
      <c r="B18" s="26" t="inlineStr">
        <is>
          <t>Supervisor</t>
        </is>
      </c>
      <c r="C18" s="31" t="n"/>
      <c r="D18" s="28" t="n"/>
      <c r="E18" s="28" t="n"/>
      <c r="F18" s="26" t="n"/>
      <c r="G18" s="29" t="n"/>
      <c r="H18" s="26" t="n"/>
      <c r="I18" s="30" t="n"/>
    </row>
    <row r="19" ht="23.15" customHeight="1" s="151">
      <c r="A19" s="25" t="inlineStr">
        <is>
          <t>THOMPSON,Cheryl</t>
        </is>
      </c>
      <c r="B19" s="26" t="inlineStr">
        <is>
          <t>HSET</t>
        </is>
      </c>
      <c r="C19" s="31" t="n"/>
      <c r="D19" s="28" t="n"/>
      <c r="E19" s="28" t="n"/>
      <c r="F19" s="26" t="n"/>
      <c r="G19" s="29" t="inlineStr">
        <is>
          <t>Geraldton Natural Limestone</t>
        </is>
      </c>
      <c r="H19" s="26" t="inlineStr">
        <is>
          <t>Labourers</t>
        </is>
      </c>
      <c r="I19" s="30" t="n">
        <v>40</v>
      </c>
    </row>
    <row r="20" ht="23.15" customHeight="1" s="151">
      <c r="A20" s="25" t="inlineStr">
        <is>
          <t>SKINNER,Jamie</t>
        </is>
      </c>
      <c r="B20" s="26" t="inlineStr">
        <is>
          <t>Supervisor</t>
        </is>
      </c>
      <c r="C20" s="31" t="n"/>
      <c r="D20" s="28" t="n"/>
      <c r="E20" s="28" t="n"/>
      <c r="F20" s="26" t="n"/>
      <c r="G20" s="29" t="n"/>
      <c r="H20" s="26" t="n"/>
      <c r="I20" s="30" t="n"/>
    </row>
    <row r="21" ht="23.15" customHeight="1" s="151">
      <c r="A21" s="99" t="inlineStr">
        <is>
          <t>TONER, Ultan</t>
        </is>
      </c>
      <c r="B21" s="26" t="inlineStr">
        <is>
          <t>Supervisor</t>
        </is>
      </c>
      <c r="C21" s="31" t="n">
        <v>12</v>
      </c>
      <c r="D21" s="28" t="n"/>
      <c r="E21" s="28" t="n"/>
      <c r="F21" s="26" t="n"/>
      <c r="G21" s="29" t="n"/>
      <c r="H21" s="26" t="n"/>
      <c r="I21" s="30" t="n"/>
    </row>
    <row r="22" ht="23.15" customHeight="1" s="151">
      <c r="A22" s="25" t="n"/>
      <c r="B22" s="26" t="n"/>
      <c r="C22" s="31" t="n"/>
      <c r="D22" s="28" t="n"/>
      <c r="E22" s="28" t="n"/>
      <c r="F22" s="26" t="n"/>
      <c r="G22" s="29" t="n"/>
      <c r="H22" s="26" t="n"/>
      <c r="I22" s="30" t="n"/>
    </row>
    <row r="23" ht="23.15" customHeight="1" s="151">
      <c r="A23" s="25" t="n"/>
      <c r="B23" s="26" t="n"/>
      <c r="C23" s="31" t="n"/>
      <c r="D23" s="28" t="n"/>
      <c r="E23" s="28" t="n"/>
      <c r="F23" s="26" t="n"/>
      <c r="G23" s="29" t="n"/>
      <c r="H23" s="26" t="n"/>
      <c r="I23" s="30" t="n"/>
    </row>
    <row r="24" ht="23.15" customHeight="1" s="151">
      <c r="A24" s="131" t="inlineStr">
        <is>
          <t xml:space="preserve">Total Indirect Personnel onsite: </t>
        </is>
      </c>
      <c r="B24" s="34">
        <f>COUNT(C15:C24)</f>
        <v/>
      </c>
      <c r="C24" s="28" t="n"/>
      <c r="D24" s="28" t="n"/>
      <c r="E24" s="28" t="n"/>
      <c r="F24" s="26" t="n"/>
      <c r="G24" s="78" t="n"/>
      <c r="H24" s="77" t="n"/>
      <c r="I24" s="30" t="n"/>
    </row>
    <row r="25" ht="23.15" customHeight="1" s="151">
      <c r="A25" s="131" t="inlineStr">
        <is>
          <t xml:space="preserve">Total Indirect Personnel hours: </t>
        </is>
      </c>
      <c r="B25" s="34">
        <f>SUM(C15:C23)</f>
        <v/>
      </c>
      <c r="C25" s="31" t="n"/>
      <c r="D25" s="28" t="n"/>
      <c r="E25" s="28" t="n"/>
      <c r="F25" s="26" t="n"/>
      <c r="G25" s="35" t="inlineStr">
        <is>
          <t>Total Subcontractor on-site:</t>
        </is>
      </c>
      <c r="H25" s="36" t="n">
        <v>13</v>
      </c>
      <c r="I25" s="30" t="n"/>
    </row>
    <row r="26" ht="23.15" customHeight="1" s="151">
      <c r="A26" s="131" t="inlineStr">
        <is>
          <t xml:space="preserve">Total Direct Personnel onsite:  </t>
        </is>
      </c>
      <c r="B26" s="34">
        <f>COUNTIF(F15:F27,"&gt;0")</f>
        <v/>
      </c>
      <c r="C26" s="34" t="n"/>
      <c r="D26" s="28" t="n"/>
      <c r="E26" s="28" t="n"/>
      <c r="F26" s="37" t="n"/>
      <c r="G26" s="35" t="inlineStr">
        <is>
          <t>Total Subcontractor hours:</t>
        </is>
      </c>
      <c r="H26" s="36">
        <f>SUM(I11:I23)</f>
        <v/>
      </c>
      <c r="I26" s="130" t="n"/>
    </row>
    <row r="27" ht="23.15" customHeight="1" s="151">
      <c r="A27" s="131" t="inlineStr">
        <is>
          <t xml:space="preserve">Total Direct Personnel hours: </t>
        </is>
      </c>
      <c r="B27" s="34">
        <f>SUM(F15:F27)</f>
        <v/>
      </c>
      <c r="C27" s="34" t="n"/>
      <c r="D27" s="34" t="n"/>
      <c r="E27" s="34" t="n"/>
      <c r="F27" s="34" t="n"/>
      <c r="G27" s="34" t="n"/>
      <c r="H27" s="34" t="n"/>
      <c r="I27" s="130" t="n"/>
    </row>
    <row r="28" ht="25" customHeight="1" s="151">
      <c r="A28" s="39" t="inlineStr">
        <is>
          <t>PLANT &amp; EQUIPMENT</t>
        </is>
      </c>
      <c r="B28" s="40" t="n"/>
      <c r="C28" s="40" t="n"/>
      <c r="D28" s="40" t="n"/>
      <c r="E28" s="40" t="n"/>
      <c r="F28" s="40" t="n"/>
      <c r="G28" s="40" t="n"/>
      <c r="H28" s="40" t="n"/>
      <c r="I28" s="41" t="n"/>
    </row>
    <row r="29" ht="24" customHeight="1" s="151">
      <c r="A29" s="126" t="inlineStr">
        <is>
          <t>Plant</t>
        </is>
      </c>
      <c r="B29" s="127" t="inlineStr">
        <is>
          <t>ID</t>
        </is>
      </c>
      <c r="C29" s="127" t="inlineStr">
        <is>
          <t>Hours</t>
        </is>
      </c>
      <c r="D29" s="127" t="inlineStr">
        <is>
          <t xml:space="preserve"> Vehicles</t>
        </is>
      </c>
      <c r="E29" s="127" t="inlineStr">
        <is>
          <t>ID</t>
        </is>
      </c>
      <c r="F29" s="127" t="inlineStr">
        <is>
          <t>QTY</t>
        </is>
      </c>
      <c r="G29" s="42" t="inlineStr">
        <is>
          <t>Site Facilities</t>
        </is>
      </c>
      <c r="H29" s="42" t="inlineStr">
        <is>
          <t>ID</t>
        </is>
      </c>
      <c r="I29" s="43" t="inlineStr">
        <is>
          <t>Qty</t>
        </is>
      </c>
    </row>
    <row r="30" ht="23.15" customHeight="1" s="151">
      <c r="A30" s="25" t="inlineStr">
        <is>
          <t>Komatsu WA320</t>
        </is>
      </c>
      <c r="B30" s="26" t="inlineStr">
        <is>
          <t>FWL18</t>
        </is>
      </c>
      <c r="C30" s="26" t="n">
        <v>4</v>
      </c>
      <c r="D30" s="31" t="inlineStr">
        <is>
          <t>Hilux</t>
        </is>
      </c>
      <c r="E30" s="31" t="inlineStr">
        <is>
          <t>DLV90</t>
        </is>
      </c>
      <c r="F30" s="31" t="n">
        <v>1</v>
      </c>
      <c r="G30" s="31" t="inlineStr">
        <is>
          <t>Office 40ft</t>
        </is>
      </c>
      <c r="H30" s="31" t="n">
        <v>9255540</v>
      </c>
      <c r="I30" s="30" t="n">
        <v>1</v>
      </c>
    </row>
    <row r="31" ht="23.15" customHeight="1" s="151">
      <c r="A31" s="25" t="inlineStr">
        <is>
          <t>Wacker Neuson DPU</t>
        </is>
      </c>
      <c r="B31" s="26" t="inlineStr">
        <is>
          <t>DPC15</t>
        </is>
      </c>
      <c r="C31" s="26" t="n"/>
      <c r="D31" s="31" t="inlineStr">
        <is>
          <t>Hilux</t>
        </is>
      </c>
      <c r="E31" s="31" t="inlineStr">
        <is>
          <t>1DLV04</t>
        </is>
      </c>
      <c r="F31" s="31" t="n">
        <v>1</v>
      </c>
      <c r="G31" s="31" t="inlineStr">
        <is>
          <t>Sea Container 20ft</t>
        </is>
      </c>
      <c r="H31" s="26" t="n">
        <v>951200</v>
      </c>
      <c r="I31" s="30" t="n">
        <v>1</v>
      </c>
    </row>
    <row r="32" ht="23.15" customHeight="1" s="151">
      <c r="A32" s="44" t="inlineStr">
        <is>
          <t>Watercart</t>
        </is>
      </c>
      <c r="B32" s="31" t="inlineStr">
        <is>
          <t>WC04</t>
        </is>
      </c>
      <c r="C32" s="26" t="n">
        <v>5</v>
      </c>
      <c r="D32" s="31" t="n"/>
      <c r="E32" s="26" t="n"/>
      <c r="F32" s="31" t="n"/>
      <c r="G32" s="31" t="inlineStr">
        <is>
          <t>Site Sentry Tower</t>
        </is>
      </c>
      <c r="H32" s="31" t="n"/>
      <c r="I32" s="30" t="n">
        <v>2</v>
      </c>
    </row>
    <row r="33" ht="23.15" customHeight="1" s="151">
      <c r="A33" s="44" t="inlineStr">
        <is>
          <t>8T Excavator</t>
        </is>
      </c>
      <c r="B33" s="45" t="inlineStr">
        <is>
          <t>AMG 014</t>
        </is>
      </c>
      <c r="C33" s="26" t="n"/>
      <c r="D33" s="31" t="n"/>
      <c r="E33" s="31" t="n"/>
      <c r="F33" s="31" t="n"/>
      <c r="G33" s="31" t="inlineStr">
        <is>
          <t>Skip Bin</t>
        </is>
      </c>
      <c r="H33" s="31" t="n"/>
      <c r="I33" s="30" t="n">
        <v>1</v>
      </c>
    </row>
    <row r="34" ht="23.15" customHeight="1" s="151">
      <c r="A34" s="31" t="inlineStr">
        <is>
          <t>Mini Tipper</t>
        </is>
      </c>
      <c r="B34" s="31" t="inlineStr">
        <is>
          <t>SLS05</t>
        </is>
      </c>
      <c r="C34" s="31" t="n"/>
      <c r="D34" s="31" t="n"/>
      <c r="E34" s="31" t="n"/>
      <c r="F34" s="31" t="n"/>
      <c r="G34" s="31" t="inlineStr">
        <is>
          <t>Hydrocarbon Bund</t>
        </is>
      </c>
      <c r="H34" s="31" t="n"/>
      <c r="I34" s="30" t="n">
        <v>1</v>
      </c>
    </row>
    <row r="35" ht="23.15" customHeight="1" s="151">
      <c r="A35" s="76" t="inlineStr">
        <is>
          <t>1 t Excavator</t>
        </is>
      </c>
      <c r="B35" s="31" t="inlineStr">
        <is>
          <t>SLS03</t>
        </is>
      </c>
      <c r="C35" s="31" t="n">
        <v>2</v>
      </c>
      <c r="D35" s="31" t="n"/>
      <c r="E35" s="31" t="n"/>
      <c r="F35" s="31" t="n"/>
      <c r="G35" s="31" t="inlineStr">
        <is>
          <t>Temp Fence</t>
        </is>
      </c>
      <c r="H35" s="26" t="n"/>
      <c r="I35" s="30" t="n">
        <v>1</v>
      </c>
    </row>
    <row r="36" ht="24" customHeight="1" s="151">
      <c r="A36" s="76" t="inlineStr">
        <is>
          <t>14t Excavator with GPS</t>
        </is>
      </c>
      <c r="B36" s="31" t="inlineStr">
        <is>
          <t>EX153</t>
        </is>
      </c>
      <c r="C36" s="31" t="n">
        <v>8</v>
      </c>
      <c r="D36" s="31" t="n"/>
      <c r="E36" s="31" t="n"/>
      <c r="F36" s="31" t="n"/>
      <c r="G36" s="2" t="n"/>
      <c r="H36" s="2" t="n"/>
      <c r="I36" s="3" t="n"/>
    </row>
    <row r="37" ht="24" customHeight="1" s="151">
      <c r="A37" s="76" t="inlineStr">
        <is>
          <t>5t Excavator</t>
        </is>
      </c>
      <c r="B37" s="31" t="inlineStr">
        <is>
          <t>A118</t>
        </is>
      </c>
      <c r="C37" s="31" t="n"/>
      <c r="D37" s="31" t="n"/>
      <c r="E37" s="31" t="n"/>
      <c r="F37" s="31" t="n"/>
      <c r="G37" s="2" t="n"/>
      <c r="H37" s="2" t="n"/>
      <c r="I37" s="3" t="n"/>
    </row>
    <row r="38" ht="24" customHeight="1" s="151">
      <c r="A38" s="44" t="inlineStr">
        <is>
          <t>Padfoot/ Smooth Drum Roller</t>
        </is>
      </c>
      <c r="B38" s="31" t="inlineStr">
        <is>
          <t>RR 03</t>
        </is>
      </c>
      <c r="C38" s="26" t="n">
        <v>5</v>
      </c>
      <c r="D38" s="31" t="n"/>
      <c r="E38" s="31" t="n"/>
      <c r="F38" s="31" t="n"/>
      <c r="G38" s="2" t="n"/>
      <c r="H38" s="2" t="n"/>
      <c r="I38" s="3" t="n"/>
    </row>
    <row r="39" ht="24" customHeight="1" s="151">
      <c r="A39" s="44" t="inlineStr">
        <is>
          <t>Multi Roller</t>
        </is>
      </c>
      <c r="B39" s="31" t="n">
        <v>256</v>
      </c>
      <c r="C39" s="26" t="n"/>
      <c r="D39" s="31" t="n"/>
      <c r="E39" s="31" t="n"/>
      <c r="F39" s="31" t="n"/>
      <c r="G39" s="2" t="n"/>
      <c r="H39" s="2" t="n"/>
      <c r="I39" s="3" t="n"/>
    </row>
    <row r="40" ht="24" customHeight="1" s="151">
      <c r="A40" s="44" t="inlineStr">
        <is>
          <t>Positrak SSL</t>
        </is>
      </c>
      <c r="B40" s="31" t="inlineStr">
        <is>
          <t>SSL08</t>
        </is>
      </c>
      <c r="C40" s="26" t="n">
        <v>5</v>
      </c>
      <c r="D40" s="31" t="n"/>
      <c r="E40" s="31" t="n"/>
      <c r="F40" s="31" t="n"/>
      <c r="G40" s="2" t="n"/>
      <c r="H40" s="2" t="n"/>
      <c r="I40" s="3" t="n"/>
    </row>
    <row r="41" ht="24" customHeight="1" s="151">
      <c r="A41" s="44" t="inlineStr">
        <is>
          <t>Grader</t>
        </is>
      </c>
      <c r="B41" s="31" t="inlineStr">
        <is>
          <t>SLS01</t>
        </is>
      </c>
      <c r="C41" s="26" t="n">
        <v>9</v>
      </c>
      <c r="D41" s="31" t="n"/>
      <c r="E41" s="31" t="n"/>
      <c r="F41" s="31" t="n"/>
      <c r="G41" s="2" t="n"/>
      <c r="H41" s="2" t="n"/>
      <c r="I41" s="3" t="n"/>
    </row>
    <row r="42" ht="24" customHeight="1" s="151">
      <c r="A42" s="44" t="n"/>
      <c r="B42" s="31" t="n"/>
      <c r="C42" s="26" t="n"/>
      <c r="D42" s="2" t="n"/>
      <c r="E42" s="2" t="n"/>
      <c r="F42" s="2" t="n"/>
      <c r="G42" s="2" t="n"/>
      <c r="H42" s="2" t="n"/>
      <c r="I42" s="3" t="n"/>
    </row>
    <row r="43" ht="18" customHeight="1" s="151">
      <c r="A43" s="46" t="n">
        <v>0</v>
      </c>
      <c r="B43" s="128" t="inlineStr">
        <is>
          <t xml:space="preserve">Repairs Required </t>
        </is>
      </c>
      <c r="C43" s="118" t="n"/>
      <c r="D43" s="129" t="inlineStr">
        <is>
          <t>N/A</t>
        </is>
      </c>
      <c r="E43" s="159" t="n"/>
      <c r="F43" s="159" t="n"/>
      <c r="G43" s="159" t="n"/>
      <c r="H43" s="159" t="n"/>
      <c r="I43" s="160" t="n"/>
    </row>
    <row r="44" ht="18" customHeight="1" s="151">
      <c r="A44" s="47" t="n">
        <v>0</v>
      </c>
      <c r="B44" s="128" t="inlineStr">
        <is>
          <t>Scheduled Service</t>
        </is>
      </c>
      <c r="C44" s="118" t="n"/>
      <c r="D44" s="129" t="inlineStr">
        <is>
          <t>N/A</t>
        </is>
      </c>
      <c r="E44" s="159" t="n"/>
      <c r="F44" s="159" t="n"/>
      <c r="G44" s="159" t="n"/>
      <c r="H44" s="159" t="n"/>
      <c r="I44" s="160" t="n"/>
    </row>
    <row r="45" ht="18" customHeight="1" s="151">
      <c r="A45" s="48" t="n">
        <v>0</v>
      </c>
      <c r="B45" s="128" t="n"/>
      <c r="C45" s="118" t="n"/>
      <c r="D45" s="129" t="inlineStr">
        <is>
          <t>N/A</t>
        </is>
      </c>
      <c r="E45" s="159" t="n"/>
      <c r="F45" s="159" t="n"/>
      <c r="G45" s="159" t="n"/>
      <c r="H45" s="159" t="n"/>
      <c r="I45" s="160" t="n"/>
    </row>
    <row r="46" ht="23.15" customHeight="1" s="151">
      <c r="A46" s="131" t="inlineStr">
        <is>
          <t xml:space="preserve">Total Plant and Equipment Hours: </t>
        </is>
      </c>
      <c r="B46" s="118" t="n"/>
      <c r="C46" s="49">
        <f>SUM(C30:C42)</f>
        <v/>
      </c>
      <c r="D46" s="132" t="n"/>
      <c r="E46" s="159" t="n"/>
      <c r="F46" s="159" t="n"/>
      <c r="G46" s="159" t="n"/>
      <c r="H46" s="159" t="n"/>
      <c r="I46" s="160" t="n"/>
    </row>
    <row r="47" ht="25" customHeight="1" s="151">
      <c r="A47" s="120" t="inlineStr">
        <is>
          <t>DELAYS-OPPORTUNITY</t>
        </is>
      </c>
      <c r="B47" s="159" t="n"/>
      <c r="C47" s="159" t="n"/>
      <c r="D47" s="159" t="n"/>
      <c r="E47" s="159" t="n"/>
      <c r="F47" s="159" t="n"/>
      <c r="G47" s="159" t="n"/>
      <c r="H47" s="159" t="n"/>
      <c r="I47" s="160" t="n"/>
    </row>
    <row r="48" ht="15" customHeight="1" s="151" thickBot="1">
      <c r="A48" s="155" t="inlineStr">
        <is>
          <t>New Detail Provided on Centrelink Carpark                                                               
Awaiting Direction on Service Clash Forrest Street
Awaiting Confirmation on Batters Treatment 
Awaiting finalised fencing details
Awaiting COGG confirmation on "Ballast Pile"
Instructions Provided for Laneway Sewer, Drainage</t>
        </is>
      </c>
      <c r="B48" s="124" t="n"/>
      <c r="C48" s="124" t="n"/>
      <c r="D48" s="124" t="n"/>
      <c r="E48" s="124" t="n"/>
      <c r="F48" s="124" t="n"/>
      <c r="G48" s="124" t="n"/>
      <c r="H48" s="124" t="n"/>
      <c r="I48" s="125" t="n"/>
    </row>
    <row r="49">
      <c r="A49" s="111" t="n"/>
      <c r="I49" s="113" t="n"/>
    </row>
    <row r="50" ht="49.5" customHeight="1" s="151">
      <c r="A50" s="111" t="n"/>
      <c r="I50" s="113" t="n"/>
    </row>
    <row r="51" ht="62.5" customHeight="1" s="151" thickBot="1">
      <c r="A51" s="134" t="n"/>
      <c r="B51" s="135" t="n"/>
      <c r="C51" s="135" t="n"/>
      <c r="D51" s="135" t="n"/>
      <c r="E51" s="135" t="n"/>
      <c r="F51" s="135" t="n"/>
      <c r="G51" s="135" t="n"/>
      <c r="H51" s="135" t="n"/>
      <c r="I51" s="136" t="n"/>
    </row>
    <row r="52" ht="25" customHeight="1" s="151">
      <c r="A52" s="137" t="inlineStr">
        <is>
          <t>HSEQ MESSAGES</t>
        </is>
      </c>
      <c r="B52" s="138" t="n"/>
      <c r="C52" s="138" t="n"/>
      <c r="D52" s="138" t="n"/>
      <c r="E52" s="138" t="n"/>
      <c r="F52" s="138" t="n"/>
      <c r="G52" s="138" t="n"/>
      <c r="H52" s="138" t="n"/>
      <c r="I52" s="139" t="n"/>
    </row>
    <row r="53" ht="18" customHeight="1" s="151">
      <c r="A53" s="53" t="inlineStr">
        <is>
          <t>TCD - Monthly Safety Focus:</t>
        </is>
      </c>
      <c r="B53" s="140" t="inlineStr">
        <is>
          <t>Underground Services</t>
        </is>
      </c>
      <c r="C53" s="159" t="n"/>
      <c r="D53" s="159" t="n"/>
      <c r="E53" s="159" t="n"/>
      <c r="F53" s="159" t="n"/>
      <c r="G53" s="159" t="n"/>
      <c r="H53" s="159" t="n"/>
      <c r="I53" s="118" t="n"/>
    </row>
    <row r="54" ht="24" customHeight="1" s="151">
      <c r="A54" s="53" t="inlineStr">
        <is>
          <t>TCD - Daily Safety Focus:</t>
        </is>
      </c>
      <c r="B54" s="141" t="inlineStr">
        <is>
          <t>Make site safe for the long weekend</t>
        </is>
      </c>
      <c r="C54" s="159" t="n"/>
      <c r="D54" s="159" t="n"/>
      <c r="E54" s="159" t="n"/>
      <c r="F54" s="159" t="n"/>
      <c r="G54" s="159" t="n"/>
      <c r="H54" s="159" t="n"/>
      <c r="I54" s="160" t="n"/>
    </row>
    <row r="55" ht="18" customHeight="1" s="151">
      <c r="A55" s="54" t="inlineStr">
        <is>
          <t xml:space="preserve">Hazards Reported: </t>
        </is>
      </c>
      <c r="B55" s="55" t="inlineStr">
        <is>
          <t>Nil</t>
        </is>
      </c>
      <c r="C55" s="141" t="n"/>
      <c r="D55" s="159" t="n"/>
      <c r="E55" s="159" t="n"/>
      <c r="F55" s="159" t="n"/>
      <c r="G55" s="159" t="n"/>
      <c r="H55" s="159" t="n"/>
      <c r="I55" s="160" t="n"/>
    </row>
    <row r="56" ht="18" customHeight="1" s="151">
      <c r="A56" s="54" t="inlineStr">
        <is>
          <t>Incident Free Days</t>
        </is>
      </c>
      <c r="B56" s="55" t="n">
        <v>0</v>
      </c>
      <c r="C56" s="140" t="n"/>
      <c r="D56" s="159" t="n"/>
      <c r="E56" s="159" t="n"/>
      <c r="F56" s="159" t="n"/>
      <c r="G56" s="159" t="n"/>
      <c r="H56" s="159" t="n"/>
      <c r="I56" s="118" t="n"/>
    </row>
    <row r="57" ht="18" customHeight="1" s="151">
      <c r="A57" s="56" t="inlineStr">
        <is>
          <t>Other Notes</t>
        </is>
      </c>
      <c r="B57" s="142" t="n"/>
      <c r="C57" s="124" t="n"/>
      <c r="D57" s="124" t="n"/>
      <c r="E57" s="124" t="n"/>
      <c r="F57" s="124" t="n"/>
      <c r="G57" s="124" t="n"/>
      <c r="H57" s="124" t="n"/>
      <c r="I57" s="125" t="n"/>
    </row>
    <row r="58" ht="20.25" customHeight="1" s="151">
      <c r="A58" s="120" t="inlineStr">
        <is>
          <t xml:space="preserve">INCIDENTS &amp; REPORTS </t>
        </is>
      </c>
      <c r="B58" s="159" t="n"/>
      <c r="C58" s="159" t="n"/>
      <c r="D58" s="159" t="n"/>
      <c r="E58" s="159" t="n"/>
      <c r="F58" s="159" t="n"/>
      <c r="G58" s="159" t="n"/>
      <c r="H58" s="159" t="n"/>
      <c r="I58" s="160" t="n"/>
    </row>
    <row r="59" ht="25" customHeight="1" s="151">
      <c r="A59" s="57" t="n"/>
      <c r="B59" s="127" t="inlineStr">
        <is>
          <t>QTY</t>
        </is>
      </c>
      <c r="C59" s="130" t="inlineStr">
        <is>
          <t>Comments</t>
        </is>
      </c>
      <c r="D59" s="159" t="n"/>
      <c r="E59" s="159" t="n"/>
      <c r="F59" s="159" t="n"/>
      <c r="G59" s="159" t="n"/>
      <c r="H59" s="159" t="n"/>
      <c r="I59" s="160" t="n"/>
    </row>
    <row r="60" ht="25" customHeight="1" s="151">
      <c r="A60" s="58" t="inlineStr">
        <is>
          <t>INCIDENT</t>
        </is>
      </c>
      <c r="B60" s="127" t="n">
        <v>0</v>
      </c>
      <c r="C60" s="145" t="inlineStr">
        <is>
          <t xml:space="preserve">Incident </t>
        </is>
      </c>
      <c r="D60" s="124" t="n"/>
      <c r="E60" s="124" t="n"/>
      <c r="F60" s="124" t="n"/>
      <c r="G60" s="124" t="n"/>
      <c r="H60" s="124" t="n"/>
      <c r="I60" s="125" t="n"/>
    </row>
    <row r="61" ht="25" customHeight="1" s="151">
      <c r="A61" s="59" t="inlineStr">
        <is>
          <t>IR</t>
        </is>
      </c>
      <c r="B61" s="60" t="n">
        <v>0</v>
      </c>
      <c r="C61" s="145" t="inlineStr">
        <is>
          <t>NA</t>
        </is>
      </c>
      <c r="D61" s="124" t="n"/>
      <c r="E61" s="124" t="n"/>
      <c r="F61" s="124" t="n"/>
      <c r="G61" s="124" t="n"/>
      <c r="H61" s="124" t="n"/>
      <c r="I61" s="125" t="n"/>
    </row>
    <row r="62" ht="25" customHeight="1" s="151" thickBot="1">
      <c r="A62" s="61" t="inlineStr">
        <is>
          <t>NCR</t>
        </is>
      </c>
      <c r="B62" s="62" t="n">
        <v>0</v>
      </c>
      <c r="C62" s="146" t="inlineStr">
        <is>
          <t>NA</t>
        </is>
      </c>
      <c r="D62" s="147" t="n"/>
      <c r="E62" s="147" t="n"/>
      <c r="F62" s="147" t="n"/>
      <c r="G62" s="147" t="n"/>
      <c r="H62" s="147" t="n"/>
      <c r="I62" s="148" t="n"/>
    </row>
    <row r="63" ht="20.25" customHeight="1" s="151">
      <c r="A63" s="137" t="inlineStr">
        <is>
          <t>COMMUNICATIONS</t>
        </is>
      </c>
      <c r="B63" s="138" t="n"/>
      <c r="C63" s="138" t="n"/>
      <c r="D63" s="138" t="n"/>
      <c r="E63" s="138" t="n"/>
      <c r="F63" s="138" t="n"/>
      <c r="G63" s="138" t="n"/>
      <c r="H63" s="138" t="n"/>
      <c r="I63" s="139" t="n"/>
    </row>
    <row r="64" ht="25" customHeight="1" s="151">
      <c r="A64" s="157" t="inlineStr">
        <is>
          <t>TGS MB1119-05 Scheme D implemented</t>
        </is>
      </c>
      <c r="B64" s="159" t="n"/>
      <c r="C64" s="159" t="n"/>
      <c r="D64" s="159" t="n"/>
      <c r="E64" s="159" t="n"/>
      <c r="F64" s="159" t="n"/>
      <c r="G64" s="159" t="n"/>
      <c r="H64" s="159" t="n"/>
      <c r="I64" s="160" t="n"/>
    </row>
    <row r="65" ht="25" customHeight="1" s="151">
      <c r="A65" s="120" t="inlineStr">
        <is>
          <t>PRODUCTION (CONSTRUCTION STATUS &amp; PROGRESS)</t>
        </is>
      </c>
      <c r="B65" s="159" t="n"/>
      <c r="C65" s="159" t="n"/>
      <c r="D65" s="159" t="n"/>
      <c r="E65" s="159" t="n"/>
      <c r="F65" s="159" t="n"/>
      <c r="G65" s="159" t="n"/>
      <c r="H65" s="159" t="n"/>
      <c r="I65" s="160" t="n"/>
    </row>
    <row r="66" ht="25" customHeight="1" s="151">
      <c r="A66" s="98" t="inlineStr">
        <is>
          <t>Basecourse Import &amp; Sub-base Proof Roll to Bayley Street End</t>
        </is>
      </c>
      <c r="B66" s="64" t="n"/>
      <c r="C66" s="9" t="n"/>
      <c r="D66" s="9" t="n"/>
      <c r="E66" s="64" t="n"/>
      <c r="F66" s="64" t="n"/>
      <c r="G66" s="9" t="n"/>
      <c r="H66" s="64" t="n"/>
      <c r="I66" s="65" t="n"/>
    </row>
    <row r="67" ht="25" customHeight="1" s="151">
      <c r="A67" s="98" t="inlineStr">
        <is>
          <t>Trimming of batters/ Footpath area</t>
        </is>
      </c>
      <c r="B67" s="64" t="n"/>
      <c r="C67" s="9" t="n"/>
      <c r="D67" s="9" t="n"/>
      <c r="E67" s="64" t="n"/>
      <c r="F67" s="64" t="n"/>
      <c r="G67" s="9" t="n"/>
      <c r="H67" s="64" t="n"/>
      <c r="I67" s="65" t="n"/>
    </row>
    <row r="68" ht="25" customHeight="1" s="151">
      <c r="A68" s="98" t="inlineStr">
        <is>
          <t>Limestone Block Install</t>
        </is>
      </c>
      <c r="B68" s="64" t="n"/>
      <c r="C68" s="9" t="n"/>
      <c r="D68" s="9" t="n"/>
      <c r="E68" s="64" t="n"/>
      <c r="F68" s="64" t="n"/>
      <c r="G68" s="9" t="n"/>
      <c r="H68" s="64" t="n"/>
      <c r="I68" s="65" t="n"/>
    </row>
    <row r="69" ht="30.5" customHeight="1" s="151">
      <c r="A69" s="98" t="inlineStr">
        <is>
          <t>Removal of Laterals and commence trenching to Chambers way in anticipatation of new gas alignment</t>
        </is>
      </c>
      <c r="B69" s="64" t="n"/>
      <c r="C69" s="9" t="n"/>
      <c r="D69" s="9" t="n"/>
      <c r="E69" s="64" t="n"/>
      <c r="F69" s="64" t="n"/>
      <c r="G69" s="9" t="n"/>
      <c r="H69" s="64" t="n"/>
      <c r="I69" s="65" t="n"/>
    </row>
    <row r="70" ht="26.15" customHeight="1" s="151" thickBot="1">
      <c r="A70" s="123" t="inlineStr">
        <is>
          <t>Photos</t>
        </is>
      </c>
      <c r="B70" s="124" t="n"/>
      <c r="C70" s="124" t="n"/>
      <c r="D70" s="124" t="n"/>
      <c r="E70" s="124" t="n"/>
      <c r="F70" s="124" t="n"/>
      <c r="G70" s="124" t="n"/>
      <c r="H70" s="124" t="n"/>
      <c r="I70" s="125" t="n"/>
    </row>
    <row r="71" ht="23.15" customHeight="1" s="151">
      <c r="A71" s="66" t="n"/>
      <c r="B71" s="67" t="n"/>
      <c r="C71" s="67" t="n"/>
      <c r="D71" s="67" t="n"/>
      <c r="E71" s="67" t="n"/>
      <c r="F71" s="67" t="n"/>
      <c r="G71" s="67" t="n"/>
      <c r="H71" s="67" t="n"/>
      <c r="I71" s="68" t="n"/>
    </row>
    <row r="72" ht="23.15" customHeight="1" s="151">
      <c r="A72" s="69" t="n"/>
      <c r="B72" s="70" t="n"/>
      <c r="C72" s="70" t="n"/>
      <c r="D72" s="70" t="n"/>
      <c r="E72" s="70" t="n"/>
      <c r="F72" s="70" t="n"/>
      <c r="G72" s="70" t="n"/>
      <c r="H72" s="70" t="n"/>
      <c r="I72" s="71" t="n"/>
    </row>
    <row r="73" ht="15" customHeight="1" s="151">
      <c r="A73" s="69" t="n"/>
      <c r="B73" s="70" t="n"/>
      <c r="C73" s="70" t="n"/>
      <c r="D73" s="70" t="n"/>
      <c r="E73" s="70" t="n"/>
      <c r="F73" s="70" t="n"/>
      <c r="G73" s="70" t="n"/>
      <c r="H73" s="70" t="n"/>
      <c r="I73" s="71" t="n"/>
    </row>
    <row r="74" ht="15" customHeight="1" s="151">
      <c r="A74" s="69" t="n"/>
      <c r="B74" s="70" t="n"/>
      <c r="C74" s="70" t="n"/>
      <c r="D74" s="70" t="n"/>
      <c r="E74" s="70" t="n"/>
      <c r="F74" s="70" t="n"/>
      <c r="G74" s="70" t="n"/>
      <c r="H74" s="70" t="n"/>
      <c r="I74" s="71" t="n"/>
    </row>
    <row r="75" ht="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H93" s="70" t="n"/>
      <c r="I93" s="71" t="n"/>
    </row>
    <row r="94" ht="25" customFormat="1" customHeight="1" s="10">
      <c r="A94" s="69" t="n"/>
      <c r="B94" s="70" t="n"/>
      <c r="C94" s="70" t="n"/>
      <c r="D94" s="70" t="n"/>
      <c r="E94" s="70" t="n"/>
      <c r="F94" s="70" t="n"/>
      <c r="G94" s="70" t="n"/>
      <c r="H94" s="70" t="n"/>
      <c r="I94" s="71" t="n"/>
    </row>
    <row r="95" ht="15" customHeight="1" s="151">
      <c r="A95" s="69" t="n"/>
      <c r="B95" s="70" t="n"/>
      <c r="C95" s="70" t="n"/>
      <c r="D95" s="70" t="n"/>
      <c r="E95" s="70" t="n"/>
      <c r="F95" s="70" t="n"/>
      <c r="G95" s="70" t="n"/>
      <c r="H95" s="70" t="n"/>
      <c r="I95" s="71" t="n"/>
    </row>
    <row r="96" ht="15" customHeight="1" s="151">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thickBot="1">
      <c r="A109" s="72" t="n"/>
      <c r="B109" s="73" t="n"/>
      <c r="C109" s="73" t="n"/>
      <c r="D109" s="73" t="n"/>
      <c r="E109" s="73" t="n"/>
      <c r="F109" s="73" t="n"/>
      <c r="G109" s="73" t="n"/>
      <c r="H109" s="73" t="n"/>
      <c r="I109" s="74" t="n"/>
    </row>
    <row r="110" ht="15" customHeight="1" s="151">
      <c r="A110" s="69" t="n"/>
      <c r="B110" s="70" t="n"/>
      <c r="C110" s="70" t="n"/>
      <c r="D110" s="70" t="n"/>
      <c r="E110" s="70" t="n"/>
      <c r="F110" s="70" t="n"/>
      <c r="G110" s="70" t="n"/>
      <c r="H110" s="70" t="n"/>
      <c r="I110" s="71" t="n"/>
    </row>
    <row r="111" ht="15" customHeight="1" s="151">
      <c r="A111" s="69" t="n"/>
      <c r="B111" s="70" t="n"/>
      <c r="C111" s="70" t="n"/>
      <c r="D111" s="70" t="n"/>
      <c r="E111" s="70" t="n"/>
      <c r="F111" s="70" t="n"/>
      <c r="G111" s="70" t="n"/>
      <c r="H111" s="70" t="n"/>
      <c r="I111" s="71"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2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15" customHeight="1" s="151">
      <c r="A120" s="69" t="n"/>
      <c r="B120" s="70" t="n"/>
      <c r="C120" s="70" t="n"/>
      <c r="D120" s="70" t="n"/>
      <c r="E120" s="70" t="n"/>
      <c r="F120" s="70" t="n"/>
      <c r="G120" s="70" t="n"/>
      <c r="H120" s="70" t="n"/>
      <c r="I120" s="71" t="n"/>
    </row>
    <row r="121" ht="28"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15"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thickBot="1">
      <c r="A134" s="69" t="n"/>
      <c r="B134" s="70" t="n"/>
      <c r="C134" s="70" t="n"/>
      <c r="D134" s="70" t="n"/>
      <c r="E134" s="70" t="n"/>
      <c r="F134" s="70" t="n"/>
      <c r="G134" s="70" t="n"/>
      <c r="H134" s="70" t="n"/>
      <c r="I134" s="71" t="n"/>
      <c r="J134" s="75" t="n"/>
    </row>
    <row r="135" ht="15" customHeight="1" s="151">
      <c r="A135" s="69" t="n"/>
      <c r="B135" s="70" t="n"/>
      <c r="C135" s="70" t="n"/>
      <c r="D135" s="70" t="n"/>
      <c r="E135" s="70" t="n"/>
      <c r="F135" s="70" t="n"/>
      <c r="G135" s="70" t="n"/>
      <c r="H135" s="70" t="n"/>
      <c r="I135" s="71" t="n"/>
    </row>
    <row r="136" ht="15" customHeight="1" s="151">
      <c r="A136" s="69" t="n"/>
      <c r="B136" s="70" t="n"/>
      <c r="C136" s="70" t="n"/>
      <c r="D136" s="70" t="n"/>
      <c r="E136" s="70" t="n"/>
      <c r="F136" s="70" t="n"/>
      <c r="G136" s="70" t="n"/>
      <c r="H136" s="70" t="n"/>
      <c r="I136" s="71"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6" customHeight="1" s="151">
      <c r="A141" s="69" t="n"/>
      <c r="B141" s="70" t="n"/>
      <c r="C141" s="70" t="n"/>
      <c r="D141" s="70" t="n"/>
      <c r="E141" s="70" t="n"/>
      <c r="F141" s="70" t="n"/>
      <c r="G141" s="70" t="n"/>
      <c r="H141" s="70" t="n"/>
      <c r="I141" s="71" t="n"/>
    </row>
    <row r="142" ht="30.75" customHeight="1" s="151">
      <c r="A142" s="143" t="n"/>
      <c r="E142" s="144" t="n"/>
      <c r="I142" s="113" t="n"/>
    </row>
    <row r="143">
      <c r="A143" s="7" t="n"/>
      <c r="I143" s="8" t="n"/>
    </row>
    <row r="144">
      <c r="A144" s="7" t="n"/>
      <c r="I144" s="8" t="n"/>
    </row>
    <row r="145">
      <c r="A145" s="7" t="n"/>
      <c r="I145" s="8"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I177" s="8" t="n"/>
    </row>
    <row r="178">
      <c r="A178" s="7" t="n"/>
      <c r="I178" s="8" t="n"/>
    </row>
    <row r="179">
      <c r="A179" s="7" t="n"/>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ht="16" customHeight="1" s="151" thickBot="1">
      <c r="A196" s="4" t="n"/>
      <c r="B196" s="5" t="n"/>
      <c r="C196" s="5" t="n"/>
      <c r="D196" s="5" t="n"/>
      <c r="E196" s="5" t="n"/>
      <c r="F196" s="5" t="n"/>
      <c r="G196" s="5" t="n"/>
      <c r="H196" s="5" t="n"/>
      <c r="I196" s="6" t="n"/>
    </row>
    <row r="197">
      <c r="A197" s="7" t="n"/>
      <c r="I197" s="8" t="n"/>
    </row>
    <row r="198">
      <c r="A198" s="7" t="n"/>
      <c r="I198" s="8" t="n"/>
    </row>
    <row r="199">
      <c r="A199" s="7" t="n"/>
      <c r="I199" s="8" t="n"/>
    </row>
    <row r="200">
      <c r="A200" s="7" t="n"/>
      <c r="I200" s="8" t="n"/>
    </row>
    <row r="201">
      <c r="A201" s="7" t="n"/>
      <c r="I201" s="8" t="n"/>
    </row>
    <row r="202">
      <c r="A202" s="7" t="n"/>
      <c r="I202" s="8" t="n"/>
    </row>
    <row r="203" ht="16" customHeight="1" s="151" thickBot="1">
      <c r="A203" s="4" t="n"/>
      <c r="B203" s="5" t="n"/>
      <c r="C203" s="5" t="n"/>
      <c r="D203" s="5" t="n"/>
      <c r="E203" s="5" t="n"/>
      <c r="F203" s="5" t="n"/>
      <c r="G203" s="5" t="n"/>
      <c r="H203" s="5" t="n"/>
      <c r="I203" s="6" t="n"/>
    </row>
  </sheetData>
  <mergeCells count="39">
    <mergeCell ref="C61:I61"/>
    <mergeCell ref="A65:I65"/>
    <mergeCell ref="D13:F13"/>
    <mergeCell ref="G13:I13"/>
    <mergeCell ref="B8:D8"/>
    <mergeCell ref="B54:I54"/>
    <mergeCell ref="E142:I142"/>
    <mergeCell ref="A12:I12"/>
    <mergeCell ref="B43:C43"/>
    <mergeCell ref="D43:I43"/>
    <mergeCell ref="A47:I47"/>
    <mergeCell ref="A5:I5"/>
    <mergeCell ref="A46:B46"/>
    <mergeCell ref="B9:D9"/>
    <mergeCell ref="A48:I51"/>
    <mergeCell ref="A142:D142"/>
    <mergeCell ref="C62:I62"/>
    <mergeCell ref="B57:I57"/>
    <mergeCell ref="B6:D6"/>
    <mergeCell ref="A52:I52"/>
    <mergeCell ref="B44:C44"/>
    <mergeCell ref="A13:C13"/>
    <mergeCell ref="B53:I53"/>
    <mergeCell ref="A63:I63"/>
    <mergeCell ref="A10:I10"/>
    <mergeCell ref="A1:I4"/>
    <mergeCell ref="A58:I58"/>
    <mergeCell ref="D44:I44"/>
    <mergeCell ref="B7:D7"/>
    <mergeCell ref="C55:I55"/>
    <mergeCell ref="A64:I64"/>
    <mergeCell ref="A11:I11"/>
    <mergeCell ref="D46:I46"/>
    <mergeCell ref="C56:I56"/>
    <mergeCell ref="C59:I59"/>
    <mergeCell ref="B45:C45"/>
    <mergeCell ref="D45:I45"/>
    <mergeCell ref="A70:I70"/>
    <mergeCell ref="C60:I60"/>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69" min="0" max="8" man="1"/>
  </rowBreaks>
</worksheet>
</file>

<file path=xl/worksheets/sheet24.xml><?xml version="1.0" encoding="utf-8"?>
<worksheet xmlns="http://schemas.openxmlformats.org/spreadsheetml/2006/main">
  <sheetPr>
    <outlinePr summaryBelow="1" summaryRight="1"/>
    <pageSetUpPr fitToPage="1"/>
  </sheetPr>
  <dimension ref="A1:J205"/>
  <sheetViews>
    <sheetView tabSelected="1" view="pageBreakPreview" topLeftCell="A148" zoomScale="70" zoomScaleNormal="55" zoomScaleSheetLayoutView="70" workbookViewId="0">
      <selection activeCell="D23" sqref="D23"/>
    </sheetView>
  </sheetViews>
  <sheetFormatPr baseColWidth="8" defaultColWidth="9.1796875" defaultRowHeight="14.5"/>
  <cols>
    <col width="62.1796875" bestFit="1" customWidth="1" style="112" min="1" max="1"/>
    <col width="36.7265625" bestFit="1" customWidth="1" style="112" min="2" max="2"/>
    <col width="16" customWidth="1" style="112" min="3" max="3"/>
    <col width="35.453125" customWidth="1" style="112" min="4" max="4"/>
    <col width="21.26953125" customWidth="1" style="112" min="5" max="5"/>
    <col width="11.453125" bestFit="1" customWidth="1" style="112" min="6" max="6"/>
    <col width="60.453125" bestFit="1" customWidth="1" style="112" min="7" max="7"/>
    <col width="27.1796875" bestFit="1" customWidth="1" style="112" min="8" max="8"/>
    <col width="22.1796875" customWidth="1" style="112" min="9" max="9"/>
    <col width="9.1796875" customWidth="1" style="112" min="10" max="10"/>
    <col width="9.1796875" customWidth="1" style="112" min="11" max="16384"/>
  </cols>
  <sheetData>
    <row r="1">
      <c r="A1" s="108" t="n"/>
      <c r="B1" s="109" t="n"/>
      <c r="C1" s="109" t="n"/>
      <c r="D1" s="109" t="n"/>
      <c r="E1" s="109" t="n"/>
      <c r="F1" s="109" t="n"/>
      <c r="G1" s="109" t="n"/>
      <c r="H1" s="109" t="n"/>
      <c r="I1" s="110" t="n"/>
    </row>
    <row r="2">
      <c r="A2" s="111" t="n"/>
      <c r="I2" s="113" t="n"/>
    </row>
    <row r="3">
      <c r="A3" s="111" t="n"/>
      <c r="I3" s="113" t="n"/>
    </row>
    <row r="4">
      <c r="A4" s="114" t="n"/>
      <c r="B4" s="107" t="n"/>
      <c r="C4" s="107" t="n"/>
      <c r="D4" s="107" t="n"/>
      <c r="E4" s="107" t="n"/>
      <c r="F4" s="107" t="n"/>
      <c r="G4" s="107" t="n"/>
      <c r="H4" s="107" t="n"/>
      <c r="I4" s="115" t="n"/>
    </row>
    <row r="5" ht="25" customHeight="1" s="151">
      <c r="A5" s="116" t="inlineStr">
        <is>
          <t>TCD DAILY FIELD REPORT</t>
        </is>
      </c>
      <c r="B5" s="159" t="n"/>
      <c r="C5" s="159" t="n"/>
      <c r="D5" s="159" t="n"/>
      <c r="E5" s="159" t="n"/>
      <c r="F5" s="159" t="n"/>
      <c r="G5" s="159" t="n"/>
      <c r="H5" s="159" t="n"/>
      <c r="I5" s="118" t="n"/>
    </row>
    <row r="6" ht="23.15" customHeight="1" s="151">
      <c r="A6" s="11" t="inlineStr">
        <is>
          <t>Project Name:</t>
        </is>
      </c>
      <c r="B6" s="119" t="inlineStr">
        <is>
          <t>Batavia Station Square</t>
        </is>
      </c>
      <c r="E6" s="119" t="n"/>
      <c r="F6" s="13" t="n"/>
      <c r="G6" s="13" t="n"/>
      <c r="H6" s="14" t="inlineStr">
        <is>
          <t>Date:</t>
        </is>
      </c>
      <c r="I6" s="15" t="n">
        <v>45930</v>
      </c>
    </row>
    <row r="7" ht="23.15" customHeight="1" s="151">
      <c r="A7" s="11" t="inlineStr">
        <is>
          <t>Project Location:</t>
        </is>
      </c>
      <c r="B7" s="119" t="inlineStr">
        <is>
          <t>Geraldton</t>
        </is>
      </c>
      <c r="E7" s="119" t="n"/>
      <c r="F7" s="13" t="n"/>
      <c r="G7" s="13" t="n"/>
      <c r="H7" s="16" t="inlineStr">
        <is>
          <t>Day:</t>
        </is>
      </c>
      <c r="I7" s="17">
        <f>DAY(I6)+1</f>
        <v/>
      </c>
    </row>
    <row r="8" ht="23.15" customHeight="1" s="151">
      <c r="A8" s="11" t="inlineStr">
        <is>
          <t>Project Number:</t>
        </is>
      </c>
      <c r="B8" s="119" t="inlineStr">
        <is>
          <t>TCD-1816</t>
        </is>
      </c>
      <c r="E8" s="119" t="n"/>
      <c r="F8" s="13" t="n"/>
      <c r="G8" s="13" t="n"/>
      <c r="H8" s="16" t="inlineStr">
        <is>
          <t>Start:</t>
        </is>
      </c>
      <c r="I8" s="94" t="inlineStr">
        <is>
          <t xml:space="preserve">  6:00</t>
        </is>
      </c>
    </row>
    <row r="9" ht="23.15" customHeight="1" s="151">
      <c r="A9" s="11" t="inlineStr">
        <is>
          <t>Report Number:</t>
        </is>
      </c>
      <c r="B9" s="106" t="n">
        <v>119</v>
      </c>
      <c r="C9" s="107" t="n"/>
      <c r="D9" s="107" t="n"/>
      <c r="E9" s="106" t="n"/>
      <c r="F9" s="20" t="n"/>
      <c r="G9" s="20" t="n"/>
      <c r="H9" s="16" t="inlineStr">
        <is>
          <t>Finish:</t>
        </is>
      </c>
      <c r="I9" s="18" t="n">
        <v>0.7708333333333334</v>
      </c>
    </row>
    <row r="10" ht="25" customHeight="1" s="151">
      <c r="A10" s="120" t="inlineStr">
        <is>
          <t>WEATHER &amp; GROUND CONDITIONS</t>
        </is>
      </c>
      <c r="B10" s="159" t="n"/>
      <c r="C10" s="159" t="n"/>
      <c r="D10" s="159" t="n"/>
      <c r="E10" s="159" t="n"/>
      <c r="F10" s="159" t="n"/>
      <c r="G10" s="159" t="n"/>
      <c r="H10" s="159" t="n"/>
      <c r="I10" s="160" t="n"/>
    </row>
    <row r="11" ht="23.15" customHeight="1" s="151">
      <c r="A11" s="158" t="inlineStr">
        <is>
          <t>Temperature: 23 degrees  Wind:  43km/h SW Precip: 0 mm</t>
        </is>
      </c>
      <c r="B11" s="159" t="n"/>
      <c r="C11" s="159" t="n"/>
      <c r="D11" s="159" t="n"/>
      <c r="E11" s="159" t="n"/>
      <c r="F11" s="159" t="n"/>
      <c r="G11" s="159" t="n"/>
      <c r="H11" s="159" t="n"/>
      <c r="I11" s="160" t="n"/>
    </row>
    <row r="12" ht="25" customHeight="1" s="151">
      <c r="A12" s="123" t="inlineStr">
        <is>
          <t>PERSONNEL</t>
        </is>
      </c>
      <c r="B12" s="124" t="n"/>
      <c r="C12" s="124" t="n"/>
      <c r="D12" s="124" t="n"/>
      <c r="E12" s="124" t="n"/>
      <c r="F12" s="124" t="n"/>
      <c r="G12" s="124" t="n"/>
      <c r="H12" s="124" t="n"/>
      <c r="I12" s="125" t="n"/>
    </row>
    <row r="13" ht="23.15" customHeight="1" s="151">
      <c r="A13" s="126" t="inlineStr">
        <is>
          <t>TCD Indirects</t>
        </is>
      </c>
      <c r="B13" s="159" t="n"/>
      <c r="C13" s="118" t="n"/>
      <c r="D13" s="127" t="inlineStr">
        <is>
          <t>TCD Directs</t>
        </is>
      </c>
      <c r="E13" s="159" t="n"/>
      <c r="F13" s="118" t="n"/>
      <c r="G13" s="127" t="inlineStr">
        <is>
          <t>Subcontractors</t>
        </is>
      </c>
      <c r="H13" s="159" t="n"/>
      <c r="I13" s="118" t="n"/>
    </row>
    <row r="14" ht="24" customHeight="1" s="151">
      <c r="A14" s="126" t="inlineStr">
        <is>
          <t xml:space="preserve"> Name</t>
        </is>
      </c>
      <c r="B14" s="127" t="inlineStr">
        <is>
          <t>Position</t>
        </is>
      </c>
      <c r="C14" s="23" t="inlineStr">
        <is>
          <t>Hours</t>
        </is>
      </c>
      <c r="D14" s="127" t="inlineStr">
        <is>
          <t xml:space="preserve"> Name</t>
        </is>
      </c>
      <c r="E14" s="127" t="inlineStr">
        <is>
          <t>Position</t>
        </is>
      </c>
      <c r="F14" s="23" t="inlineStr">
        <is>
          <t>Hours</t>
        </is>
      </c>
      <c r="G14" s="127" t="inlineStr">
        <is>
          <t xml:space="preserve"> Name</t>
        </is>
      </c>
      <c r="H14" s="127" t="inlineStr">
        <is>
          <t>Position</t>
        </is>
      </c>
      <c r="I14" s="132" t="inlineStr">
        <is>
          <t>Hours</t>
        </is>
      </c>
    </row>
    <row r="15" ht="23.15" customHeight="1" s="151">
      <c r="A15" s="25" t="inlineStr">
        <is>
          <t>WATKINS, Steve</t>
        </is>
      </c>
      <c r="B15" s="26" t="inlineStr">
        <is>
          <t>Civil Manager</t>
        </is>
      </c>
      <c r="C15" s="27" t="n"/>
      <c r="D15" s="26" t="inlineStr">
        <is>
          <t>Asmatullayev, Ikhtiyar</t>
        </is>
      </c>
      <c r="E15" s="26" t="inlineStr">
        <is>
          <t>Labourer</t>
        </is>
      </c>
      <c r="F15" s="26" t="n"/>
      <c r="G15" s="29" t="inlineStr">
        <is>
          <t>McAuffile, Daniel</t>
        </is>
      </c>
      <c r="H15" s="26" t="inlineStr">
        <is>
          <t>Operator</t>
        </is>
      </c>
      <c r="I15" s="30" t="n">
        <v>10</v>
      </c>
    </row>
    <row r="16" ht="23.15" customHeight="1" s="151">
      <c r="A16" s="25" t="inlineStr">
        <is>
          <t>GRIFFITHS, Daniel</t>
        </is>
      </c>
      <c r="B16" s="26" t="inlineStr">
        <is>
          <t>Project Manager</t>
        </is>
      </c>
      <c r="C16" s="31" t="n">
        <v>12</v>
      </c>
      <c r="D16" s="29" t="inlineStr">
        <is>
          <t>Hanly,Thomas</t>
        </is>
      </c>
      <c r="E16" s="26" t="inlineStr">
        <is>
          <t>Operator</t>
        </is>
      </c>
      <c r="F16" s="26" t="n"/>
      <c r="G16" s="29" t="inlineStr">
        <is>
          <t>Mosley,Joshua</t>
        </is>
      </c>
      <c r="H16" s="26" t="inlineStr">
        <is>
          <t>Surveyor</t>
        </is>
      </c>
      <c r="I16" s="30" t="n">
        <v>6</v>
      </c>
    </row>
    <row r="17" ht="23.15" customHeight="1" s="151">
      <c r="A17" s="25" t="inlineStr">
        <is>
          <t>O"SHEA, John</t>
        </is>
      </c>
      <c r="B17" s="26" t="inlineStr">
        <is>
          <t>Senior Project Engineer</t>
        </is>
      </c>
      <c r="C17" s="31" t="n">
        <v>12</v>
      </c>
      <c r="D17" s="26" t="inlineStr">
        <is>
          <t>McGahon,Aideen</t>
        </is>
      </c>
      <c r="E17" s="26" t="inlineStr">
        <is>
          <t>Operator</t>
        </is>
      </c>
      <c r="F17" s="26" t="n">
        <v>12</v>
      </c>
      <c r="G17" s="29" t="inlineStr">
        <is>
          <t>Mullin, Connell</t>
        </is>
      </c>
      <c r="H17" s="26" t="inlineStr">
        <is>
          <t>Operator</t>
        </is>
      </c>
      <c r="I17" s="30" t="n">
        <v>12</v>
      </c>
    </row>
    <row r="18" ht="23.15" customHeight="1" s="151">
      <c r="A18" s="25" t="inlineStr">
        <is>
          <t>GRIFFITHS, Ashley</t>
        </is>
      </c>
      <c r="B18" s="26" t="inlineStr">
        <is>
          <t>Supervisor</t>
        </is>
      </c>
      <c r="C18" s="31" t="n">
        <v>10</v>
      </c>
      <c r="D18" s="28" t="n"/>
      <c r="E18" s="28" t="n"/>
      <c r="F18" s="26" t="n"/>
      <c r="G18" s="29" t="inlineStr">
        <is>
          <t>Keady, Brendan</t>
        </is>
      </c>
      <c r="H18" s="26" t="inlineStr">
        <is>
          <t>Operator</t>
        </is>
      </c>
      <c r="I18" s="30" t="n">
        <v>12</v>
      </c>
    </row>
    <row r="19" ht="23.15" customHeight="1" s="151">
      <c r="A19" s="25" t="inlineStr">
        <is>
          <t>THOMPSON,Cheryl</t>
        </is>
      </c>
      <c r="B19" s="26" t="inlineStr">
        <is>
          <t>HSET</t>
        </is>
      </c>
      <c r="C19" s="31" t="n"/>
      <c r="D19" s="28" t="n"/>
      <c r="E19" s="28" t="n"/>
      <c r="F19" s="26" t="n"/>
      <c r="G19" s="29" t="inlineStr">
        <is>
          <t>Griffiths, Jaquai</t>
        </is>
      </c>
      <c r="H19" s="26" t="inlineStr">
        <is>
          <t>Operator</t>
        </is>
      </c>
      <c r="I19" s="30" t="n">
        <v>10</v>
      </c>
    </row>
    <row r="20" ht="23.15" customHeight="1" s="151">
      <c r="A20" s="25" t="inlineStr">
        <is>
          <t>SKINNER,Jamie</t>
        </is>
      </c>
      <c r="B20" s="26" t="inlineStr">
        <is>
          <t>Supervisor</t>
        </is>
      </c>
      <c r="C20" s="31" t="n"/>
      <c r="D20" s="28" t="n"/>
      <c r="E20" s="28" t="n"/>
      <c r="F20" s="26" t="n"/>
      <c r="G20" s="29" t="inlineStr">
        <is>
          <t>Geraldton Natural Limestone</t>
        </is>
      </c>
      <c r="H20" s="26" t="inlineStr">
        <is>
          <t>Labourers</t>
        </is>
      </c>
      <c r="I20" s="30" t="n">
        <v>20</v>
      </c>
    </row>
    <row r="21" ht="23.15" customHeight="1" s="151">
      <c r="A21" s="99" t="inlineStr">
        <is>
          <t>TONER, Ultan</t>
        </is>
      </c>
      <c r="B21" s="26" t="inlineStr">
        <is>
          <t>Supervisor</t>
        </is>
      </c>
      <c r="C21" s="31" t="n">
        <v>12</v>
      </c>
      <c r="D21" s="28" t="n"/>
      <c r="E21" s="28" t="n"/>
      <c r="F21" s="26" t="n"/>
      <c r="G21" s="29" t="inlineStr">
        <is>
          <t>Superstruct</t>
        </is>
      </c>
      <c r="H21" s="26" t="inlineStr">
        <is>
          <t>Concreters</t>
        </is>
      </c>
      <c r="I21" s="30" t="n">
        <v>40</v>
      </c>
    </row>
    <row r="22" ht="23.15" customHeight="1" s="151">
      <c r="A22" s="25" t="n"/>
      <c r="B22" s="26" t="n"/>
      <c r="C22" s="31" t="n"/>
      <c r="D22" s="28" t="n"/>
      <c r="E22" s="28" t="n"/>
      <c r="F22" s="26" t="n"/>
      <c r="G22" s="29" t="inlineStr">
        <is>
          <t>Ivac</t>
        </is>
      </c>
      <c r="H22" s="26" t="inlineStr">
        <is>
          <t>Vac Truck</t>
        </is>
      </c>
      <c r="I22" s="30" t="n">
        <v>20</v>
      </c>
    </row>
    <row r="23" ht="23.15" customHeight="1" s="151">
      <c r="A23" s="25" t="n"/>
      <c r="B23" s="26" t="n"/>
      <c r="C23" s="31" t="n"/>
      <c r="D23" s="28" t="n"/>
      <c r="E23" s="28" t="n"/>
      <c r="F23" s="26" t="n"/>
      <c r="G23" s="29" t="n"/>
      <c r="H23" s="26" t="n"/>
      <c r="I23" s="30" t="n"/>
    </row>
    <row r="24" ht="23.15" customHeight="1" s="151">
      <c r="A24" s="131" t="inlineStr">
        <is>
          <t xml:space="preserve">Total Indirect Personnel onsite: </t>
        </is>
      </c>
      <c r="B24" s="34">
        <f>COUNT(C15:C24)</f>
        <v/>
      </c>
      <c r="C24" s="28" t="n"/>
      <c r="D24" s="28" t="n"/>
      <c r="E24" s="28" t="n"/>
      <c r="F24" s="26" t="n"/>
      <c r="G24" s="78" t="n"/>
      <c r="H24" s="77" t="n"/>
      <c r="I24" s="30" t="n"/>
    </row>
    <row r="25" ht="23.15" customHeight="1" s="151">
      <c r="A25" s="131" t="inlineStr">
        <is>
          <t xml:space="preserve">Total Indirect Personnel hours: </t>
        </is>
      </c>
      <c r="B25" s="34">
        <f>SUM(C15:C23)</f>
        <v/>
      </c>
      <c r="C25" s="31" t="n"/>
      <c r="D25" s="28" t="n"/>
      <c r="E25" s="28" t="n"/>
      <c r="F25" s="26" t="n"/>
      <c r="G25" s="35" t="inlineStr">
        <is>
          <t>Total Subcontractor on-site:</t>
        </is>
      </c>
      <c r="H25" s="36" t="n">
        <v>13</v>
      </c>
      <c r="I25" s="30" t="n"/>
    </row>
    <row r="26" ht="23.15" customHeight="1" s="151">
      <c r="A26" s="131" t="inlineStr">
        <is>
          <t xml:space="preserve">Total Direct Personnel onsite:  </t>
        </is>
      </c>
      <c r="B26" s="34">
        <f>COUNTIF(F15:F27,"&gt;0")</f>
        <v/>
      </c>
      <c r="C26" s="34" t="n"/>
      <c r="D26" s="28" t="n"/>
      <c r="E26" s="28" t="n"/>
      <c r="F26" s="37" t="n"/>
      <c r="G26" s="35" t="inlineStr">
        <is>
          <t>Total Subcontractor hours:</t>
        </is>
      </c>
      <c r="H26" s="36">
        <f>SUM(I11:I23)</f>
        <v/>
      </c>
      <c r="I26" s="130" t="n"/>
    </row>
    <row r="27" ht="23.15" customHeight="1" s="151">
      <c r="A27" s="131" t="inlineStr">
        <is>
          <t xml:space="preserve">Total Direct Personnel hours: </t>
        </is>
      </c>
      <c r="B27" s="34">
        <f>SUM(F15:F27)</f>
        <v/>
      </c>
      <c r="C27" s="34" t="n"/>
      <c r="D27" s="34" t="n"/>
      <c r="E27" s="34" t="n"/>
      <c r="F27" s="34" t="n"/>
      <c r="G27" s="34" t="n"/>
      <c r="H27" s="34" t="n"/>
      <c r="I27" s="130" t="n"/>
    </row>
    <row r="28" ht="25" customHeight="1" s="151">
      <c r="A28" s="39" t="inlineStr">
        <is>
          <t>PLANT &amp; EQUIPMENT</t>
        </is>
      </c>
      <c r="B28" s="40" t="n"/>
      <c r="C28" s="40" t="n"/>
      <c r="D28" s="40" t="n"/>
      <c r="E28" s="40" t="n"/>
      <c r="F28" s="40" t="n"/>
      <c r="G28" s="40" t="n"/>
      <c r="H28" s="40" t="n"/>
      <c r="I28" s="41" t="n"/>
    </row>
    <row r="29" ht="24" customHeight="1" s="151">
      <c r="A29" s="126" t="inlineStr">
        <is>
          <t>Plant</t>
        </is>
      </c>
      <c r="B29" s="127" t="inlineStr">
        <is>
          <t>ID</t>
        </is>
      </c>
      <c r="C29" s="127" t="inlineStr">
        <is>
          <t>Hours</t>
        </is>
      </c>
      <c r="D29" s="127" t="inlineStr">
        <is>
          <t xml:space="preserve"> Vehicles</t>
        </is>
      </c>
      <c r="E29" s="127" t="inlineStr">
        <is>
          <t>ID</t>
        </is>
      </c>
      <c r="F29" s="127" t="inlineStr">
        <is>
          <t>QTY</t>
        </is>
      </c>
      <c r="G29" s="42" t="inlineStr">
        <is>
          <t>Site Facilities</t>
        </is>
      </c>
      <c r="H29" s="42" t="inlineStr">
        <is>
          <t>ID</t>
        </is>
      </c>
      <c r="I29" s="43" t="inlineStr">
        <is>
          <t>Qty</t>
        </is>
      </c>
    </row>
    <row r="30" ht="23.15" customHeight="1" s="151">
      <c r="A30" s="25" t="inlineStr">
        <is>
          <t>Komatsu WA320</t>
        </is>
      </c>
      <c r="B30" s="26" t="inlineStr">
        <is>
          <t>FWL18</t>
        </is>
      </c>
      <c r="C30" s="26" t="n">
        <v>4</v>
      </c>
      <c r="D30" s="31" t="inlineStr">
        <is>
          <t>Hilux</t>
        </is>
      </c>
      <c r="E30" s="31" t="inlineStr">
        <is>
          <t>DLV90</t>
        </is>
      </c>
      <c r="F30" s="31" t="n">
        <v>1</v>
      </c>
      <c r="G30" s="31" t="inlineStr">
        <is>
          <t>Office 40ft</t>
        </is>
      </c>
      <c r="H30" s="31" t="n">
        <v>9255540</v>
      </c>
      <c r="I30" s="30" t="n">
        <v>1</v>
      </c>
    </row>
    <row r="31" ht="23.15" customHeight="1" s="151">
      <c r="A31" s="25" t="inlineStr">
        <is>
          <t>Wacker Neuson DPU</t>
        </is>
      </c>
      <c r="B31" s="26" t="inlineStr">
        <is>
          <t>DPC15</t>
        </is>
      </c>
      <c r="C31" s="26" t="n"/>
      <c r="D31" s="31" t="inlineStr">
        <is>
          <t>Hilux</t>
        </is>
      </c>
      <c r="E31" s="31" t="inlineStr">
        <is>
          <t>1DLV04</t>
        </is>
      </c>
      <c r="F31" s="31" t="n">
        <v>1</v>
      </c>
      <c r="G31" s="31" t="inlineStr">
        <is>
          <t>Sea Container 20ft</t>
        </is>
      </c>
      <c r="H31" s="26" t="n">
        <v>951200</v>
      </c>
      <c r="I31" s="30" t="n">
        <v>1</v>
      </c>
    </row>
    <row r="32" ht="23.15" customHeight="1" s="151">
      <c r="A32" s="44" t="inlineStr">
        <is>
          <t>Watercart</t>
        </is>
      </c>
      <c r="B32" s="31" t="inlineStr">
        <is>
          <t>WC04</t>
        </is>
      </c>
      <c r="C32" s="26" t="n">
        <v>5</v>
      </c>
      <c r="D32" s="31" t="n"/>
      <c r="E32" s="26" t="n"/>
      <c r="F32" s="31" t="n"/>
      <c r="G32" s="31" t="inlineStr">
        <is>
          <t>Site Sentry Tower</t>
        </is>
      </c>
      <c r="H32" s="31" t="n"/>
      <c r="I32" s="30" t="n">
        <v>2</v>
      </c>
    </row>
    <row r="33" ht="23.15" customHeight="1" s="151">
      <c r="A33" s="44" t="inlineStr">
        <is>
          <t>8T Excavator</t>
        </is>
      </c>
      <c r="B33" s="45" t="inlineStr">
        <is>
          <t>AMG 014</t>
        </is>
      </c>
      <c r="C33" s="26" t="n"/>
      <c r="D33" s="31" t="n"/>
      <c r="E33" s="31" t="n"/>
      <c r="F33" s="31" t="n"/>
      <c r="G33" s="31" t="inlineStr">
        <is>
          <t>Skip Bin</t>
        </is>
      </c>
      <c r="H33" s="31" t="n"/>
      <c r="I33" s="30" t="n">
        <v>1</v>
      </c>
    </row>
    <row r="34" ht="23.15" customHeight="1" s="151">
      <c r="A34" s="31" t="inlineStr">
        <is>
          <t>Mini Tipper</t>
        </is>
      </c>
      <c r="B34" s="31" t="inlineStr">
        <is>
          <t>SLS05</t>
        </is>
      </c>
      <c r="C34" s="31" t="n"/>
      <c r="D34" s="31" t="n"/>
      <c r="E34" s="31" t="n"/>
      <c r="F34" s="31" t="n"/>
      <c r="G34" s="31" t="inlineStr">
        <is>
          <t>Hydrocarbon Bund</t>
        </is>
      </c>
      <c r="H34" s="31" t="n"/>
      <c r="I34" s="30" t="n">
        <v>1</v>
      </c>
    </row>
    <row r="35" ht="23.15" customHeight="1" s="151">
      <c r="A35" s="76" t="inlineStr">
        <is>
          <t>1 t Excavator</t>
        </is>
      </c>
      <c r="B35" s="31" t="inlineStr">
        <is>
          <t>SLS03</t>
        </is>
      </c>
      <c r="C35" s="31" t="n">
        <v>2</v>
      </c>
      <c r="D35" s="31" t="n"/>
      <c r="E35" s="31" t="n"/>
      <c r="F35" s="31" t="n"/>
      <c r="G35" s="31" t="inlineStr">
        <is>
          <t>Temp Fence</t>
        </is>
      </c>
      <c r="H35" s="26" t="n"/>
      <c r="I35" s="30" t="n">
        <v>1</v>
      </c>
    </row>
    <row r="36" ht="23.15" customHeight="1" s="151">
      <c r="A36" s="76" t="inlineStr">
        <is>
          <t>8T Wheeled Excavator</t>
        </is>
      </c>
      <c r="B36" s="31" t="inlineStr">
        <is>
          <t>BCC12</t>
        </is>
      </c>
      <c r="C36" s="31" t="n"/>
      <c r="D36" s="31" t="n"/>
      <c r="E36" s="31" t="n"/>
      <c r="F36" s="31" t="n"/>
      <c r="G36" s="31" t="n"/>
      <c r="H36" s="26" t="n"/>
      <c r="I36" s="30" t="n"/>
    </row>
    <row r="37" ht="24" customHeight="1" s="151">
      <c r="A37" s="76" t="inlineStr">
        <is>
          <t>14t Excavator with GPS</t>
        </is>
      </c>
      <c r="B37" s="31" t="inlineStr">
        <is>
          <t>EX153</t>
        </is>
      </c>
      <c r="C37" s="31" t="n">
        <v>8</v>
      </c>
      <c r="D37" s="31" t="n"/>
      <c r="E37" s="31" t="n"/>
      <c r="F37" s="31" t="n"/>
      <c r="G37" s="2" t="n"/>
      <c r="H37" s="2" t="n"/>
      <c r="I37" s="3" t="n"/>
    </row>
    <row r="38" ht="24" customHeight="1" s="151">
      <c r="A38" s="76" t="inlineStr">
        <is>
          <t>5t Excavator</t>
        </is>
      </c>
      <c r="B38" s="31" t="inlineStr">
        <is>
          <t>A118</t>
        </is>
      </c>
      <c r="C38" s="31" t="n"/>
      <c r="D38" s="31" t="n"/>
      <c r="E38" s="31" t="n"/>
      <c r="F38" s="31" t="n"/>
      <c r="G38" s="2" t="n"/>
      <c r="H38" s="2" t="n"/>
      <c r="I38" s="3" t="n"/>
    </row>
    <row r="39" ht="24" customHeight="1" s="151">
      <c r="A39" s="44" t="inlineStr">
        <is>
          <t>Padfoot/ Smooth Drum Roller</t>
        </is>
      </c>
      <c r="B39" s="31" t="inlineStr">
        <is>
          <t>RR 03</t>
        </is>
      </c>
      <c r="C39" s="26" t="n">
        <v>5</v>
      </c>
      <c r="D39" s="31" t="n"/>
      <c r="E39" s="31" t="n"/>
      <c r="F39" s="31" t="n"/>
      <c r="G39" s="2" t="n"/>
      <c r="H39" s="2" t="n"/>
      <c r="I39" s="3" t="n"/>
    </row>
    <row r="40" ht="24" customHeight="1" s="151">
      <c r="A40" s="44" t="inlineStr">
        <is>
          <t>Multi Roller</t>
        </is>
      </c>
      <c r="B40" s="31" t="n">
        <v>256</v>
      </c>
      <c r="C40" s="26" t="n">
        <v>2</v>
      </c>
      <c r="D40" s="31" t="n"/>
      <c r="E40" s="31" t="n"/>
      <c r="F40" s="31" t="n"/>
      <c r="G40" s="2" t="n"/>
      <c r="H40" s="2" t="n"/>
      <c r="I40" s="3" t="n"/>
    </row>
    <row r="41" ht="24" customHeight="1" s="151">
      <c r="A41" s="44" t="inlineStr">
        <is>
          <t>Positrak SSL</t>
        </is>
      </c>
      <c r="B41" s="31" t="inlineStr">
        <is>
          <t>SSL08</t>
        </is>
      </c>
      <c r="C41" s="26" t="n">
        <v>5</v>
      </c>
      <c r="D41" s="31" t="n"/>
      <c r="E41" s="31" t="n"/>
      <c r="F41" s="31" t="n"/>
      <c r="G41" s="2" t="n"/>
      <c r="H41" s="2" t="n"/>
      <c r="I41" s="3" t="n"/>
    </row>
    <row r="42" ht="24" customHeight="1" s="151">
      <c r="A42" s="44" t="inlineStr">
        <is>
          <t>Grader</t>
        </is>
      </c>
      <c r="B42" s="31" t="inlineStr">
        <is>
          <t>SLS01</t>
        </is>
      </c>
      <c r="C42" s="26" t="n">
        <v>9</v>
      </c>
      <c r="D42" s="31" t="n"/>
      <c r="E42" s="31" t="n"/>
      <c r="F42" s="31" t="n"/>
      <c r="G42" s="2" t="n"/>
      <c r="H42" s="2" t="n"/>
      <c r="I42" s="3" t="n"/>
    </row>
    <row r="43" ht="24" customHeight="1" s="151">
      <c r="A43" s="44" t="n"/>
      <c r="B43" s="31" t="n"/>
      <c r="C43" s="26" t="n"/>
      <c r="D43" s="2" t="n"/>
      <c r="E43" s="2" t="n"/>
      <c r="F43" s="2" t="n"/>
      <c r="G43" s="2" t="n"/>
      <c r="H43" s="2" t="n"/>
      <c r="I43" s="3" t="n"/>
    </row>
    <row r="44" ht="18" customHeight="1" s="151">
      <c r="A44" s="46" t="n">
        <v>0</v>
      </c>
      <c r="B44" s="128" t="inlineStr">
        <is>
          <t xml:space="preserve">Repairs Required </t>
        </is>
      </c>
      <c r="C44" s="118" t="n"/>
      <c r="D44" s="129" t="inlineStr">
        <is>
          <t>N/A</t>
        </is>
      </c>
      <c r="E44" s="159" t="n"/>
      <c r="F44" s="159" t="n"/>
      <c r="G44" s="159" t="n"/>
      <c r="H44" s="159" t="n"/>
      <c r="I44" s="160" t="n"/>
    </row>
    <row r="45" ht="18" customHeight="1" s="151">
      <c r="A45" s="47" t="n">
        <v>0</v>
      </c>
      <c r="B45" s="128" t="inlineStr">
        <is>
          <t>Scheduled Service</t>
        </is>
      </c>
      <c r="C45" s="118" t="n"/>
      <c r="D45" s="129" t="inlineStr">
        <is>
          <t>N/A</t>
        </is>
      </c>
      <c r="E45" s="159" t="n"/>
      <c r="F45" s="159" t="n"/>
      <c r="G45" s="159" t="n"/>
      <c r="H45" s="159" t="n"/>
      <c r="I45" s="160" t="n"/>
    </row>
    <row r="46" ht="18" customHeight="1" s="151">
      <c r="A46" s="48" t="n">
        <v>0</v>
      </c>
      <c r="B46" s="128" t="n"/>
      <c r="C46" s="118" t="n"/>
      <c r="D46" s="129" t="inlineStr">
        <is>
          <t>N/A</t>
        </is>
      </c>
      <c r="E46" s="159" t="n"/>
      <c r="F46" s="159" t="n"/>
      <c r="G46" s="159" t="n"/>
      <c r="H46" s="159" t="n"/>
      <c r="I46" s="160" t="n"/>
    </row>
    <row r="47" ht="23.15" customHeight="1" s="151">
      <c r="A47" s="131" t="inlineStr">
        <is>
          <t xml:space="preserve">Total Plant and Equipment Hours: </t>
        </is>
      </c>
      <c r="B47" s="118" t="n"/>
      <c r="C47" s="49">
        <f>SUM(C30:C43)</f>
        <v/>
      </c>
      <c r="D47" s="132" t="n"/>
      <c r="E47" s="159" t="n"/>
      <c r="F47" s="159" t="n"/>
      <c r="G47" s="159" t="n"/>
      <c r="H47" s="159" t="n"/>
      <c r="I47" s="160" t="n"/>
    </row>
    <row r="48" ht="25" customHeight="1" s="151">
      <c r="A48" s="120" t="inlineStr">
        <is>
          <t>DELAYS-OPPORTUNITY</t>
        </is>
      </c>
      <c r="B48" s="159" t="n"/>
      <c r="C48" s="159" t="n"/>
      <c r="D48" s="159" t="n"/>
      <c r="E48" s="159" t="n"/>
      <c r="F48" s="159" t="n"/>
      <c r="G48" s="159" t="n"/>
      <c r="H48" s="159" t="n"/>
      <c r="I48" s="160" t="n"/>
    </row>
    <row r="49" ht="15" customHeight="1" s="151" thickBot="1">
      <c r="A49" s="155" t="inlineStr">
        <is>
          <t>New Detail Provided on Centrelink Carpark                                                               
Awaiting Direction on Service Clash Forrest Street
Awaiting Confirmation on Batters Treatment 
Awaiting finalised fencing details
Awaiting COGG confirmation on "Ballast Pile"
Instructions Provided for Laneway Sewer, Drainage</t>
        </is>
      </c>
      <c r="B49" s="124" t="n"/>
      <c r="C49" s="124" t="n"/>
      <c r="D49" s="124" t="n"/>
      <c r="E49" s="124" t="n"/>
      <c r="F49" s="124" t="n"/>
      <c r="G49" s="124" t="n"/>
      <c r="H49" s="124" t="n"/>
      <c r="I49" s="125" t="n"/>
    </row>
    <row r="50">
      <c r="A50" s="111" t="n"/>
      <c r="I50" s="113" t="n"/>
    </row>
    <row r="51" ht="49.5" customHeight="1" s="151">
      <c r="A51" s="111" t="n"/>
      <c r="I51" s="113" t="n"/>
    </row>
    <row r="52" ht="62.5" customHeight="1" s="151" thickBot="1">
      <c r="A52" s="134" t="n"/>
      <c r="B52" s="135" t="n"/>
      <c r="C52" s="135" t="n"/>
      <c r="D52" s="135" t="n"/>
      <c r="E52" s="135" t="n"/>
      <c r="F52" s="135" t="n"/>
      <c r="G52" s="135" t="n"/>
      <c r="H52" s="135" t="n"/>
      <c r="I52" s="136" t="n"/>
    </row>
    <row r="53" ht="25" customHeight="1" s="151">
      <c r="A53" s="137" t="inlineStr">
        <is>
          <t>HSEQ MESSAGES</t>
        </is>
      </c>
      <c r="B53" s="138" t="n"/>
      <c r="C53" s="138" t="n"/>
      <c r="D53" s="138" t="n"/>
      <c r="E53" s="138" t="n"/>
      <c r="F53" s="138" t="n"/>
      <c r="G53" s="138" t="n"/>
      <c r="H53" s="138" t="n"/>
      <c r="I53" s="139" t="n"/>
    </row>
    <row r="54" ht="18" customHeight="1" s="151">
      <c r="A54" s="53" t="inlineStr">
        <is>
          <t>TCD - Monthly Safety Focus:</t>
        </is>
      </c>
      <c r="B54" s="140" t="inlineStr">
        <is>
          <t>Underground Services</t>
        </is>
      </c>
      <c r="C54" s="159" t="n"/>
      <c r="D54" s="159" t="n"/>
      <c r="E54" s="159" t="n"/>
      <c r="F54" s="159" t="n"/>
      <c r="G54" s="159" t="n"/>
      <c r="H54" s="159" t="n"/>
      <c r="I54" s="118" t="n"/>
    </row>
    <row r="55" ht="24" customHeight="1" s="151">
      <c r="A55" s="53" t="inlineStr">
        <is>
          <t>TCD - Daily Safety Focus:</t>
        </is>
      </c>
      <c r="B55" s="141" t="inlineStr">
        <is>
          <t>SIMOPS</t>
        </is>
      </c>
      <c r="C55" s="159" t="n"/>
      <c r="D55" s="159" t="n"/>
      <c r="E55" s="159" t="n"/>
      <c r="F55" s="159" t="n"/>
      <c r="G55" s="159" t="n"/>
      <c r="H55" s="159" t="n"/>
      <c r="I55" s="160" t="n"/>
    </row>
    <row r="56" ht="18" customHeight="1" s="151">
      <c r="A56" s="54" t="inlineStr">
        <is>
          <t xml:space="preserve">Hazards Reported: </t>
        </is>
      </c>
      <c r="B56" s="55" t="inlineStr">
        <is>
          <t>Nil</t>
        </is>
      </c>
      <c r="C56" s="141" t="n"/>
      <c r="D56" s="159" t="n"/>
      <c r="E56" s="159" t="n"/>
      <c r="F56" s="159" t="n"/>
      <c r="G56" s="159" t="n"/>
      <c r="H56" s="159" t="n"/>
      <c r="I56" s="160" t="n"/>
    </row>
    <row r="57" ht="18" customHeight="1" s="151">
      <c r="A57" s="54" t="inlineStr">
        <is>
          <t>Incident Free Days</t>
        </is>
      </c>
      <c r="B57" s="55" t="n">
        <v>1</v>
      </c>
      <c r="C57" s="140" t="n"/>
      <c r="D57" s="159" t="n"/>
      <c r="E57" s="159" t="n"/>
      <c r="F57" s="159" t="n"/>
      <c r="G57" s="159" t="n"/>
      <c r="H57" s="159" t="n"/>
      <c r="I57" s="118" t="n"/>
    </row>
    <row r="58" ht="18" customHeight="1" s="151">
      <c r="A58" s="56" t="inlineStr">
        <is>
          <t>Other Notes</t>
        </is>
      </c>
      <c r="B58" s="142" t="n"/>
      <c r="C58" s="124" t="n"/>
      <c r="D58" s="124" t="n"/>
      <c r="E58" s="124" t="n"/>
      <c r="F58" s="124" t="n"/>
      <c r="G58" s="124" t="n"/>
      <c r="H58" s="124" t="n"/>
      <c r="I58" s="125" t="n"/>
    </row>
    <row r="59" ht="20.25" customHeight="1" s="151">
      <c r="A59" s="120" t="inlineStr">
        <is>
          <t xml:space="preserve">INCIDENTS &amp; REPORTS </t>
        </is>
      </c>
      <c r="B59" s="159" t="n"/>
      <c r="C59" s="159" t="n"/>
      <c r="D59" s="159" t="n"/>
      <c r="E59" s="159" t="n"/>
      <c r="F59" s="159" t="n"/>
      <c r="G59" s="159" t="n"/>
      <c r="H59" s="159" t="n"/>
      <c r="I59" s="160" t="n"/>
    </row>
    <row r="60" ht="25" customHeight="1" s="151">
      <c r="A60" s="57" t="n"/>
      <c r="B60" s="127" t="inlineStr">
        <is>
          <t>QTY</t>
        </is>
      </c>
      <c r="C60" s="130" t="inlineStr">
        <is>
          <t>Comments</t>
        </is>
      </c>
      <c r="D60" s="159" t="n"/>
      <c r="E60" s="159" t="n"/>
      <c r="F60" s="159" t="n"/>
      <c r="G60" s="159" t="n"/>
      <c r="H60" s="159" t="n"/>
      <c r="I60" s="160" t="n"/>
    </row>
    <row r="61" ht="25" customHeight="1" s="151">
      <c r="A61" s="58" t="inlineStr">
        <is>
          <t>INCIDENT</t>
        </is>
      </c>
      <c r="B61" s="127" t="n">
        <v>0</v>
      </c>
      <c r="C61" s="145" t="inlineStr">
        <is>
          <t>NA</t>
        </is>
      </c>
      <c r="D61" s="124" t="n"/>
      <c r="E61" s="124" t="n"/>
      <c r="F61" s="124" t="n"/>
      <c r="G61" s="124" t="n"/>
      <c r="H61" s="124" t="n"/>
      <c r="I61" s="125" t="n"/>
    </row>
    <row r="62" ht="25" customHeight="1" s="151">
      <c r="A62" s="59" t="inlineStr">
        <is>
          <t>IR</t>
        </is>
      </c>
      <c r="B62" s="60" t="n">
        <v>0</v>
      </c>
      <c r="C62" s="145" t="inlineStr">
        <is>
          <t>NA</t>
        </is>
      </c>
      <c r="D62" s="124" t="n"/>
      <c r="E62" s="124" t="n"/>
      <c r="F62" s="124" t="n"/>
      <c r="G62" s="124" t="n"/>
      <c r="H62" s="124" t="n"/>
      <c r="I62" s="125" t="n"/>
    </row>
    <row r="63" ht="25" customHeight="1" s="151" thickBot="1">
      <c r="A63" s="61" t="inlineStr">
        <is>
          <t>NCR</t>
        </is>
      </c>
      <c r="B63" s="62" t="n">
        <v>0</v>
      </c>
      <c r="C63" s="146" t="inlineStr">
        <is>
          <t>NA</t>
        </is>
      </c>
      <c r="D63" s="147" t="n"/>
      <c r="E63" s="147" t="n"/>
      <c r="F63" s="147" t="n"/>
      <c r="G63" s="147" t="n"/>
      <c r="H63" s="147" t="n"/>
      <c r="I63" s="148" t="n"/>
    </row>
    <row r="64" ht="20.25" customHeight="1" s="151">
      <c r="A64" s="137" t="inlineStr">
        <is>
          <t>COMMUNICATIONS</t>
        </is>
      </c>
      <c r="B64" s="138" t="n"/>
      <c r="C64" s="138" t="n"/>
      <c r="D64" s="138" t="n"/>
      <c r="E64" s="138" t="n"/>
      <c r="F64" s="138" t="n"/>
      <c r="G64" s="138" t="n"/>
      <c r="H64" s="138" t="n"/>
      <c r="I64" s="139" t="n"/>
    </row>
    <row r="65" ht="25" customHeight="1" s="151">
      <c r="A65" s="149" t="inlineStr">
        <is>
          <t>TGS MB1119-05 Scheme D implemented</t>
        </is>
      </c>
      <c r="B65" s="159" t="n"/>
      <c r="C65" s="159" t="n"/>
      <c r="D65" s="159" t="n"/>
      <c r="E65" s="159" t="n"/>
      <c r="F65" s="159" t="n"/>
      <c r="G65" s="159" t="n"/>
      <c r="H65" s="159" t="n"/>
      <c r="I65" s="160" t="n"/>
    </row>
    <row r="66" ht="25" customHeight="1" s="151">
      <c r="A66" s="120" t="inlineStr">
        <is>
          <t>PRODUCTION (CONSTRUCTION STATUS &amp; PROGRESS)</t>
        </is>
      </c>
      <c r="B66" s="159" t="n"/>
      <c r="C66" s="159" t="n"/>
      <c r="D66" s="159" t="n"/>
      <c r="E66" s="159" t="n"/>
      <c r="F66" s="159" t="n"/>
      <c r="G66" s="159" t="n"/>
      <c r="H66" s="159" t="n"/>
      <c r="I66" s="160" t="n"/>
    </row>
    <row r="67" ht="25" customHeight="1" s="151">
      <c r="A67" s="98" t="inlineStr">
        <is>
          <t>Basecourse Placement</t>
        </is>
      </c>
      <c r="B67" s="64" t="n"/>
      <c r="C67" s="9" t="n"/>
      <c r="D67" s="9" t="n"/>
      <c r="E67" s="64" t="n"/>
      <c r="F67" s="64" t="n"/>
      <c r="G67" s="9" t="n"/>
      <c r="H67" s="64" t="n"/>
      <c r="I67" s="65" t="n"/>
    </row>
    <row r="68" ht="25" customHeight="1" s="151">
      <c r="A68" s="98" t="inlineStr">
        <is>
          <t>Trimming of batters/ Footpath area</t>
        </is>
      </c>
      <c r="B68" s="64" t="n"/>
      <c r="C68" s="9" t="n"/>
      <c r="D68" s="9" t="n"/>
      <c r="E68" s="64" t="n"/>
      <c r="F68" s="64" t="n"/>
      <c r="G68" s="9" t="n"/>
      <c r="H68" s="64" t="n"/>
      <c r="I68" s="65" t="n"/>
    </row>
    <row r="69" ht="25" customHeight="1" s="151">
      <c r="A69" s="98" t="inlineStr">
        <is>
          <t>Limestone Block Install</t>
        </is>
      </c>
      <c r="B69" s="64" t="n"/>
      <c r="C69" s="9" t="n"/>
      <c r="D69" s="9" t="n"/>
      <c r="E69" s="64" t="n"/>
      <c r="F69" s="64" t="n"/>
      <c r="G69" s="9" t="n"/>
      <c r="H69" s="64" t="n"/>
      <c r="I69" s="65" t="n"/>
    </row>
    <row r="70" ht="25" customHeight="1" s="151">
      <c r="A70" s="98" t="inlineStr">
        <is>
          <t>Commenced Vacuum Excavating Corner of Chambers and Monument</t>
        </is>
      </c>
      <c r="B70" s="64" t="n"/>
      <c r="C70" s="9" t="n"/>
      <c r="D70" s="9" t="n"/>
      <c r="E70" s="64" t="n"/>
      <c r="F70" s="64" t="n"/>
      <c r="G70" s="9" t="n"/>
      <c r="H70" s="64" t="n"/>
      <c r="I70" s="65" t="n"/>
    </row>
    <row r="71" ht="30.5" customHeight="1" s="151">
      <c r="A71" s="98" t="inlineStr">
        <is>
          <t>Commenced Concrete Ramp Installs</t>
        </is>
      </c>
      <c r="B71" s="64" t="n"/>
      <c r="C71" s="9" t="n"/>
      <c r="D71" s="9" t="n"/>
      <c r="E71" s="64" t="n"/>
      <c r="F71" s="64" t="n"/>
      <c r="G71" s="9" t="n"/>
      <c r="H71" s="64" t="n"/>
      <c r="I71" s="65" t="n"/>
    </row>
    <row r="72" ht="26.15" customHeight="1" s="151" thickBot="1">
      <c r="A72" s="123" t="inlineStr">
        <is>
          <t>Photos</t>
        </is>
      </c>
      <c r="B72" s="124" t="n"/>
      <c r="C72" s="124" t="n"/>
      <c r="D72" s="124" t="n"/>
      <c r="E72" s="124" t="n"/>
      <c r="F72" s="124" t="n"/>
      <c r="G72" s="124" t="n"/>
      <c r="H72" s="124" t="n"/>
      <c r="I72" s="125" t="n"/>
    </row>
    <row r="73" ht="23.15" customHeight="1" s="151">
      <c r="A73" s="66" t="n"/>
      <c r="B73" s="67" t="n"/>
      <c r="C73" s="67" t="n"/>
      <c r="D73" s="67" t="n"/>
      <c r="E73" s="67" t="n"/>
      <c r="F73" s="67" t="n"/>
      <c r="G73" s="67" t="n"/>
      <c r="H73" s="67" t="n"/>
      <c r="I73" s="68" t="n"/>
    </row>
    <row r="74" ht="23.15" customHeight="1" s="151">
      <c r="A74" s="69" t="n"/>
      <c r="B74" s="70" t="n"/>
      <c r="C74" s="70" t="n"/>
      <c r="D74" s="70" t="n"/>
      <c r="E74" s="70" t="n"/>
      <c r="F74" s="70" t="n"/>
      <c r="G74" s="70" t="n"/>
      <c r="H74" s="70" t="n"/>
      <c r="I74" s="71" t="n"/>
    </row>
    <row r="75" ht="15" customHeight="1" s="151">
      <c r="A75" s="69" t="n"/>
      <c r="B75" s="70" t="n"/>
      <c r="C75" s="70" t="n"/>
      <c r="D75" s="70" t="n"/>
      <c r="E75" s="70" t="n"/>
      <c r="F75" s="70" t="n"/>
      <c r="G75" s="70" t="n"/>
      <c r="H75" s="70" t="n"/>
      <c r="I75" s="71" t="n"/>
    </row>
    <row r="76" ht="15" customHeight="1" s="151">
      <c r="A76" s="69" t="n"/>
      <c r="B76" s="70" t="n"/>
      <c r="C76" s="70" t="n"/>
      <c r="D76" s="70" t="n"/>
      <c r="E76" s="70" t="n"/>
      <c r="F76" s="70" t="n"/>
      <c r="G76" s="70" t="n"/>
      <c r="H76" s="70" t="n"/>
      <c r="I76" s="71" t="n"/>
    </row>
    <row r="77" ht="15" customHeight="1" s="151">
      <c r="A77" s="69" t="n"/>
      <c r="B77" s="70" t="n"/>
      <c r="C77" s="70" t="n"/>
      <c r="D77" s="70" t="n"/>
      <c r="E77" s="70" t="n"/>
      <c r="F77" s="70" t="n"/>
      <c r="G77" s="70" t="n"/>
      <c r="H77" s="70" t="n"/>
      <c r="I77" s="71" t="n"/>
    </row>
    <row r="78" ht="15" customHeight="1" s="151">
      <c r="A78" s="69" t="n"/>
      <c r="B78" s="70" t="n"/>
      <c r="C78" s="70" t="n"/>
      <c r="D78" s="70" t="n"/>
      <c r="E78" s="70" t="n"/>
      <c r="F78" s="70" t="n"/>
      <c r="G78" s="70" t="n"/>
      <c r="H78" s="70" t="n"/>
      <c r="I78" s="71" t="n"/>
    </row>
    <row r="79" ht="15" customHeight="1" s="151">
      <c r="A79" s="69" t="n"/>
      <c r="B79" s="70" t="n"/>
      <c r="C79" s="70" t="n"/>
      <c r="D79" s="70" t="n"/>
      <c r="E79" s="70" t="n"/>
      <c r="F79" s="70" t="n"/>
      <c r="G79" s="70" t="n"/>
      <c r="H79" s="70" t="n"/>
      <c r="I79" s="71" t="n"/>
    </row>
    <row r="80" ht="15" customHeight="1" s="151">
      <c r="A80" s="69" t="n"/>
      <c r="B80" s="70" t="n"/>
      <c r="C80" s="70" t="n"/>
      <c r="D80" s="70" t="n"/>
      <c r="E80" s="70" t="n"/>
      <c r="F80" s="70" t="n"/>
      <c r="G80" s="70" t="n"/>
      <c r="H80" s="70" t="n"/>
      <c r="I80" s="71" t="n"/>
    </row>
    <row r="81" ht="15" customHeight="1" s="151">
      <c r="A81" s="69" t="n"/>
      <c r="B81" s="70" t="n"/>
      <c r="C81" s="70" t="n"/>
      <c r="D81" s="70" t="n"/>
      <c r="E81" s="70" t="n"/>
      <c r="F81" s="70" t="n"/>
      <c r="G81" s="70" t="n"/>
      <c r="H81" s="70" t="n"/>
      <c r="I81" s="71" t="n"/>
    </row>
    <row r="82" ht="15" customHeight="1" s="151">
      <c r="A82" s="69" t="n"/>
      <c r="B82" s="70" t="n"/>
      <c r="C82" s="70" t="n"/>
      <c r="D82" s="70" t="n"/>
      <c r="E82" s="70" t="n"/>
      <c r="F82" s="70" t="n"/>
      <c r="G82" s="70" t="n"/>
      <c r="H82" s="70" t="n"/>
      <c r="I82" s="71" t="n"/>
    </row>
    <row r="83" ht="15" customHeight="1" s="151">
      <c r="A83" s="69" t="n"/>
      <c r="B83" s="70" t="n"/>
      <c r="C83" s="70" t="n"/>
      <c r="D83" s="70" t="n"/>
      <c r="E83" s="70" t="n"/>
      <c r="F83" s="70" t="n"/>
      <c r="G83" s="70" t="n"/>
      <c r="H83" s="70" t="n"/>
      <c r="I83" s="71" t="n"/>
    </row>
    <row r="84" ht="15" customHeight="1" s="151">
      <c r="A84" s="69" t="n"/>
      <c r="B84" s="70" t="n"/>
      <c r="C84" s="70" t="n"/>
      <c r="D84" s="70" t="n"/>
      <c r="E84" s="70" t="n"/>
      <c r="F84" s="70" t="n"/>
      <c r="G84" s="70" t="n"/>
      <c r="H84" s="70" t="n"/>
      <c r="I84" s="71" t="n"/>
    </row>
    <row r="85" ht="15" customHeight="1" s="151">
      <c r="A85" s="69" t="n"/>
      <c r="B85" s="70" t="n"/>
      <c r="C85" s="70" t="n"/>
      <c r="D85" s="70" t="n"/>
      <c r="E85" s="70" t="n"/>
      <c r="F85" s="70" t="n"/>
      <c r="G85" s="70" t="n"/>
      <c r="H85" s="70" t="n"/>
      <c r="I85" s="71" t="n"/>
    </row>
    <row r="86" ht="15" customHeight="1" s="151">
      <c r="A86" s="69" t="n"/>
      <c r="B86" s="70" t="n"/>
      <c r="C86" s="70" t="n"/>
      <c r="D86" s="70" t="n"/>
      <c r="E86" s="70" t="n"/>
      <c r="F86" s="70" t="n"/>
      <c r="G86" s="70" t="n"/>
      <c r="H86" s="70" t="n"/>
      <c r="I86" s="71" t="n"/>
    </row>
    <row r="87" ht="15" customHeight="1" s="151">
      <c r="A87" s="69" t="n"/>
      <c r="B87" s="70" t="n"/>
      <c r="C87" s="70" t="n"/>
      <c r="D87" s="70" t="n"/>
      <c r="E87" s="70" t="n"/>
      <c r="F87" s="70" t="n"/>
      <c r="G87" s="70" t="n"/>
      <c r="H87" s="70" t="n"/>
      <c r="I87" s="71" t="n"/>
    </row>
    <row r="88" ht="15" customHeight="1" s="151">
      <c r="A88" s="69" t="n"/>
      <c r="B88" s="70" t="n"/>
      <c r="C88" s="70" t="n"/>
      <c r="D88" s="70" t="n"/>
      <c r="E88" s="70" t="n"/>
      <c r="F88" s="70" t="n"/>
      <c r="G88" s="70" t="n"/>
      <c r="H88" s="70" t="n"/>
      <c r="I88" s="71" t="n"/>
    </row>
    <row r="89" ht="15" customHeight="1" s="151">
      <c r="A89" s="69" t="n"/>
      <c r="B89" s="70" t="n"/>
      <c r="C89" s="70" t="n"/>
      <c r="D89" s="70" t="n"/>
      <c r="E89" s="70" t="n"/>
      <c r="F89" s="70" t="n"/>
      <c r="G89" s="70" t="n"/>
      <c r="H89" s="70" t="n"/>
      <c r="I89" s="71" t="n"/>
    </row>
    <row r="90" ht="15" customHeight="1" s="151">
      <c r="A90" s="69" t="n"/>
      <c r="B90" s="70" t="n"/>
      <c r="C90" s="70" t="n"/>
      <c r="D90" s="70" t="n"/>
      <c r="E90" s="70" t="n"/>
      <c r="F90" s="70" t="n"/>
      <c r="G90" s="70" t="n"/>
      <c r="H90" s="70" t="n"/>
      <c r="I90" s="71" t="n"/>
    </row>
    <row r="91" ht="15" customHeight="1" s="151">
      <c r="A91" s="69" t="n"/>
      <c r="B91" s="70" t="n"/>
      <c r="C91" s="70" t="n"/>
      <c r="D91" s="70" t="n"/>
      <c r="E91" s="70" t="n"/>
      <c r="F91" s="70" t="n"/>
      <c r="G91" s="70" t="n"/>
      <c r="H91" s="70" t="n"/>
      <c r="I91" s="71" t="n"/>
    </row>
    <row r="92" ht="15" customHeight="1" s="151">
      <c r="A92" s="69" t="n"/>
      <c r="B92" s="70" t="n"/>
      <c r="C92" s="70" t="n"/>
      <c r="D92" s="70" t="n"/>
      <c r="E92" s="70" t="n"/>
      <c r="F92" s="70" t="n"/>
      <c r="G92" s="70" t="n"/>
      <c r="H92" s="70" t="n"/>
      <c r="I92" s="71" t="n"/>
    </row>
    <row r="93" ht="15" customHeight="1" s="151">
      <c r="A93" s="69" t="n"/>
      <c r="B93" s="70" t="n"/>
      <c r="C93" s="70" t="n"/>
      <c r="D93" s="70" t="n"/>
      <c r="E93" s="70" t="n"/>
      <c r="F93" s="70" t="n"/>
      <c r="G93" s="70" t="n"/>
      <c r="H93" s="70" t="n"/>
      <c r="I93" s="71" t="n"/>
    </row>
    <row r="94" ht="15" customHeight="1" s="151">
      <c r="A94" s="69" t="n"/>
      <c r="B94" s="70" t="n"/>
      <c r="C94" s="70" t="n"/>
      <c r="D94" s="70" t="n"/>
      <c r="E94" s="70" t="n"/>
      <c r="F94" s="70" t="n"/>
      <c r="G94" s="70" t="n"/>
      <c r="H94" s="70" t="n"/>
      <c r="I94" s="71" t="n"/>
    </row>
    <row r="95" ht="15" customHeight="1" s="151">
      <c r="A95" s="69" t="n"/>
      <c r="B95" s="70" t="n"/>
      <c r="C95" s="70" t="n"/>
      <c r="D95" s="70" t="n"/>
      <c r="E95" s="70" t="n"/>
      <c r="F95" s="70" t="n"/>
      <c r="H95" s="70" t="n"/>
      <c r="I95" s="71" t="n"/>
    </row>
    <row r="96" ht="25" customFormat="1" customHeight="1" s="10">
      <c r="A96" s="69" t="n"/>
      <c r="B96" s="70" t="n"/>
      <c r="C96" s="70" t="n"/>
      <c r="D96" s="70" t="n"/>
      <c r="E96" s="70" t="n"/>
      <c r="F96" s="70" t="n"/>
      <c r="G96" s="70" t="n"/>
      <c r="H96" s="70" t="n"/>
      <c r="I96" s="71" t="n"/>
    </row>
    <row r="97" ht="15" customHeight="1" s="151">
      <c r="A97" s="69" t="n"/>
      <c r="B97" s="70" t="n"/>
      <c r="C97" s="70" t="n"/>
      <c r="D97" s="70" t="n"/>
      <c r="E97" s="70" t="n"/>
      <c r="F97" s="70" t="n"/>
      <c r="G97" s="70" t="n"/>
      <c r="H97" s="70" t="n"/>
      <c r="I97" s="71" t="n"/>
    </row>
    <row r="98" ht="15" customHeight="1" s="151">
      <c r="A98" s="69" t="n"/>
      <c r="B98" s="70" t="n"/>
      <c r="C98" s="70" t="n"/>
      <c r="D98" s="70" t="n"/>
      <c r="E98" s="70" t="n"/>
      <c r="F98" s="70" t="n"/>
      <c r="G98" s="70" t="n"/>
      <c r="H98" s="70" t="n"/>
      <c r="I98" s="71" t="n"/>
    </row>
    <row r="99" ht="15" customHeight="1" s="151">
      <c r="A99" s="69" t="n"/>
      <c r="B99" s="70" t="n"/>
      <c r="C99" s="70" t="n"/>
      <c r="D99" s="70" t="n"/>
      <c r="E99" s="70" t="n"/>
      <c r="F99" s="70" t="n"/>
      <c r="G99" s="70" t="n"/>
      <c r="H99" s="70" t="n"/>
      <c r="I99" s="71" t="n"/>
    </row>
    <row r="100" ht="15" customHeight="1" s="151">
      <c r="A100" s="69" t="n"/>
      <c r="B100" s="70" t="n"/>
      <c r="C100" s="70" t="n"/>
      <c r="D100" s="70" t="n"/>
      <c r="E100" s="70" t="n"/>
      <c r="F100" s="70" t="n"/>
      <c r="G100" s="70" t="n"/>
      <c r="H100" s="70" t="n"/>
      <c r="I100" s="71" t="n"/>
    </row>
    <row r="101" ht="15" customHeight="1" s="151">
      <c r="A101" s="69" t="n"/>
      <c r="B101" s="70" t="n"/>
      <c r="C101" s="70" t="n"/>
      <c r="D101" s="70" t="n"/>
      <c r="E101" s="70" t="n"/>
      <c r="F101" s="70" t="n"/>
      <c r="G101" s="70" t="n"/>
      <c r="H101" s="70" t="n"/>
      <c r="I101" s="71" t="n"/>
    </row>
    <row r="102" ht="15" customHeight="1" s="151">
      <c r="A102" s="69" t="n"/>
      <c r="B102" s="70" t="n"/>
      <c r="C102" s="70" t="n"/>
      <c r="D102" s="70" t="n"/>
      <c r="E102" s="70" t="n"/>
      <c r="F102" s="70" t="n"/>
      <c r="G102" s="70" t="n"/>
      <c r="H102" s="70" t="n"/>
      <c r="I102" s="71" t="n"/>
    </row>
    <row r="103" ht="15" customHeight="1" s="151">
      <c r="A103" s="69" t="n"/>
      <c r="B103" s="70" t="n"/>
      <c r="C103" s="70" t="n"/>
      <c r="D103" s="70" t="n"/>
      <c r="E103" s="70" t="n"/>
      <c r="F103" s="70" t="n"/>
      <c r="G103" s="70" t="n"/>
      <c r="H103" s="70" t="n"/>
      <c r="I103" s="71" t="n"/>
    </row>
    <row r="104" ht="15" customHeight="1" s="151">
      <c r="A104" s="69" t="n"/>
      <c r="B104" s="70" t="n"/>
      <c r="C104" s="70" t="n"/>
      <c r="D104" s="70" t="n"/>
      <c r="E104" s="70" t="n"/>
      <c r="F104" s="70" t="n"/>
      <c r="G104" s="70" t="n"/>
      <c r="H104" s="70" t="n"/>
      <c r="I104" s="71" t="n"/>
    </row>
    <row r="105" ht="15" customHeight="1" s="151">
      <c r="A105" s="69" t="n"/>
      <c r="B105" s="70" t="n"/>
      <c r="C105" s="70" t="n"/>
      <c r="D105" s="70" t="n"/>
      <c r="E105" s="70" t="n"/>
      <c r="F105" s="70" t="n"/>
      <c r="G105" s="70" t="n"/>
      <c r="H105" s="70" t="n"/>
      <c r="I105" s="71" t="n"/>
    </row>
    <row r="106" ht="15" customHeight="1" s="151">
      <c r="A106" s="69" t="n"/>
      <c r="B106" s="70" t="n"/>
      <c r="C106" s="70" t="n"/>
      <c r="D106" s="70" t="n"/>
      <c r="E106" s="70" t="n"/>
      <c r="F106" s="70" t="n"/>
      <c r="G106" s="70" t="n"/>
      <c r="H106" s="70" t="n"/>
      <c r="I106" s="71" t="n"/>
    </row>
    <row r="107" ht="15" customHeight="1" s="151">
      <c r="A107" s="69" t="n"/>
      <c r="B107" s="70" t="n"/>
      <c r="C107" s="70" t="n"/>
      <c r="D107" s="70" t="n"/>
      <c r="E107" s="70" t="n"/>
      <c r="F107" s="70" t="n"/>
      <c r="G107" s="70" t="n"/>
      <c r="H107" s="70" t="n"/>
      <c r="I107" s="71" t="n"/>
    </row>
    <row r="108" ht="15" customHeight="1" s="151">
      <c r="A108" s="69" t="n"/>
      <c r="B108" s="70" t="n"/>
      <c r="C108" s="70" t="n"/>
      <c r="D108" s="70" t="n"/>
      <c r="E108" s="70" t="n"/>
      <c r="F108" s="70" t="n"/>
      <c r="G108" s="70" t="n"/>
      <c r="H108" s="70" t="n"/>
      <c r="I108" s="71" t="n"/>
    </row>
    <row r="109" ht="15" customHeight="1" s="151">
      <c r="A109" s="69" t="n"/>
      <c r="B109" s="70" t="n"/>
      <c r="C109" s="70" t="n"/>
      <c r="D109" s="70" t="n"/>
      <c r="E109" s="70" t="n"/>
      <c r="F109" s="70" t="n"/>
      <c r="G109" s="70" t="n"/>
      <c r="H109" s="70" t="n"/>
      <c r="I109" s="71" t="n"/>
    </row>
    <row r="110" ht="15" customHeight="1" s="151">
      <c r="A110" s="69" t="n"/>
      <c r="B110" s="70" t="n"/>
      <c r="C110" s="70" t="n"/>
      <c r="D110" s="70" t="n"/>
      <c r="E110" s="70" t="n"/>
      <c r="F110" s="70" t="n"/>
      <c r="G110" s="70" t="n"/>
      <c r="H110" s="70" t="n"/>
      <c r="I110" s="71" t="n"/>
    </row>
    <row r="111" ht="15" customHeight="1" s="151" thickBot="1">
      <c r="A111" s="72" t="n"/>
      <c r="B111" s="73" t="n"/>
      <c r="C111" s="73" t="n"/>
      <c r="D111" s="73" t="n"/>
      <c r="E111" s="73" t="n"/>
      <c r="F111" s="73" t="n"/>
      <c r="G111" s="73" t="n"/>
      <c r="H111" s="73" t="n"/>
      <c r="I111" s="74" t="n"/>
    </row>
    <row r="112" ht="15" customHeight="1" s="151">
      <c r="A112" s="69" t="n"/>
      <c r="B112" s="70" t="n"/>
      <c r="C112" s="70" t="n"/>
      <c r="D112" s="70" t="n"/>
      <c r="E112" s="70" t="n"/>
      <c r="F112" s="70" t="n"/>
      <c r="G112" s="70" t="n"/>
      <c r="H112" s="70" t="n"/>
      <c r="I112" s="71" t="n"/>
    </row>
    <row r="113" ht="15" customHeight="1" s="151">
      <c r="A113" s="69" t="n"/>
      <c r="B113" s="70" t="n"/>
      <c r="C113" s="70" t="n"/>
      <c r="D113" s="70" t="n"/>
      <c r="E113" s="70" t="n"/>
      <c r="F113" s="70" t="n"/>
      <c r="G113" s="70" t="n"/>
      <c r="H113" s="70" t="n"/>
      <c r="I113" s="71" t="n"/>
    </row>
    <row r="114" ht="15" customHeight="1" s="151">
      <c r="A114" s="69" t="n"/>
      <c r="B114" s="70" t="n"/>
      <c r="C114" s="70" t="n"/>
      <c r="D114" s="70" t="n"/>
      <c r="E114" s="70" t="n"/>
      <c r="F114" s="70" t="n"/>
      <c r="G114" s="70" t="n"/>
      <c r="H114" s="70" t="n"/>
      <c r="I114" s="71" t="n"/>
    </row>
    <row r="115" ht="15" customHeight="1" s="151">
      <c r="A115" s="69" t="n"/>
      <c r="B115" s="70" t="n"/>
      <c r="C115" s="70" t="n"/>
      <c r="D115" s="70" t="n"/>
      <c r="E115" s="70" t="n"/>
      <c r="F115" s="70" t="n"/>
      <c r="G115" s="70" t="n"/>
      <c r="H115" s="70" t="n"/>
      <c r="I115" s="71" t="n"/>
    </row>
    <row r="116" ht="15" customHeight="1" s="151">
      <c r="A116" s="69" t="n"/>
      <c r="B116" s="70" t="n"/>
      <c r="C116" s="70" t="n"/>
      <c r="D116" s="70" t="n"/>
      <c r="E116" s="70" t="n"/>
      <c r="F116" s="70" t="n"/>
      <c r="G116" s="70" t="n"/>
      <c r="H116" s="70" t="n"/>
      <c r="I116" s="71" t="n"/>
    </row>
    <row r="117" ht="15" customHeight="1" s="151">
      <c r="A117" s="69" t="n"/>
      <c r="B117" s="70" t="n"/>
      <c r="C117" s="70" t="n"/>
      <c r="D117" s="70" t="n"/>
      <c r="E117" s="70" t="n"/>
      <c r="F117" s="70" t="n"/>
      <c r="G117" s="70" t="n"/>
      <c r="H117" s="70" t="n"/>
      <c r="I117" s="71" t="n"/>
    </row>
    <row r="118" ht="15" customHeight="1" s="151">
      <c r="A118" s="69" t="n"/>
      <c r="B118" s="70" t="n"/>
      <c r="C118" s="70" t="n"/>
      <c r="D118" s="70" t="n"/>
      <c r="E118" s="70" t="n"/>
      <c r="F118" s="70" t="n"/>
      <c r="G118" s="70" t="n"/>
      <c r="H118" s="70" t="n"/>
      <c r="I118" s="71" t="n"/>
    </row>
    <row r="119" ht="15" customHeight="1" s="151">
      <c r="A119" s="69" t="n"/>
      <c r="B119" s="70" t="n"/>
      <c r="C119" s="70" t="n"/>
      <c r="D119" s="70" t="n"/>
      <c r="E119" s="70" t="n"/>
      <c r="F119" s="70" t="n"/>
      <c r="G119" s="70" t="n"/>
      <c r="H119" s="70" t="n"/>
      <c r="I119" s="71" t="n"/>
    </row>
    <row r="120" ht="25" customHeight="1" s="151">
      <c r="A120" s="69" t="n"/>
      <c r="B120" s="70" t="n"/>
      <c r="C120" s="70" t="n"/>
      <c r="D120" s="70" t="n"/>
      <c r="E120" s="70" t="n"/>
      <c r="F120" s="70" t="n"/>
      <c r="G120" s="70" t="n"/>
      <c r="H120" s="70" t="n"/>
      <c r="I120" s="71" t="n"/>
    </row>
    <row r="121" ht="15" customHeight="1" s="151">
      <c r="A121" s="69" t="n"/>
      <c r="B121" s="70" t="n"/>
      <c r="C121" s="70" t="n"/>
      <c r="D121" s="70" t="n"/>
      <c r="E121" s="70" t="n"/>
      <c r="F121" s="70" t="n"/>
      <c r="G121" s="70" t="n"/>
      <c r="H121" s="70" t="n"/>
      <c r="I121" s="71" t="n"/>
    </row>
    <row r="122" ht="15" customHeight="1" s="151">
      <c r="A122" s="69" t="n"/>
      <c r="B122" s="70" t="n"/>
      <c r="C122" s="70" t="n"/>
      <c r="D122" s="70" t="n"/>
      <c r="E122" s="70" t="n"/>
      <c r="F122" s="70" t="n"/>
      <c r="G122" s="70" t="n"/>
      <c r="H122" s="70" t="n"/>
      <c r="I122" s="71" t="n"/>
    </row>
    <row r="123" ht="28" customHeight="1" s="151">
      <c r="A123" s="69" t="n"/>
      <c r="B123" s="70" t="n"/>
      <c r="C123" s="70" t="n"/>
      <c r="D123" s="70" t="n"/>
      <c r="E123" s="70" t="n"/>
      <c r="F123" s="70" t="n"/>
      <c r="G123" s="70" t="n"/>
      <c r="H123" s="70" t="n"/>
      <c r="I123" s="71" t="n"/>
    </row>
    <row r="124" ht="15" customHeight="1" s="151">
      <c r="A124" s="69" t="n"/>
      <c r="B124" s="70" t="n"/>
      <c r="C124" s="70" t="n"/>
      <c r="D124" s="70" t="n"/>
      <c r="E124" s="70" t="n"/>
      <c r="F124" s="70" t="n"/>
      <c r="G124" s="70" t="n"/>
      <c r="H124" s="70" t="n"/>
      <c r="I124" s="71" t="n"/>
    </row>
    <row r="125" ht="15" customHeight="1" s="151">
      <c r="A125" s="69" t="n"/>
      <c r="B125" s="70" t="n"/>
      <c r="C125" s="70" t="n"/>
      <c r="D125" s="70" t="n"/>
      <c r="E125" s="70" t="n"/>
      <c r="F125" s="70" t="n"/>
      <c r="G125" s="70" t="n"/>
      <c r="H125" s="70" t="n"/>
      <c r="I125" s="71" t="n"/>
    </row>
    <row r="126" ht="15" customHeight="1" s="151">
      <c r="A126" s="69" t="n"/>
      <c r="B126" s="70" t="n"/>
      <c r="C126" s="70" t="n"/>
      <c r="D126" s="70" t="n"/>
      <c r="E126" s="70" t="n"/>
      <c r="F126" s="70" t="n"/>
      <c r="G126" s="70" t="n"/>
      <c r="H126" s="70" t="n"/>
      <c r="I126" s="71" t="n"/>
    </row>
    <row r="127" ht="15" customHeight="1" s="151">
      <c r="A127" s="69" t="n"/>
      <c r="B127" s="70" t="n"/>
      <c r="C127" s="70" t="n"/>
      <c r="D127" s="70" t="n"/>
      <c r="E127" s="70" t="n"/>
      <c r="F127" s="70" t="n"/>
      <c r="G127" s="70" t="n"/>
      <c r="H127" s="70" t="n"/>
      <c r="I127" s="71" t="n"/>
    </row>
    <row r="128" ht="15" customHeight="1" s="151">
      <c r="A128" s="69" t="n"/>
      <c r="B128" s="70" t="n"/>
      <c r="C128" s="70" t="n"/>
      <c r="D128" s="70" t="n"/>
      <c r="E128" s="70" t="n"/>
      <c r="F128" s="70" t="n"/>
      <c r="G128" s="70" t="n"/>
      <c r="H128" s="70" t="n"/>
      <c r="I128" s="71" t="n"/>
    </row>
    <row r="129" ht="15" customHeight="1" s="151">
      <c r="A129" s="69" t="n"/>
      <c r="B129" s="70" t="n"/>
      <c r="C129" s="70" t="n"/>
      <c r="D129" s="70" t="n"/>
      <c r="E129" s="70" t="n"/>
      <c r="F129" s="70" t="n"/>
      <c r="G129" s="70" t="n"/>
      <c r="H129" s="70" t="n"/>
      <c r="I129" s="71" t="n"/>
    </row>
    <row r="130" ht="15" customHeight="1" s="151">
      <c r="A130" s="69" t="n"/>
      <c r="B130" s="70" t="n"/>
      <c r="C130" s="70" t="n"/>
      <c r="D130" s="70" t="n"/>
      <c r="E130" s="70" t="n"/>
      <c r="F130" s="70" t="n"/>
      <c r="G130" s="70" t="n"/>
      <c r="H130" s="70" t="n"/>
      <c r="I130" s="71" t="n"/>
    </row>
    <row r="131" ht="15" customHeight="1" s="151">
      <c r="A131" s="69" t="n"/>
      <c r="B131" s="70" t="n"/>
      <c r="C131" s="70" t="n"/>
      <c r="D131" s="70" t="n"/>
      <c r="E131" s="70" t="n"/>
      <c r="F131" s="70" t="n"/>
      <c r="G131" s="70" t="n"/>
      <c r="H131" s="70" t="n"/>
      <c r="I131" s="71" t="n"/>
    </row>
    <row r="132" ht="15" customHeight="1" s="151">
      <c r="A132" s="69" t="n"/>
      <c r="B132" s="70" t="n"/>
      <c r="C132" s="70" t="n"/>
      <c r="D132" s="70" t="n"/>
      <c r="E132" s="70" t="n"/>
      <c r="F132" s="70" t="n"/>
      <c r="G132" s="70" t="n"/>
      <c r="H132" s="70" t="n"/>
      <c r="I132" s="71" t="n"/>
    </row>
    <row r="133" ht="15" customHeight="1" s="151">
      <c r="A133" s="69" t="n"/>
      <c r="B133" s="70" t="n"/>
      <c r="C133" s="70" t="n"/>
      <c r="D133" s="70" t="n"/>
      <c r="E133" s="70" t="n"/>
      <c r="F133" s="70" t="n"/>
      <c r="G133" s="70" t="n"/>
      <c r="H133" s="70" t="n"/>
      <c r="I133" s="71" t="n"/>
    </row>
    <row r="134" ht="15" customHeight="1" s="151">
      <c r="A134" s="69" t="n"/>
      <c r="B134" s="70" t="n"/>
      <c r="C134" s="70" t="n"/>
      <c r="D134" s="70" t="n"/>
      <c r="E134" s="70" t="n"/>
      <c r="F134" s="70" t="n"/>
      <c r="G134" s="70" t="n"/>
      <c r="H134" s="70" t="n"/>
      <c r="I134" s="71" t="n"/>
    </row>
    <row r="135" ht="15" customHeight="1" s="151">
      <c r="A135" s="69" t="n"/>
      <c r="B135" s="70" t="n"/>
      <c r="C135" s="70" t="n"/>
      <c r="D135" s="70" t="n"/>
      <c r="E135" s="70" t="n"/>
      <c r="F135" s="70" t="n"/>
      <c r="G135" s="70" t="n"/>
      <c r="H135" s="70" t="n"/>
      <c r="I135" s="71" t="n"/>
    </row>
    <row r="136" ht="15" customHeight="1" s="151" thickBot="1">
      <c r="A136" s="69" t="n"/>
      <c r="B136" s="70" t="n"/>
      <c r="C136" s="70" t="n"/>
      <c r="D136" s="70" t="n"/>
      <c r="E136" s="70" t="n"/>
      <c r="F136" s="70" t="n"/>
      <c r="G136" s="70" t="n"/>
      <c r="H136" s="70" t="n"/>
      <c r="I136" s="71" t="n"/>
      <c r="J136" s="75" t="n"/>
    </row>
    <row r="137" ht="15" customHeight="1" s="151">
      <c r="A137" s="69" t="n"/>
      <c r="B137" s="70" t="n"/>
      <c r="C137" s="70" t="n"/>
      <c r="D137" s="70" t="n"/>
      <c r="E137" s="70" t="n"/>
      <c r="F137" s="70" t="n"/>
      <c r="G137" s="70" t="n"/>
      <c r="H137" s="70" t="n"/>
      <c r="I137" s="71" t="n"/>
    </row>
    <row r="138" ht="15" customHeight="1" s="151">
      <c r="A138" s="69" t="n"/>
      <c r="B138" s="70" t="n"/>
      <c r="C138" s="70" t="n"/>
      <c r="D138" s="70" t="n"/>
      <c r="E138" s="70" t="n"/>
      <c r="F138" s="70" t="n"/>
      <c r="G138" s="70" t="n"/>
      <c r="H138" s="70" t="n"/>
      <c r="I138" s="71" t="n"/>
    </row>
    <row r="139" ht="15" customHeight="1" s="151">
      <c r="A139" s="69" t="n"/>
      <c r="B139" s="70" t="n"/>
      <c r="C139" s="70" t="n"/>
      <c r="D139" s="70" t="n"/>
      <c r="E139" s="70" t="n"/>
      <c r="F139" s="70" t="n"/>
      <c r="G139" s="70" t="n"/>
      <c r="H139" s="70" t="n"/>
      <c r="I139" s="71" t="n"/>
    </row>
    <row r="140" ht="15" customHeight="1" s="151">
      <c r="A140" s="69" t="n"/>
      <c r="B140" s="70" t="n"/>
      <c r="C140" s="70" t="n"/>
      <c r="D140" s="70" t="n"/>
      <c r="E140" s="70" t="n"/>
      <c r="F140" s="70" t="n"/>
      <c r="G140" s="70" t="n"/>
      <c r="H140" s="70" t="n"/>
      <c r="I140" s="71" t="n"/>
    </row>
    <row r="141" ht="15" customHeight="1" s="151">
      <c r="A141" s="69" t="n"/>
      <c r="B141" s="70" t="n"/>
      <c r="C141" s="70" t="n"/>
      <c r="D141" s="70" t="n"/>
      <c r="E141" s="70" t="n"/>
      <c r="F141" s="70" t="n"/>
      <c r="G141" s="70" t="n"/>
      <c r="H141" s="70" t="n"/>
      <c r="I141" s="71" t="n"/>
    </row>
    <row r="142" ht="15" customHeight="1" s="151">
      <c r="A142" s="69" t="n"/>
      <c r="B142" s="70" t="n"/>
      <c r="C142" s="70" t="n"/>
      <c r="D142" s="70" t="n"/>
      <c r="E142" s="70" t="n"/>
      <c r="F142" s="70" t="n"/>
      <c r="G142" s="70" t="n"/>
      <c r="H142" s="70" t="n"/>
      <c r="I142" s="71" t="n"/>
    </row>
    <row r="143" ht="16" customHeight="1" s="151">
      <c r="A143" s="69" t="n"/>
      <c r="B143" s="70" t="n"/>
      <c r="C143" s="70" t="n"/>
      <c r="D143" s="70" t="n"/>
      <c r="E143" s="70" t="n"/>
      <c r="F143" s="70" t="n"/>
      <c r="G143" s="70" t="n"/>
      <c r="H143" s="70" t="n"/>
      <c r="I143" s="71" t="n"/>
    </row>
    <row r="144" ht="30.75" customHeight="1" s="151">
      <c r="A144" s="143" t="n"/>
      <c r="E144" s="144" t="n"/>
      <c r="I144" s="113" t="n"/>
    </row>
    <row r="145">
      <c r="A145" s="7" t="n"/>
      <c r="I145" s="8" t="n"/>
    </row>
    <row r="146">
      <c r="A146" s="7" t="n"/>
      <c r="I146" s="8" t="n"/>
    </row>
    <row r="147">
      <c r="A147" s="7" t="n"/>
      <c r="I147" s="8" t="n"/>
    </row>
    <row r="148">
      <c r="A148" s="7" t="n"/>
      <c r="I148" s="8" t="n"/>
    </row>
    <row r="149">
      <c r="A149" s="7" t="n"/>
      <c r="I149" s="8" t="n"/>
    </row>
    <row r="150">
      <c r="A150" s="7" t="n"/>
      <c r="I150" s="8" t="n"/>
    </row>
    <row r="151">
      <c r="A151" s="7" t="n"/>
      <c r="I151" s="8" t="n"/>
    </row>
    <row r="152">
      <c r="A152" s="7" t="n"/>
      <c r="I152" s="8" t="n"/>
    </row>
    <row r="153">
      <c r="A153" s="7" t="n"/>
      <c r="I153" s="8" t="n"/>
    </row>
    <row r="154">
      <c r="A154" s="7" t="n"/>
      <c r="I154" s="8" t="n"/>
    </row>
    <row r="155">
      <c r="A155" s="7" t="n"/>
      <c r="I155" s="8" t="n"/>
    </row>
    <row r="156">
      <c r="A156" s="7" t="n"/>
      <c r="I156" s="8" t="n"/>
    </row>
    <row r="157">
      <c r="A157" s="7" t="n"/>
      <c r="I157" s="8" t="n"/>
    </row>
    <row r="158">
      <c r="A158" s="7" t="n"/>
      <c r="I158" s="8" t="n"/>
    </row>
    <row r="159">
      <c r="A159" s="7" t="n"/>
      <c r="I159" s="8" t="n"/>
    </row>
    <row r="160">
      <c r="A160" s="7" t="n"/>
      <c r="I160" s="8" t="n"/>
    </row>
    <row r="161">
      <c r="A161" s="7" t="n"/>
      <c r="I161" s="8" t="n"/>
    </row>
    <row r="162">
      <c r="A162" s="7" t="n"/>
      <c r="I162" s="8" t="n"/>
    </row>
    <row r="163">
      <c r="A163" s="7" t="n"/>
      <c r="I163" s="8" t="n"/>
    </row>
    <row r="164">
      <c r="A164" s="7" t="n"/>
      <c r="I164" s="8" t="n"/>
    </row>
    <row r="165">
      <c r="A165" s="7" t="n"/>
      <c r="I165" s="8" t="n"/>
    </row>
    <row r="166">
      <c r="A166" s="7" t="n"/>
      <c r="I166" s="8" t="n"/>
    </row>
    <row r="167">
      <c r="A167" s="7" t="n"/>
      <c r="I167" s="8" t="n"/>
    </row>
    <row r="168">
      <c r="A168" s="7" t="n"/>
      <c r="I168" s="8" t="n"/>
    </row>
    <row r="169">
      <c r="A169" s="7" t="n"/>
      <c r="I169" s="8" t="n"/>
    </row>
    <row r="170">
      <c r="A170" s="7" t="n"/>
      <c r="I170" s="8" t="n"/>
    </row>
    <row r="171">
      <c r="A171" s="7" t="n"/>
      <c r="I171" s="8" t="n"/>
    </row>
    <row r="172">
      <c r="A172" s="7" t="n"/>
      <c r="I172" s="8" t="n"/>
    </row>
    <row r="173">
      <c r="A173" s="7" t="n"/>
      <c r="I173" s="8" t="n"/>
    </row>
    <row r="174">
      <c r="A174" s="7" t="n"/>
      <c r="I174" s="8" t="n"/>
    </row>
    <row r="175">
      <c r="A175" s="7" t="n"/>
      <c r="I175" s="8" t="n"/>
    </row>
    <row r="176">
      <c r="A176" s="7" t="n"/>
      <c r="I176" s="8" t="n"/>
    </row>
    <row r="177">
      <c r="A177" s="7" t="n"/>
      <c r="I177" s="8" t="n"/>
    </row>
    <row r="178">
      <c r="A178" s="7" t="n"/>
      <c r="I178" s="8" t="n"/>
    </row>
    <row r="179">
      <c r="I179" s="8" t="n"/>
    </row>
    <row r="180">
      <c r="A180" s="7" t="n"/>
      <c r="I180" s="8" t="n"/>
    </row>
    <row r="181">
      <c r="A181" s="7" t="n"/>
      <c r="I181" s="8" t="n"/>
    </row>
    <row r="182">
      <c r="A182" s="7" t="n"/>
      <c r="I182" s="8" t="n"/>
    </row>
    <row r="183">
      <c r="A183" s="7" t="n"/>
      <c r="I183" s="8" t="n"/>
    </row>
    <row r="184">
      <c r="A184" s="7" t="n"/>
      <c r="I184" s="8" t="n"/>
    </row>
    <row r="185">
      <c r="A185" s="7" t="n"/>
      <c r="I185" s="8" t="n"/>
    </row>
    <row r="186">
      <c r="A186" s="7" t="n"/>
      <c r="I186" s="8" t="n"/>
    </row>
    <row r="187">
      <c r="A187" s="7" t="n"/>
      <c r="I187" s="8" t="n"/>
    </row>
    <row r="188">
      <c r="A188" s="7" t="n"/>
      <c r="I188" s="8" t="n"/>
    </row>
    <row r="189">
      <c r="A189" s="7" t="n"/>
      <c r="I189" s="8" t="n"/>
    </row>
    <row r="190">
      <c r="A190" s="7" t="n"/>
      <c r="I190" s="8" t="n"/>
    </row>
    <row r="191">
      <c r="A191" s="7" t="n"/>
      <c r="I191" s="8" t="n"/>
    </row>
    <row r="192">
      <c r="A192" s="7" t="n"/>
      <c r="I192" s="8" t="n"/>
    </row>
    <row r="193">
      <c r="A193" s="7" t="n"/>
      <c r="I193" s="8" t="n"/>
    </row>
    <row r="194">
      <c r="A194" s="7" t="n"/>
      <c r="I194" s="8" t="n"/>
    </row>
    <row r="195">
      <c r="A195" s="7" t="n"/>
      <c r="I195" s="8" t="n"/>
    </row>
    <row r="196">
      <c r="A196" s="7" t="n"/>
      <c r="I196" s="8" t="n"/>
    </row>
    <row r="197">
      <c r="A197" s="7" t="n"/>
      <c r="I197" s="8" t="n"/>
    </row>
    <row r="198" ht="16" customHeight="1" s="151" thickBot="1">
      <c r="A198" s="4" t="n"/>
      <c r="B198" s="5" t="n"/>
      <c r="C198" s="5" t="n"/>
      <c r="D198" s="5" t="n"/>
      <c r="E198" s="5" t="n"/>
      <c r="F198" s="5" t="n"/>
      <c r="G198" s="5" t="n"/>
      <c r="H198" s="5" t="n"/>
      <c r="I198" s="6" t="n"/>
    </row>
    <row r="199">
      <c r="A199" s="7" t="n"/>
      <c r="I199" s="8" t="n"/>
    </row>
    <row r="200">
      <c r="A200" s="7" t="n"/>
      <c r="I200" s="8" t="n"/>
    </row>
    <row r="201">
      <c r="A201" s="7" t="n"/>
      <c r="I201" s="8" t="n"/>
    </row>
    <row r="202">
      <c r="A202" s="7" t="n"/>
      <c r="I202" s="8" t="n"/>
    </row>
    <row r="203">
      <c r="A203" s="7" t="n"/>
      <c r="I203" s="8" t="n"/>
    </row>
    <row r="204">
      <c r="A204" s="7" t="n"/>
      <c r="I204" s="8" t="n"/>
    </row>
    <row r="205" ht="16" customHeight="1" s="151" thickBot="1">
      <c r="A205" s="4" t="n"/>
      <c r="B205" s="5" t="n"/>
      <c r="C205" s="5" t="n"/>
      <c r="D205" s="5" t="n"/>
      <c r="E205" s="5" t="n"/>
      <c r="F205" s="5" t="n"/>
      <c r="G205" s="5" t="n"/>
      <c r="H205" s="5" t="n"/>
      <c r="I205" s="6" t="n"/>
    </row>
  </sheetData>
  <mergeCells count="39">
    <mergeCell ref="C61:I61"/>
    <mergeCell ref="A65:I65"/>
    <mergeCell ref="D13:F13"/>
    <mergeCell ref="A144:D144"/>
    <mergeCell ref="G13:I13"/>
    <mergeCell ref="B54:I54"/>
    <mergeCell ref="A66:I66"/>
    <mergeCell ref="B8:D8"/>
    <mergeCell ref="B46:C46"/>
    <mergeCell ref="A12:I12"/>
    <mergeCell ref="C57:I57"/>
    <mergeCell ref="D47:I47"/>
    <mergeCell ref="B58:I58"/>
    <mergeCell ref="A5:I5"/>
    <mergeCell ref="A49:I52"/>
    <mergeCell ref="B9:D9"/>
    <mergeCell ref="C62:I62"/>
    <mergeCell ref="A53:I53"/>
    <mergeCell ref="B6:D6"/>
    <mergeCell ref="A72:I72"/>
    <mergeCell ref="B44:C44"/>
    <mergeCell ref="A13:C13"/>
    <mergeCell ref="A10:I10"/>
    <mergeCell ref="A1:I4"/>
    <mergeCell ref="A47:B47"/>
    <mergeCell ref="D44:I44"/>
    <mergeCell ref="B7:D7"/>
    <mergeCell ref="C63:I63"/>
    <mergeCell ref="A48:I48"/>
    <mergeCell ref="A64:I64"/>
    <mergeCell ref="A59:I59"/>
    <mergeCell ref="E144:I144"/>
    <mergeCell ref="A11:I11"/>
    <mergeCell ref="B55:I55"/>
    <mergeCell ref="C56:I56"/>
    <mergeCell ref="D46:I46"/>
    <mergeCell ref="B45:C45"/>
    <mergeCell ref="D45:I45"/>
    <mergeCell ref="C60:I60"/>
  </mergeCells>
  <printOptions horizontalCentered="1"/>
  <pageMargins left="0.2362204724409449" right="0.2362204724409449" top="0.7480314960629921" bottom="0.7480314960629921" header="0.3149606299212598" footer="0.3149606299212598"/>
  <pageSetup orientation="portrait" paperSize="9" scale="33" fitToHeight="0"/>
  <rowBreaks count="1" manualBreakCount="1">
    <brk id="71" min="0" max="8"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Barry Langan</dc:creator>
  <dcterms:created xsi:type="dcterms:W3CDTF">2025-03-23T14:16:19Z</dcterms:created>
  <dcterms:modified xsi:type="dcterms:W3CDTF">2025-11-19T15:52:53Z</dcterms:modified>
  <cp:lastModifiedBy>Daniel Griffiths</cp:lastModifiedBy>
  <cp:lastPrinted>2025-10-04T04:19:30Z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0x01010054D974174226C149948D7A6780F4D3DD</vt:lpwstr>
  </property>
  <property name="MediaServiceImageTags" fmtid="{D5CDD505-2E9C-101B-9397-08002B2CF9AE}" pid="3">
    <vt:lpwstr/>
  </property>
</Properties>
</file>