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1000" firstSheet="69" activeTab="69" autoFilterDateGrouping="1"/>
  </bookViews>
  <sheets>
    <sheet name="001" sheetId="1" state="visible" r:id="rId1"/>
    <sheet name="002" sheetId="2" state="visible" r:id="rId2"/>
    <sheet name="003" sheetId="3" state="visible" r:id="rId3"/>
    <sheet name="004" sheetId="4" state="visible" r:id="rId4"/>
    <sheet name="005" sheetId="5" state="visible" r:id="rId5"/>
    <sheet name="006" sheetId="6" state="visible" r:id="rId6"/>
    <sheet name="007" sheetId="7" state="visible" r:id="rId7"/>
    <sheet name="008" sheetId="8" state="visible" r:id="rId8"/>
    <sheet name="009" sheetId="9" state="visible" r:id="rId9"/>
    <sheet name="010" sheetId="10" state="visible" r:id="rId10"/>
    <sheet name="011" sheetId="11" state="visible" r:id="rId11"/>
    <sheet name="012" sheetId="12" state="visible" r:id="rId12"/>
    <sheet name="013" sheetId="13" state="visible" r:id="rId13"/>
    <sheet name="014" sheetId="14" state="visible" r:id="rId14"/>
    <sheet name="015" sheetId="15" state="visible" r:id="rId15"/>
    <sheet name="016" sheetId="16" state="visible" r:id="rId16"/>
    <sheet name="017" sheetId="17" state="visible" r:id="rId17"/>
    <sheet name="018" sheetId="18" state="visible" r:id="rId18"/>
    <sheet name="019" sheetId="19" state="visible" r:id="rId19"/>
    <sheet name="020" sheetId="20" state="visible" r:id="rId20"/>
    <sheet name="021" sheetId="21" state="visible" r:id="rId21"/>
    <sheet name="022" sheetId="22" state="visible" r:id="rId22"/>
    <sheet name="023" sheetId="23" state="visible" r:id="rId23"/>
    <sheet name="024" sheetId="24" state="visible" r:id="rId24"/>
    <sheet name="025" sheetId="25" state="visible" r:id="rId25"/>
    <sheet name="026" sheetId="26" state="visible" r:id="rId26"/>
    <sheet name="027" sheetId="27" state="visible" r:id="rId27"/>
    <sheet name="028" sheetId="28" state="visible" r:id="rId28"/>
    <sheet name="029" sheetId="29" state="visible" r:id="rId29"/>
    <sheet name="031" sheetId="30" state="visible" r:id="rId30"/>
    <sheet name="032" sheetId="31" state="visible" r:id="rId31"/>
    <sheet name="033" sheetId="32" state="visible" r:id="rId32"/>
    <sheet name="034" sheetId="33" state="visible" r:id="rId33"/>
    <sheet name="035" sheetId="34" state="visible" r:id="rId34"/>
    <sheet name="036" sheetId="35" state="visible" r:id="rId35"/>
    <sheet name="037" sheetId="36" state="visible" r:id="rId36"/>
    <sheet name="038" sheetId="37" state="visible" r:id="rId37"/>
    <sheet name="039" sheetId="38" state="visible" r:id="rId38"/>
    <sheet name="040" sheetId="39" state="visible" r:id="rId39"/>
    <sheet name="041" sheetId="40" state="visible" r:id="rId40"/>
    <sheet name="042" sheetId="41" state="visible" r:id="rId41"/>
    <sheet name="043" sheetId="42" state="visible" r:id="rId42"/>
    <sheet name="044" sheetId="43" state="visible" r:id="rId43"/>
    <sheet name="045" sheetId="44" state="visible" r:id="rId44"/>
    <sheet name="046" sheetId="45" state="visible" r:id="rId45"/>
    <sheet name="047" sheetId="46" state="visible" r:id="rId46"/>
    <sheet name="048" sheetId="47" state="visible" r:id="rId47"/>
    <sheet name="049" sheetId="48" state="visible" r:id="rId48"/>
    <sheet name="050" sheetId="49" state="visible" r:id="rId49"/>
    <sheet name="051" sheetId="50" state="visible" r:id="rId50"/>
    <sheet name="052" sheetId="51" state="visible" r:id="rId51"/>
    <sheet name="053" sheetId="52" state="visible" r:id="rId52"/>
    <sheet name="054" sheetId="53" state="visible" r:id="rId53"/>
    <sheet name="055" sheetId="54" state="visible" r:id="rId54"/>
    <sheet name="056" sheetId="55" state="visible" r:id="rId55"/>
    <sheet name="057" sheetId="56" state="visible" r:id="rId56"/>
    <sheet name="058" sheetId="57" state="visible" r:id="rId57"/>
    <sheet name="059" sheetId="58" state="visible" r:id="rId58"/>
    <sheet name="060" sheetId="59" state="visible" r:id="rId59"/>
    <sheet name="061" sheetId="60" state="visible" r:id="rId60"/>
    <sheet name="062" sheetId="61" state="visible" r:id="rId61"/>
    <sheet name="063" sheetId="62" state="visible" r:id="rId62"/>
    <sheet name="064" sheetId="63" state="visible" r:id="rId63"/>
    <sheet name="065" sheetId="64" state="visible" r:id="rId64"/>
    <sheet name="066" sheetId="65" state="visible" r:id="rId65"/>
    <sheet name="067" sheetId="66" state="visible" r:id="rId66"/>
    <sheet name="068" sheetId="67" state="visible" r:id="rId67"/>
    <sheet name="069" sheetId="68" state="visible" r:id="rId68"/>
    <sheet name="070" sheetId="69" state="visible" r:id="rId69"/>
    <sheet name="071" sheetId="70" state="visible" r:id="rId70"/>
    <sheet name="072" sheetId="71" state="visible" r:id="rId71"/>
    <sheet name="073" sheetId="72" state="visible" r:id="rId72"/>
  </sheets>
  <definedNames>
    <definedName name="_xlnm.Print_Area" localSheetId="0">'001'!$B$2:$J$100</definedName>
    <definedName name="_xlnm.Print_Area" localSheetId="1">'002'!$B$2:$J$100</definedName>
    <definedName name="_xlnm.Print_Area" localSheetId="2">'003'!$B$2:$J$126</definedName>
    <definedName name="_xlnm.Print_Area" localSheetId="3">'004'!$A$1:$I$122</definedName>
    <definedName name="_xlnm.Print_Area" localSheetId="4">'005'!$A$1:$I$141</definedName>
    <definedName name="_xlnm.Print_Area" localSheetId="5">'006'!$A$1:$I$98</definedName>
    <definedName name="_xlnm.Print_Area" localSheetId="6">'007'!$A$1:$I$95</definedName>
    <definedName name="_xlnm.Print_Area" localSheetId="7">'008'!$A$1:$I$136</definedName>
    <definedName name="_xlnm.Print_Area" localSheetId="8">'009'!$A$1:$I$202</definedName>
    <definedName name="_xlnm.Print_Area" localSheetId="9">'010'!$A$1:$I$201</definedName>
    <definedName name="_xlnm.Print_Area" localSheetId="10">'011'!$A$1:$I$143</definedName>
    <definedName name="_xlnm.Print_Area" localSheetId="11">'012'!$A$1:$I$143</definedName>
    <definedName name="_xlnm.Print_Area" localSheetId="12">'013'!$A$1:$I$161</definedName>
    <definedName name="_xlnm.Print_Area" localSheetId="13">'014'!$A$1:$I$151</definedName>
    <definedName name="_xlnm.Print_Area" localSheetId="14">'015'!$A$1:$I$156</definedName>
    <definedName name="_xlnm.Print_Area" localSheetId="15">'016'!$A$1:$I$141</definedName>
    <definedName name="_xlnm.Print_Area" localSheetId="16">'017'!$A$1:$I$141</definedName>
    <definedName name="_xlnm.Print_Area" localSheetId="17">'018'!$A$1:$I$174</definedName>
    <definedName name="_xlnm.Print_Area" localSheetId="18">'019'!$A$1:$I$133</definedName>
    <definedName name="_xlnm.Print_Area" localSheetId="19">'020'!$A$1:$I$67</definedName>
    <definedName name="_xlnm.Print_Area" localSheetId="20">'021'!$A$1:$I$107</definedName>
    <definedName name="_xlnm.Print_Area" localSheetId="21">'022'!$A$1:$I$171</definedName>
    <definedName name="_xlnm.Print_Area" localSheetId="22">'023'!$A$1:$I$204</definedName>
    <definedName name="_xlnm.Print_Area" localSheetId="23">'024'!$A$1:$I$203</definedName>
    <definedName name="_xlnm.Print_Area" localSheetId="24">'025'!$A$1:$I$194</definedName>
    <definedName name="_xlnm.Print_Area" localSheetId="25">'026'!$A$1:$I$194</definedName>
    <definedName name="_xlnm.Print_Area" localSheetId="26">'027'!$A$1:$I$190</definedName>
    <definedName name="_xlnm.Print_Area" localSheetId="27">'028'!$A$1:$I$68</definedName>
    <definedName name="_xlnm.Print_Area" localSheetId="28">'029'!$A$1:$I$106</definedName>
    <definedName name="_xlnm.Print_Area" localSheetId="29">'031'!$A$1:$I$139</definedName>
    <definedName name="_xlnm.Print_Area" localSheetId="30">'032'!$A$1:$I$142</definedName>
    <definedName name="_xlnm.Print_Area" localSheetId="31">'033'!$A$1:$I$143</definedName>
    <definedName name="_xlnm.Print_Area" localSheetId="32">'034'!$A$1:$I$145</definedName>
    <definedName name="_xlnm.Print_Area" localSheetId="33">'035'!$A$1:$I$137</definedName>
    <definedName name="_xlnm.Print_Area" localSheetId="34">'036'!$A$1:$I$198</definedName>
    <definedName name="_xlnm.Print_Area" localSheetId="35">'037'!$A$1:$I$175</definedName>
    <definedName name="_xlnm.Print_Area" localSheetId="36">'038'!$A$1:$I$197</definedName>
    <definedName name="_xlnm.Print_Area" localSheetId="37">'039'!$A$1:$I$144</definedName>
    <definedName name="_xlnm.Print_Area" localSheetId="38">'040'!$A$1:$I$144</definedName>
    <definedName name="_xlnm.Print_Area" localSheetId="39">'041'!$A$1:$I$148</definedName>
    <definedName name="_xlnm.Print_Area" localSheetId="40">'042'!$A$1:$I$144</definedName>
    <definedName name="_xlnm.Print_Area" localSheetId="41">'043'!$A$1:$I$144</definedName>
    <definedName name="_xlnm.Print_Area" localSheetId="42">'044'!$A$1:$I$143</definedName>
    <definedName name="_xlnm.Print_Area" localSheetId="43">'045'!$A$1:$I$190</definedName>
    <definedName name="_xlnm.Print_Area" localSheetId="44">'046'!$A$1:$I$172</definedName>
    <definedName name="_xlnm.Print_Area" localSheetId="45">'047'!$A$1:$I$172</definedName>
    <definedName name="_xlnm.Print_Area" localSheetId="46">'048'!$A$1:$I$206</definedName>
    <definedName name="_xlnm.Print_Area" localSheetId="47">'049'!$A$1:$I$204</definedName>
    <definedName name="_xlnm.Print_Area" localSheetId="48">'050'!$A$1:$I$177</definedName>
    <definedName name="_xlnm.Print_Area" localSheetId="49">'051'!$A$1:$I$205</definedName>
    <definedName name="_xlnm.Print_Area" localSheetId="50">'052'!$A$1:$I$179</definedName>
    <definedName name="_xlnm.Print_Area" localSheetId="51">'053'!$A$1:$I$179</definedName>
    <definedName name="_xlnm.Print_Area" localSheetId="52">'054'!$A$1:$I$207</definedName>
    <definedName name="_xlnm.Print_Area" localSheetId="53">'055'!$A$1:$I$208</definedName>
    <definedName name="_xlnm.Print_Area" localSheetId="54">'056'!$A$1:$I$209</definedName>
    <definedName name="_xlnm.Print_Area" localSheetId="55">'057'!$A$1:$I$207</definedName>
    <definedName name="_xlnm.Print_Area" localSheetId="56">'058'!$A$1:$I$206</definedName>
    <definedName name="_xlnm.Print_Area" localSheetId="57">'059'!$A$1:$I$208</definedName>
    <definedName name="_xlnm.Print_Area" localSheetId="58">'060'!$A$1:$I$139</definedName>
    <definedName name="_xlnm.Print_Area" localSheetId="59">'061'!$A$1:$I$150</definedName>
    <definedName name="_xlnm.Print_Area" localSheetId="60">'062'!$A$1:$I$151</definedName>
    <definedName name="_xlnm.Print_Area" localSheetId="61">'063'!$A$1:$I$151</definedName>
    <definedName name="_xlnm.Print_Area" localSheetId="62">'064'!$A$1:$I$151</definedName>
    <definedName name="_xlnm.Print_Area" localSheetId="63">'065'!$A$1:$I$151</definedName>
    <definedName name="_xlnm.Print_Area" localSheetId="64">'066'!$A$1:$I$153</definedName>
    <definedName name="_xlnm.Print_Area" localSheetId="65">'067'!$A$1:$I$151</definedName>
    <definedName name="_xlnm.Print_Area" localSheetId="66">'068'!$A$1:$I$151</definedName>
    <definedName name="_xlnm.Print_Area" localSheetId="67">'069'!$A$1:$I$151</definedName>
    <definedName name="_xlnm.Print_Area" localSheetId="68">'070'!$A$1:$I$153</definedName>
    <definedName name="_xlnm.Print_Area" localSheetId="69">'071'!$A$1:$I$154</definedName>
    <definedName name="_xlnm.Print_Area" localSheetId="70">'072'!$A$1:$I$152</definedName>
    <definedName name="_xlnm.Print_Area" localSheetId="71">'073'!$A$1:$I$151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ddd"/>
  </numFmts>
  <fonts count="20">
    <font>
      <name val="Aptos Narrow"/>
      <family val="2"/>
      <color theme="1"/>
      <sz val="11"/>
      <scheme val="minor"/>
    </font>
    <font>
      <name val="Arial"/>
      <family val="2"/>
      <b val="1"/>
      <color theme="0"/>
      <sz val="16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b val="1"/>
      <color theme="1"/>
      <sz val="26"/>
    </font>
    <font>
      <name val="Arial"/>
      <family val="2"/>
      <sz val="16"/>
    </font>
    <font>
      <name val="Arial"/>
      <family val="2"/>
      <sz val="18"/>
    </font>
    <font>
      <name val="Arial"/>
      <family val="2"/>
      <b val="1"/>
      <color theme="0"/>
      <sz val="18"/>
    </font>
    <font>
      <name val="Arial"/>
      <family val="2"/>
      <b val="1"/>
      <color theme="1"/>
      <sz val="14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color theme="1"/>
      <sz val="12"/>
    </font>
    <font>
      <name val="Aptos Narrow"/>
      <family val="2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20"/>
    </font>
    <font>
      <name val="Arial"/>
      <family val="2"/>
      <color theme="1"/>
      <sz val="18"/>
    </font>
    <font>
      <name val="Arial"/>
      <family val="2"/>
      <b val="1"/>
      <sz val="18"/>
    </font>
    <font>
      <name val="Aptos Narrow"/>
      <family val="2"/>
      <color theme="1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FD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3" fillId="0" borderId="7" applyAlignment="1" pivotButton="0" quotePrefix="1" xfId="0">
      <alignment horizontal="left" vertical="center"/>
    </xf>
    <xf numFmtId="0" fontId="3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/>
    </xf>
    <xf numFmtId="0" fontId="9" fillId="0" borderId="19" applyAlignment="1" pivotButton="0" quotePrefix="0" xfId="0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9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/>
    </xf>
    <xf numFmtId="0" fontId="8" fillId="0" borderId="18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8" fillId="0" borderId="9" applyAlignment="1" pivotButton="0" quotePrefix="0" xfId="0">
      <alignment horizontal="right" vertical="center"/>
    </xf>
    <xf numFmtId="14" fontId="9" fillId="0" borderId="0" applyAlignment="1" pivotButton="0" quotePrefix="0" xfId="0">
      <alignment horizontal="right" vertical="center"/>
    </xf>
    <xf numFmtId="14" fontId="9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164" fontId="9" fillId="0" borderId="5" applyAlignment="1" pivotButton="0" quotePrefix="0" xfId="0">
      <alignment horizontal="right" vertical="center"/>
    </xf>
    <xf numFmtId="20" fontId="9" fillId="0" borderId="5" applyAlignment="1" pivotButton="0" quotePrefix="0" xfId="0">
      <alignment horizontal="right" vertical="center"/>
    </xf>
    <xf numFmtId="0" fontId="8" fillId="0" borderId="9" applyAlignment="1" pivotButton="0" quotePrefix="0" xfId="0">
      <alignment vertical="center" wrapText="1"/>
    </xf>
    <xf numFmtId="0" fontId="8" fillId="0" borderId="9" applyAlignment="1" pivotButton="0" quotePrefix="0" xfId="0">
      <alignment vertical="center"/>
    </xf>
    <xf numFmtId="0" fontId="8" fillId="0" borderId="19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8" fillId="0" borderId="27" applyAlignment="1" pivotButton="0" quotePrefix="0" xfId="0">
      <alignment horizontal="right" vertical="center"/>
    </xf>
    <xf numFmtId="0" fontId="8" fillId="0" borderId="28" applyAlignment="1" pivotButton="0" quotePrefix="0" xfId="0">
      <alignment horizontal="center" vertical="center"/>
    </xf>
    <xf numFmtId="0" fontId="8" fillId="0" borderId="20" applyAlignment="1" pivotButton="0" quotePrefix="0" xfId="0">
      <alignment horizontal="right" vertical="center"/>
    </xf>
    <xf numFmtId="0" fontId="8" fillId="0" borderId="24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left" vertical="center"/>
    </xf>
    <xf numFmtId="0" fontId="3" fillId="6" borderId="8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/>
    </xf>
    <xf numFmtId="0" fontId="8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6" fillId="6" borderId="4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12" fillId="6" borderId="4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12" fillId="6" borderId="5" applyAlignment="1" pivotButton="0" quotePrefix="0" xfId="0">
      <alignment vertical="center" wrapText="1"/>
    </xf>
    <xf numFmtId="0" fontId="3" fillId="6" borderId="16" applyAlignment="1" pivotButton="0" quotePrefix="0" xfId="0">
      <alignment horizontal="left" vertical="center"/>
    </xf>
    <xf numFmtId="0" fontId="3" fillId="6" borderId="12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5" applyAlignment="1" pivotButton="0" quotePrefix="0" xfId="0">
      <alignment horizontal="left" vertical="center"/>
    </xf>
    <xf numFmtId="0" fontId="0" fillId="0" borderId="10" applyAlignment="1" pivotButton="0" quotePrefix="0" xfId="0">
      <alignment vertical="center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/>
    </xf>
    <xf numFmtId="0" fontId="10" fillId="0" borderId="22" applyAlignment="1" pivotButton="0" quotePrefix="0" xfId="0">
      <alignment vertical="center" wrapText="1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left" vertical="center" wrapText="1"/>
    </xf>
    <xf numFmtId="0" fontId="3" fillId="6" borderId="14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0" fillId="0" borderId="4" pivotButton="0" quotePrefix="0" xfId="0"/>
    <xf numFmtId="0" fontId="12" fillId="6" borderId="1" applyAlignment="1" pivotButton="0" quotePrefix="0" xfId="0">
      <alignment vertical="center" wrapText="1"/>
    </xf>
    <xf numFmtId="0" fontId="12" fillId="6" borderId="2" applyAlignment="1" pivotButton="0" quotePrefix="0" xfId="0">
      <alignment vertical="center" wrapText="1"/>
    </xf>
    <xf numFmtId="0" fontId="12" fillId="6" borderId="3" applyAlignment="1" pivotButton="0" quotePrefix="0" xfId="0">
      <alignment vertical="center" wrapText="1"/>
    </xf>
    <xf numFmtId="0" fontId="15" fillId="0" borderId="9" applyAlignment="1" pivotButton="0" quotePrefix="0" xfId="0">
      <alignment horizontal="left" vertical="center"/>
    </xf>
    <xf numFmtId="0" fontId="16" fillId="5" borderId="6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7" fillId="6" borderId="14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17" fillId="6" borderId="8" applyAlignment="1" pivotButton="0" quotePrefix="0" xfId="0">
      <alignment horizontal="left" vertical="center"/>
    </xf>
    <xf numFmtId="0" fontId="17" fillId="0" borderId="9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/>
    </xf>
    <xf numFmtId="0" fontId="15" fillId="0" borderId="9" applyAlignment="1" pivotButton="0" quotePrefix="0" xfId="0">
      <alignment horizontal="right" vertical="center"/>
    </xf>
    <xf numFmtId="0" fontId="15" fillId="0" borderId="20" applyAlignment="1" pivotButton="0" quotePrefix="0" xfId="0">
      <alignment horizontal="right" vertical="center"/>
    </xf>
    <xf numFmtId="0" fontId="15" fillId="0" borderId="24" applyAlignment="1" pivotButton="0" quotePrefix="0" xfId="0">
      <alignment horizontal="center" vertical="center"/>
    </xf>
    <xf numFmtId="0" fontId="15" fillId="0" borderId="27" applyAlignment="1" pivotButton="0" quotePrefix="0" xfId="0">
      <alignment horizontal="right" vertical="center"/>
    </xf>
    <xf numFmtId="0" fontId="15" fillId="0" borderId="28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 wrapText="1"/>
    </xf>
    <xf numFmtId="0" fontId="15" fillId="0" borderId="9" applyAlignment="1" pivotButton="0" quotePrefix="0" xfId="0">
      <alignment vertical="center"/>
    </xf>
    <xf numFmtId="0" fontId="18" fillId="0" borderId="10" applyAlignment="1" pivotButton="0" quotePrefix="0" xfId="0">
      <alignment horizontal="left" vertical="center" wrapText="1"/>
    </xf>
    <xf numFmtId="0" fontId="15" fillId="0" borderId="20" applyAlignment="1" pivotButton="0" quotePrefix="0" xfId="0">
      <alignment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6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vertical="center"/>
    </xf>
    <xf numFmtId="0" fontId="17" fillId="0" borderId="19" applyAlignment="1" pivotButton="0" quotePrefix="0" xfId="0">
      <alignment horizontal="center" vertical="center"/>
    </xf>
    <xf numFmtId="0" fontId="17" fillId="0" borderId="10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5" fillId="0" borderId="10" applyAlignment="1" pivotButton="0" quotePrefix="0" xfId="0">
      <alignment horizontal="left" vertical="center"/>
    </xf>
    <xf numFmtId="0" fontId="15" fillId="0" borderId="10" applyAlignment="1" pivotButton="0" quotePrefix="0" xfId="0">
      <alignment vertical="center"/>
    </xf>
    <xf numFmtId="0" fontId="17" fillId="6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left" vertical="center"/>
    </xf>
    <xf numFmtId="0" fontId="15" fillId="0" borderId="4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14" fontId="17" fillId="0" borderId="0" applyAlignment="1" pivotButton="0" quotePrefix="0" xfId="0">
      <alignment horizontal="right" vertical="center"/>
    </xf>
    <xf numFmtId="14" fontId="17" fillId="0" borderId="5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164" fontId="17" fillId="0" borderId="5" applyAlignment="1" pivotButton="0" quotePrefix="0" xfId="0">
      <alignment horizontal="right" vertical="center"/>
    </xf>
    <xf numFmtId="20" fontId="17" fillId="0" borderId="5" applyAlignment="1" pivotButton="0" quotePrefix="0" xfId="0">
      <alignment horizontal="right" vertical="center"/>
    </xf>
    <xf numFmtId="0" fontId="17" fillId="0" borderId="7" applyAlignment="1" pivotButton="0" quotePrefix="1" xfId="0">
      <alignment horizontal="left" vertical="center"/>
    </xf>
    <xf numFmtId="0" fontId="17" fillId="0" borderId="7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5" fillId="0" borderId="16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 vertical="center"/>
    </xf>
    <xf numFmtId="0" fontId="15" fillId="0" borderId="17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17" fillId="0" borderId="16" applyAlignment="1" pivotButton="0" quotePrefix="0" xfId="0">
      <alignment horizontal="left" vertical="center"/>
    </xf>
    <xf numFmtId="0" fontId="12" fillId="6" borderId="21" applyAlignment="1" pivotButton="0" quotePrefix="0" xfId="0">
      <alignment vertical="center" wrapText="1"/>
    </xf>
    <xf numFmtId="0" fontId="12" fillId="6" borderId="22" applyAlignment="1" pivotButton="0" quotePrefix="0" xfId="0">
      <alignment vertical="center" wrapText="1"/>
    </xf>
    <xf numFmtId="0" fontId="12" fillId="6" borderId="23" applyAlignment="1" pivotButton="0" quotePrefix="0" xfId="0">
      <alignment vertical="center" wrapText="1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0" fillId="0" borderId="21" applyAlignment="1" pivotButton="0" quotePrefix="0" xfId="0">
      <alignment horizontal="center" vertical="center" wrapText="1"/>
    </xf>
    <xf numFmtId="0" fontId="10" fillId="0" borderId="2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2" fillId="6" borderId="17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/>
    </xf>
    <xf numFmtId="0" fontId="2" fillId="0" borderId="14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9" applyAlignment="1" pivotButton="0" quotePrefix="0" xfId="0">
      <alignment horizontal="left" vertical="center"/>
    </xf>
    <xf numFmtId="0" fontId="3" fillId="6" borderId="14" applyAlignment="1" pivotButton="0" quotePrefix="0" xfId="0">
      <alignment horizontal="center" vertical="center"/>
    </xf>
    <xf numFmtId="0" fontId="3" fillId="6" borderId="19" applyAlignment="1" pivotButton="0" quotePrefix="0" xfId="0">
      <alignment horizontal="center" vertical="center"/>
    </xf>
    <xf numFmtId="0" fontId="7" fillId="5" borderId="13" applyAlignment="1" pivotButton="0" quotePrefix="0" xfId="0">
      <alignment horizontal="left" vertical="center"/>
    </xf>
    <xf numFmtId="0" fontId="7" fillId="5" borderId="14" applyAlignment="1" pivotButton="0" quotePrefix="0" xfId="0">
      <alignment horizontal="left" vertical="center"/>
    </xf>
    <xf numFmtId="0" fontId="7" fillId="5" borderId="15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5" fillId="0" borderId="14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1" fillId="5" borderId="13" applyAlignment="1" pivotButton="0" quotePrefix="0" xfId="0">
      <alignment horizontal="left" vertical="center"/>
    </xf>
    <xf numFmtId="0" fontId="1" fillId="5" borderId="14" applyAlignment="1" pivotButton="0" quotePrefix="0" xfId="0">
      <alignment horizontal="left" vertical="center"/>
    </xf>
    <xf numFmtId="0" fontId="1" fillId="5" borderId="15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9" fillId="0" borderId="18" applyAlignment="1" pivotButton="0" quotePrefix="0" xfId="0">
      <alignment horizontal="left" vertical="center"/>
    </xf>
    <xf numFmtId="0" fontId="9" fillId="0" borderId="14" applyAlignment="1" pivotButton="0" quotePrefix="0" xfId="0">
      <alignment horizontal="left" vertical="center"/>
    </xf>
    <xf numFmtId="0" fontId="9" fillId="0" borderId="15" applyAlignment="1" pivotButton="0" quotePrefix="0" xfId="0">
      <alignment horizontal="left" vertical="center"/>
    </xf>
    <xf numFmtId="0" fontId="9" fillId="0" borderId="30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0" fontId="9" fillId="0" borderId="29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26" applyAlignment="1" pivotButton="0" quotePrefix="0" xfId="0">
      <alignment horizontal="left" vertical="center"/>
    </xf>
    <xf numFmtId="0" fontId="1" fillId="5" borderId="31" applyAlignment="1" pivotButton="0" quotePrefix="0" xfId="0">
      <alignment horizontal="left" vertical="center"/>
    </xf>
    <xf numFmtId="0" fontId="1" fillId="5" borderId="32" applyAlignment="1" pivotButton="0" quotePrefix="0" xfId="0">
      <alignment horizontal="left" vertical="center"/>
    </xf>
    <xf numFmtId="0" fontId="1" fillId="5" borderId="3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19" applyAlignment="1" pivotButton="0" quotePrefix="0" xfId="0">
      <alignment horizontal="left" vertical="center"/>
    </xf>
    <xf numFmtId="0" fontId="2" fillId="0" borderId="18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0" fillId="0" borderId="18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6" borderId="13" applyAlignment="1" pivotButton="0" quotePrefix="0" xfId="0">
      <alignment horizontal="left" vertical="center" wrapText="1"/>
    </xf>
    <xf numFmtId="0" fontId="10" fillId="6" borderId="14" applyAlignment="1" pivotButton="0" quotePrefix="0" xfId="0">
      <alignment horizontal="left" vertical="center" wrapText="1"/>
    </xf>
    <xf numFmtId="0" fontId="10" fillId="6" borderId="15" applyAlignment="1" pivotButton="0" quotePrefix="0" xfId="0">
      <alignment horizontal="left" vertical="center" wrapText="1"/>
    </xf>
    <xf numFmtId="0" fontId="1" fillId="5" borderId="16" applyAlignment="1" pivotButton="0" quotePrefix="0" xfId="0">
      <alignment horizontal="left" vertical="center"/>
    </xf>
    <xf numFmtId="0" fontId="1" fillId="5" borderId="12" applyAlignment="1" pivotButton="0" quotePrefix="0" xfId="0">
      <alignment horizontal="left" vertical="center"/>
    </xf>
    <xf numFmtId="0" fontId="1" fillId="5" borderId="17" applyAlignment="1" pivotButton="0" quotePrefix="0" xfId="0">
      <alignment horizontal="left" vertical="center"/>
    </xf>
    <xf numFmtId="0" fontId="8" fillId="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1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" fillId="5" borderId="9" applyAlignment="1" pivotButton="0" quotePrefix="0" xfId="0">
      <alignment horizontal="left" vertical="center"/>
    </xf>
    <xf numFmtId="0" fontId="1" fillId="5" borderId="10" applyAlignment="1" pivotButton="0" quotePrefix="0" xfId="0">
      <alignment horizontal="left" vertical="center"/>
    </xf>
    <xf numFmtId="0" fontId="1" fillId="5" borderId="1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/>
    </xf>
    <xf numFmtId="0" fontId="17" fillId="0" borderId="7" applyAlignment="1" pivotButton="0" quotePrefix="1" xfId="0">
      <alignment horizontal="left" vertical="center"/>
    </xf>
    <xf numFmtId="0" fontId="16" fillId="5" borderId="9" applyAlignment="1" pivotButton="0" quotePrefix="0" xfId="0">
      <alignment horizontal="left" vertical="center"/>
    </xf>
    <xf numFmtId="0" fontId="16" fillId="5" borderId="10" applyAlignment="1" pivotButton="0" quotePrefix="0" xfId="0">
      <alignment horizontal="left" vertical="center"/>
    </xf>
    <xf numFmtId="0" fontId="16" fillId="5" borderId="1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6" fillId="5" borderId="13" applyAlignment="1" pivotButton="0" quotePrefix="0" xfId="0">
      <alignment horizontal="left" vertical="center"/>
    </xf>
    <xf numFmtId="0" fontId="16" fillId="5" borderId="14" applyAlignment="1" pivotButton="0" quotePrefix="0" xfId="0">
      <alignment horizontal="left" vertical="center"/>
    </xf>
    <xf numFmtId="0" fontId="16" fillId="5" borderId="15" applyAlignment="1" pivotButton="0" quotePrefix="0" xfId="0">
      <alignment horizontal="left" vertical="center"/>
    </xf>
    <xf numFmtId="0" fontId="6" fillId="6" borderId="13" applyAlignment="1" pivotButton="0" quotePrefix="0" xfId="0">
      <alignment horizontal="left" vertical="center" wrapText="1"/>
    </xf>
    <xf numFmtId="0" fontId="6" fillId="6" borderId="14" applyAlignment="1" pivotButton="0" quotePrefix="0" xfId="0">
      <alignment horizontal="left" vertical="center" wrapText="1"/>
    </xf>
    <xf numFmtId="0" fontId="6" fillId="6" borderId="15" applyAlignment="1" pivotButton="0" quotePrefix="0" xfId="0">
      <alignment horizontal="left" vertical="center" wrapText="1"/>
    </xf>
    <xf numFmtId="0" fontId="16" fillId="5" borderId="16" applyAlignment="1" pivotButton="0" quotePrefix="0" xfId="0">
      <alignment horizontal="left" vertical="center"/>
    </xf>
    <xf numFmtId="0" fontId="16" fillId="5" borderId="12" applyAlignment="1" pivotButton="0" quotePrefix="0" xfId="0">
      <alignment horizontal="left" vertical="center"/>
    </xf>
    <xf numFmtId="0" fontId="16" fillId="5" borderId="17" applyAlignment="1" pivotButton="0" quotePrefix="0" xfId="0">
      <alignment horizontal="left" vertical="center"/>
    </xf>
    <xf numFmtId="0" fontId="15" fillId="0" borderId="9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0" applyAlignment="1" pivotButton="0" quotePrefix="0" xfId="0">
      <alignment horizontal="left" vertical="center"/>
    </xf>
    <xf numFmtId="0" fontId="17" fillId="0" borderId="18" applyAlignment="1" pivotButton="0" quotePrefix="0" xfId="0">
      <alignment horizontal="left" vertical="center"/>
    </xf>
    <xf numFmtId="0" fontId="17" fillId="0" borderId="14" applyAlignment="1" pivotButton="0" quotePrefix="0" xfId="0">
      <alignment horizontal="left" vertical="center"/>
    </xf>
    <xf numFmtId="0" fontId="17" fillId="0" borderId="15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/>
    </xf>
    <xf numFmtId="0" fontId="15" fillId="0" borderId="19" applyAlignment="1" pivotButton="0" quotePrefix="0" xfId="0">
      <alignment horizontal="left" vertical="center"/>
    </xf>
    <xf numFmtId="0" fontId="15" fillId="0" borderId="18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6" fillId="5" borderId="31" applyAlignment="1" pivotButton="0" quotePrefix="0" xfId="0">
      <alignment horizontal="left" vertical="center"/>
    </xf>
    <xf numFmtId="0" fontId="16" fillId="5" borderId="32" applyAlignment="1" pivotButton="0" quotePrefix="0" xfId="0">
      <alignment horizontal="left" vertical="center"/>
    </xf>
    <xf numFmtId="0" fontId="16" fillId="5" borderId="33" applyAlignment="1" pivotButton="0" quotePrefix="0" xfId="0">
      <alignment horizontal="left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15" fillId="0" borderId="18" applyAlignment="1" pivotButton="0" quotePrefix="0" xfId="0">
      <alignment horizontal="left" vertical="center"/>
    </xf>
    <xf numFmtId="0" fontId="15" fillId="0" borderId="14" applyAlignment="1" pivotButton="0" quotePrefix="0" xfId="0">
      <alignment horizontal="left" vertical="center"/>
    </xf>
    <xf numFmtId="0" fontId="15" fillId="0" borderId="15" applyAlignment="1" pivotButton="0" quotePrefix="0" xfId="0">
      <alignment horizontal="left" vertical="center"/>
    </xf>
    <xf numFmtId="0" fontId="17" fillId="0" borderId="30" applyAlignment="1" pivotButton="0" quotePrefix="0" xfId="0">
      <alignment horizontal="left" vertical="center"/>
    </xf>
    <xf numFmtId="0" fontId="17" fillId="0" borderId="12" applyAlignment="1" pivotButton="0" quotePrefix="0" xfId="0">
      <alignment horizontal="left" vertical="center"/>
    </xf>
    <xf numFmtId="0" fontId="17" fillId="0" borderId="17" applyAlignment="1" pivotButton="0" quotePrefix="0" xfId="0">
      <alignment horizontal="left" vertical="center"/>
    </xf>
    <xf numFmtId="0" fontId="17" fillId="0" borderId="29" applyAlignment="1" pivotButton="0" quotePrefix="0" xfId="0">
      <alignment horizontal="left" vertical="center"/>
    </xf>
    <xf numFmtId="0" fontId="17" fillId="0" borderId="25" applyAlignment="1" pivotButton="0" quotePrefix="0" xfId="0">
      <alignment horizontal="left" vertical="center"/>
    </xf>
    <xf numFmtId="0" fontId="17" fillId="0" borderId="26" applyAlignment="1" pivotButton="0" quotePrefix="0" xfId="0">
      <alignment horizontal="left" vertical="center"/>
    </xf>
    <xf numFmtId="0" fontId="16" fillId="5" borderId="1" applyAlignment="1" pivotButton="0" quotePrefix="0" xfId="0">
      <alignment horizontal="left" vertical="center"/>
    </xf>
    <xf numFmtId="0" fontId="16" fillId="5" borderId="2" applyAlignment="1" pivotButton="0" quotePrefix="0" xfId="0">
      <alignment horizontal="left" vertical="center"/>
    </xf>
    <xf numFmtId="0" fontId="16" fillId="5" borderId="3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12" fillId="6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 wrapText="1"/>
    </xf>
    <xf numFmtId="0" fontId="4" fillId="0" borderId="3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19" pivotButton="0" quotePrefix="0" xfId="0"/>
    <xf numFmtId="0" fontId="1" fillId="5" borderId="36" applyAlignment="1" pivotButton="0" quotePrefix="0" xfId="0">
      <alignment horizontal="left" vertical="center"/>
    </xf>
    <xf numFmtId="0" fontId="0" fillId="0" borderId="15" pivotButton="0" quotePrefix="0" xfId="0"/>
    <xf numFmtId="0" fontId="10" fillId="6" borderId="36" applyAlignment="1" pivotButton="0" quotePrefix="0" xfId="0">
      <alignment horizontal="left" vertical="center" wrapText="1"/>
    </xf>
    <xf numFmtId="0" fontId="1" fillId="5" borderId="3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7" pivotButton="0" quotePrefix="0" xfId="0"/>
    <xf numFmtId="0" fontId="9" fillId="0" borderId="11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5" fillId="0" borderId="3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1" fillId="5" borderId="34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10" fillId="0" borderId="39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9" fillId="0" borderId="40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26" pivotButton="0" quotePrefix="0" xfId="0"/>
    <xf numFmtId="0" fontId="5" fillId="0" borderId="3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7" fillId="5" borderId="36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16" fillId="5" borderId="36" applyAlignment="1" pivotButton="0" quotePrefix="0" xfId="0">
      <alignment horizontal="left" vertical="center"/>
    </xf>
    <xf numFmtId="0" fontId="6" fillId="6" borderId="36" applyAlignment="1" pivotButton="0" quotePrefix="0" xfId="0">
      <alignment horizontal="left" vertical="center" wrapText="1"/>
    </xf>
    <xf numFmtId="0" fontId="16" fillId="5" borderId="37" applyAlignment="1" pivotButton="0" quotePrefix="0" xfId="0">
      <alignment horizontal="left" vertical="center"/>
    </xf>
    <xf numFmtId="0" fontId="17" fillId="0" borderId="11" applyAlignment="1" pivotButton="0" quotePrefix="0" xfId="0">
      <alignment horizontal="left" vertical="center"/>
    </xf>
    <xf numFmtId="0" fontId="16" fillId="5" borderId="34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 wrapText="1"/>
    </xf>
    <xf numFmtId="0" fontId="17" fillId="0" borderId="39" applyAlignment="1" pivotButton="0" quotePrefix="0" xfId="0">
      <alignment horizontal="left" vertical="center"/>
    </xf>
    <xf numFmtId="0" fontId="17" fillId="0" borderId="40" applyAlignment="1" pivotButton="0" quotePrefix="0" xfId="0">
      <alignment horizontal="left" vertical="center"/>
    </xf>
    <xf numFmtId="0" fontId="15" fillId="0" borderId="36" applyAlignment="1" pivotButton="0" quotePrefix="0" xfId="0">
      <alignment horizontal="left" vertical="center"/>
    </xf>
    <xf numFmtId="0" fontId="16" fillId="5" borderId="42" applyAlignment="1" pivotButton="0" quotePrefix="0" xfId="0">
      <alignment horizontal="left" vertical="center"/>
    </xf>
    <xf numFmtId="0" fontId="12" fillId="6" borderId="41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9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45782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1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29 degrees    Wind: 24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Loading and Unloading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5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Enabling compound-Running water and toilet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Commence install of site fencing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C9:E9"/>
    <mergeCell ref="B46:C46"/>
    <mergeCell ref="C45:D45"/>
    <mergeCell ref="C58:J58"/>
    <mergeCell ref="B124:E124"/>
    <mergeCell ref="B53:J53"/>
    <mergeCell ref="C74:J74"/>
    <mergeCell ref="F124:J124"/>
    <mergeCell ref="B73:J73"/>
    <mergeCell ref="B13:J13"/>
    <mergeCell ref="B69:J69"/>
    <mergeCell ref="F127:J127"/>
    <mergeCell ref="B133:E133"/>
    <mergeCell ref="F77:J98"/>
    <mergeCell ref="E46:J46"/>
    <mergeCell ref="B126:E126"/>
    <mergeCell ref="F133:J133"/>
    <mergeCell ref="E45:J45"/>
    <mergeCell ref="C8:E8"/>
    <mergeCell ref="C54:J54"/>
    <mergeCell ref="B100:E100"/>
    <mergeCell ref="D60:J60"/>
    <mergeCell ref="C44:D44"/>
    <mergeCell ref="B65:J65"/>
    <mergeCell ref="C7:E7"/>
    <mergeCell ref="C55:J55"/>
    <mergeCell ref="D63:J63"/>
    <mergeCell ref="B6:J6"/>
    <mergeCell ref="B68:J68"/>
    <mergeCell ref="B64:J64"/>
    <mergeCell ref="B131:E131"/>
    <mergeCell ref="C43:D43"/>
    <mergeCell ref="F126:J126"/>
    <mergeCell ref="F100:J100"/>
    <mergeCell ref="B71:E71"/>
    <mergeCell ref="B140:E140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K148"/>
  <sheetViews>
    <sheetView view="pageBreakPreview" topLeftCell="A46" zoomScale="70" zoomScaleNormal="100" zoomScaleSheetLayoutView="70" workbookViewId="0">
      <selection activeCell="N67" sqref="N67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37.632812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45783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2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26 degrees    Wind: 22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>
        <v>5</v>
      </c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/>
      <c r="H34" s="23" t="n"/>
      <c r="I34" s="23" t="n"/>
      <c r="J34" s="24" t="n"/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PPE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1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1" t="n">
        <v>6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inlineStr">
        <is>
          <t>APRA Issued to Watercorp</t>
        </is>
      </c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Ongoing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n"/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n"/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48" t="n"/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E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H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B108" s="65" t="n"/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8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T148"/>
  <sheetViews>
    <sheetView view="pageBreakPreview" topLeftCell="A6" zoomScale="40" zoomScaleNormal="100" zoomScaleSheetLayoutView="40" workbookViewId="0">
      <selection activeCell="Q20" sqref="Q20"/>
    </sheetView>
  </sheetViews>
  <sheetFormatPr baseColWidth="8" defaultColWidth="9.1796875" defaultRowHeight="14.5"/>
  <cols>
    <col width="9.1796875" customWidth="1" style="55" min="1" max="1"/>
    <col width="42.6328125" bestFit="1" customWidth="1" style="55" min="2" max="2"/>
    <col width="31.81640625" bestFit="1" customWidth="1" style="55" min="3" max="3"/>
    <col width="9.453125" bestFit="1" customWidth="1" style="55" min="4" max="4"/>
    <col width="34.453125" customWidth="1" style="55" min="5" max="5"/>
    <col width="24.81640625" bestFit="1" customWidth="1" style="55" min="6" max="6"/>
    <col width="11.453125" bestFit="1" customWidth="1" style="55" min="7" max="7"/>
    <col width="42.1796875" bestFit="1" customWidth="1" style="55" min="8" max="8"/>
    <col width="19.81640625" bestFit="1" customWidth="1" style="55" min="9" max="9"/>
    <col width="16.453125" customWidth="1" style="55" min="10" max="10"/>
    <col width="9.1796875" customWidth="1" style="55" min="11" max="16384"/>
  </cols>
  <sheetData>
    <row r="1" ht="15" customHeight="1" thickBot="1"/>
    <row r="2">
      <c r="B2" s="317" t="n"/>
      <c r="C2" s="318" t="n"/>
      <c r="D2" s="318" t="n"/>
      <c r="E2" s="318" t="n"/>
      <c r="F2" s="318" t="n"/>
      <c r="G2" s="318" t="n"/>
      <c r="H2" s="318" t="n"/>
      <c r="I2" s="318" t="n"/>
      <c r="J2" s="319" t="n"/>
    </row>
    <row r="3">
      <c r="B3" s="86" t="n"/>
      <c r="J3" s="320" t="n"/>
    </row>
    <row r="4">
      <c r="B4" s="86" t="n"/>
      <c r="J4" s="320" t="n"/>
    </row>
    <row r="5">
      <c r="B5" s="321" t="n"/>
      <c r="C5" s="322" t="n"/>
      <c r="D5" s="322" t="n"/>
      <c r="E5" s="322" t="n"/>
      <c r="F5" s="322" t="n"/>
      <c r="G5" s="322" t="n"/>
      <c r="H5" s="322" t="n"/>
      <c r="I5" s="322" t="n"/>
      <c r="J5" s="323" t="n"/>
    </row>
    <row r="6" ht="20" customHeight="1">
      <c r="B6" s="250" t="inlineStr">
        <is>
          <t>TCD DAILY FIELD REPORT</t>
        </is>
      </c>
      <c r="C6" s="324" t="n"/>
      <c r="D6" s="324" t="n"/>
      <c r="E6" s="324" t="n"/>
      <c r="F6" s="324" t="n"/>
      <c r="G6" s="324" t="n"/>
      <c r="H6" s="324" t="n"/>
      <c r="I6" s="324" t="n"/>
      <c r="J6" s="325" t="n"/>
    </row>
    <row r="7" ht="20" customHeight="1">
      <c r="B7" s="17" t="inlineStr">
        <is>
          <t>Project Name:</t>
        </is>
      </c>
      <c r="C7" s="253" t="inlineStr">
        <is>
          <t>Batavia Station Square</t>
        </is>
      </c>
      <c r="F7" s="12" t="n"/>
      <c r="G7" s="13" t="n"/>
      <c r="H7" s="13" t="n"/>
      <c r="I7" s="34" t="inlineStr">
        <is>
          <t>Date:</t>
        </is>
      </c>
      <c r="J7" s="35" t="n">
        <v>45784</v>
      </c>
    </row>
    <row r="8" ht="20" customHeight="1">
      <c r="B8" s="17" t="inlineStr">
        <is>
          <t>Project Location:</t>
        </is>
      </c>
      <c r="C8" s="253" t="inlineStr">
        <is>
          <t>Geraldton</t>
        </is>
      </c>
      <c r="F8" s="12" t="n"/>
      <c r="G8" s="13" t="n"/>
      <c r="H8" s="13" t="n"/>
      <c r="I8" s="36" t="inlineStr">
        <is>
          <t>Day:</t>
        </is>
      </c>
      <c r="J8" s="37">
        <f>J7</f>
        <v/>
      </c>
    </row>
    <row r="9" ht="20" customHeight="1">
      <c r="B9" s="17" t="inlineStr">
        <is>
          <t>Project Number:</t>
        </is>
      </c>
      <c r="C9" s="253" t="inlineStr">
        <is>
          <t>TCD-1816</t>
        </is>
      </c>
      <c r="F9" s="12" t="n"/>
      <c r="G9" s="13" t="n"/>
      <c r="H9" s="13" t="n"/>
      <c r="I9" s="36" t="inlineStr">
        <is>
          <t>Start:</t>
        </is>
      </c>
      <c r="J9" s="38" t="n">
        <v>0.2916666666666667</v>
      </c>
    </row>
    <row r="10" ht="20" customHeight="1">
      <c r="B10" s="17" t="inlineStr">
        <is>
          <t>Report Number:</t>
        </is>
      </c>
      <c r="C10" s="239" t="n">
        <v>3</v>
      </c>
      <c r="D10" s="322" t="n"/>
      <c r="E10" s="322" t="n"/>
      <c r="F10" s="1" t="n"/>
      <c r="G10" s="2" t="n"/>
      <c r="H10" s="2" t="n"/>
      <c r="I10" s="36" t="inlineStr">
        <is>
          <t>Finish:</t>
        </is>
      </c>
      <c r="J10" s="38" t="n">
        <v>0.7083333333333334</v>
      </c>
    </row>
    <row r="11" ht="20" customHeight="1">
      <c r="B11" s="326" t="inlineStr">
        <is>
          <t>WEATHER &amp; GROUND CONDITIONS</t>
        </is>
      </c>
      <c r="C11" s="324" t="n"/>
      <c r="D11" s="324" t="n"/>
      <c r="E11" s="324" t="n"/>
      <c r="F11" s="324" t="n"/>
      <c r="G11" s="324" t="n"/>
      <c r="H11" s="324" t="n"/>
      <c r="I11" s="324" t="n"/>
      <c r="J11" s="327" t="n"/>
    </row>
    <row r="12" ht="17.5" customHeight="1">
      <c r="B12" s="328" t="inlineStr">
        <is>
          <t>Temperature: 30 degrees    Wind: 23 km/h  E   Precip: 0mm</t>
        </is>
      </c>
      <c r="C12" s="324" t="n"/>
      <c r="D12" s="324" t="n"/>
      <c r="E12" s="324" t="n"/>
      <c r="F12" s="324" t="n"/>
      <c r="G12" s="324" t="n"/>
      <c r="H12" s="324" t="n"/>
      <c r="I12" s="324" t="n"/>
      <c r="J12" s="327" t="n"/>
    </row>
    <row r="13" ht="20" customHeight="1">
      <c r="B13" s="329" t="inlineStr">
        <is>
          <t>PERSONNEL</t>
        </is>
      </c>
      <c r="C13" s="330" t="n"/>
      <c r="D13" s="330" t="n"/>
      <c r="E13" s="330" t="n"/>
      <c r="F13" s="330" t="n"/>
      <c r="G13" s="330" t="n"/>
      <c r="H13" s="330" t="n"/>
      <c r="I13" s="330" t="n"/>
      <c r="J13" s="331" t="n"/>
    </row>
    <row r="14" ht="18" customHeight="1">
      <c r="B14" s="236" t="inlineStr">
        <is>
          <t>TCD Indirects</t>
        </is>
      </c>
      <c r="C14" s="324" t="n"/>
      <c r="D14" s="325" t="n"/>
      <c r="E14" s="237" t="inlineStr">
        <is>
          <t>TCD Directs</t>
        </is>
      </c>
      <c r="F14" s="324" t="n"/>
      <c r="G14" s="325" t="n"/>
      <c r="H14" s="237" t="inlineStr">
        <is>
          <t>Subcontractors</t>
        </is>
      </c>
      <c r="I14" s="324" t="n"/>
      <c r="J14" s="325" t="n"/>
    </row>
    <row r="15" ht="18" customHeight="1">
      <c r="B15" s="236" t="inlineStr">
        <is>
          <t xml:space="preserve"> Name</t>
        </is>
      </c>
      <c r="C15" s="237" t="inlineStr">
        <is>
          <t>Position</t>
        </is>
      </c>
      <c r="D15" s="50" t="inlineStr">
        <is>
          <t>Hours</t>
        </is>
      </c>
      <c r="E15" s="237" t="inlineStr">
        <is>
          <t xml:space="preserve"> Name</t>
        </is>
      </c>
      <c r="F15" s="237" t="inlineStr">
        <is>
          <t>Position</t>
        </is>
      </c>
      <c r="G15" s="50" t="inlineStr">
        <is>
          <t>Hours</t>
        </is>
      </c>
      <c r="H15" s="237" t="inlineStr">
        <is>
          <t xml:space="preserve"> Name</t>
        </is>
      </c>
      <c r="I15" s="237" t="inlineStr">
        <is>
          <t>Position</t>
        </is>
      </c>
      <c r="J15" s="238" t="inlineStr">
        <is>
          <t>Hours</t>
        </is>
      </c>
    </row>
    <row r="16" ht="17.5" customHeight="1">
      <c r="B16" s="21" t="inlineStr">
        <is>
          <t>WATKINS, Steve</t>
        </is>
      </c>
      <c r="C16" s="22" t="inlineStr">
        <is>
          <t>Civil Manager</t>
        </is>
      </c>
      <c r="D16" s="76" t="n">
        <v>0</v>
      </c>
      <c r="E16" s="29" t="n"/>
      <c r="F16" s="29" t="n"/>
      <c r="G16" s="22" t="n"/>
      <c r="H16" s="26" t="inlineStr">
        <is>
          <t>Khegan Brockman</t>
        </is>
      </c>
      <c r="I16" s="22" t="inlineStr">
        <is>
          <t>Labourer</t>
        </is>
      </c>
      <c r="J16" s="24" t="n">
        <v>10</v>
      </c>
    </row>
    <row r="17" ht="17.5" customHeight="1">
      <c r="B17" s="21" t="inlineStr">
        <is>
          <t>GRIFFITHS, Daniel</t>
        </is>
      </c>
      <c r="C17" s="22" t="inlineStr">
        <is>
          <t>Project Manager</t>
        </is>
      </c>
      <c r="D17" s="23" t="n">
        <v>11</v>
      </c>
      <c r="E17" s="25" t="n"/>
      <c r="F17" s="25" t="n"/>
      <c r="G17" s="22" t="n"/>
      <c r="H17" s="26" t="n"/>
      <c r="I17" s="22" t="n"/>
      <c r="J17" s="24" t="n"/>
    </row>
    <row r="18" ht="17.5" customHeight="1">
      <c r="B18" s="21" t="inlineStr">
        <is>
          <t>GRIFFITHS, Ashley</t>
        </is>
      </c>
      <c r="C18" s="22" t="inlineStr">
        <is>
          <t>Supervisor</t>
        </is>
      </c>
      <c r="D18" s="23" t="n">
        <v>11</v>
      </c>
      <c r="E18" s="29" t="n"/>
      <c r="F18" s="29" t="n"/>
      <c r="G18" s="22" t="n"/>
      <c r="H18" s="26" t="n"/>
      <c r="I18" s="22" t="n"/>
      <c r="J18" s="24" t="n"/>
    </row>
    <row r="19" ht="17.5" customHeight="1">
      <c r="B19" s="21" t="n"/>
      <c r="C19" s="22" t="n"/>
      <c r="D19" s="23" t="n"/>
      <c r="E19" s="29" t="n"/>
      <c r="F19" s="29" t="n"/>
      <c r="G19" s="22" t="n"/>
      <c r="H19" s="26" t="n"/>
      <c r="I19" s="22" t="n"/>
      <c r="J19" s="24" t="n"/>
    </row>
    <row r="20" ht="17.5" customHeight="1">
      <c r="B20" s="21" t="n"/>
      <c r="C20" s="22" t="n"/>
      <c r="D20" s="23" t="n"/>
      <c r="E20" s="29" t="n"/>
      <c r="F20" s="29" t="n"/>
      <c r="G20" s="22" t="n"/>
      <c r="H20" s="47" t="n"/>
      <c r="I20" s="22" t="n"/>
      <c r="J20" s="24" t="n"/>
    </row>
    <row r="21" ht="17.5" customHeight="1">
      <c r="B21" s="21" t="n"/>
      <c r="C21" s="22" t="n"/>
      <c r="D21" s="23" t="n"/>
      <c r="E21" s="29" t="n"/>
      <c r="F21" s="29" t="n"/>
      <c r="G21" s="22" t="n"/>
      <c r="H21" s="47" t="n"/>
      <c r="I21" s="22" t="n"/>
      <c r="J21" s="24" t="n"/>
    </row>
    <row r="22" ht="17.5" customHeight="1">
      <c r="B22" s="21" t="n"/>
      <c r="C22" s="22" t="n"/>
      <c r="D22" s="23" t="n"/>
      <c r="E22" s="29" t="n"/>
      <c r="F22" s="29" t="n"/>
      <c r="G22" s="22" t="n"/>
      <c r="H22" s="47" t="n"/>
      <c r="I22" s="22" t="n"/>
      <c r="J22" s="24" t="n"/>
    </row>
    <row r="23" ht="17.5" customHeight="1">
      <c r="B23" s="21" t="n"/>
      <c r="C23" s="22" t="n"/>
      <c r="D23" s="23" t="n"/>
      <c r="E23" s="29" t="n"/>
      <c r="F23" s="29" t="n"/>
      <c r="G23" s="22" t="n"/>
      <c r="H23" s="47" t="n"/>
      <c r="I23" s="22" t="n"/>
      <c r="J23" s="24" t="n"/>
    </row>
    <row r="24" ht="17.5" customHeight="1">
      <c r="B24" s="21" t="n"/>
      <c r="C24" s="22" t="n"/>
      <c r="D24" s="23" t="n"/>
      <c r="E24" s="29" t="n"/>
      <c r="F24" s="57" t="n"/>
      <c r="G24" s="22" t="n"/>
      <c r="H24" s="47" t="n"/>
      <c r="I24" s="22" t="n"/>
      <c r="J24" s="24" t="n"/>
    </row>
    <row r="25" ht="17.5" customHeight="1">
      <c r="B25" s="21" t="n"/>
      <c r="C25" s="22" t="n"/>
      <c r="D25" s="23" t="n"/>
      <c r="E25" s="29" t="n"/>
      <c r="F25" s="29" t="n"/>
      <c r="G25" s="22" t="n"/>
      <c r="H25" s="47" t="n"/>
      <c r="I25" s="22" t="n"/>
      <c r="J25" s="24" t="n"/>
    </row>
    <row r="26" ht="20" customHeight="1">
      <c r="B26" s="27" t="inlineStr">
        <is>
          <t xml:space="preserve">Total Indirect Personnel onsite: </t>
        </is>
      </c>
      <c r="C26" s="28">
        <f>COUNTIF(D16:D25,"&gt;0")</f>
        <v/>
      </c>
      <c r="D26" s="29" t="n"/>
      <c r="E26" s="29" t="n"/>
      <c r="F26" s="29" t="n"/>
      <c r="G26" s="22" t="n"/>
      <c r="H26" s="206" t="inlineStr">
        <is>
          <t>Total Subcontractor on-site:</t>
        </is>
      </c>
      <c r="I26" s="30">
        <f>COUNTIF(J16:J25,"&gt;0")</f>
        <v/>
      </c>
      <c r="J26" s="3" t="n"/>
    </row>
    <row r="27" ht="20" customHeight="1">
      <c r="B27" s="27" t="inlineStr">
        <is>
          <t xml:space="preserve">Total Indirect Personnel hours: </t>
        </is>
      </c>
      <c r="C27" s="28">
        <f>SUM(D16:D25)</f>
        <v/>
      </c>
      <c r="D27" s="23" t="n"/>
      <c r="E27" s="29" t="n"/>
      <c r="F27" s="29" t="n"/>
      <c r="G27" s="22" t="n"/>
      <c r="H27" s="206" t="inlineStr">
        <is>
          <t>Total Subcontractor hours:</t>
        </is>
      </c>
      <c r="I27" s="30">
        <f>SUM(J16:J25)</f>
        <v/>
      </c>
      <c r="J27" s="3" t="n"/>
    </row>
    <row r="28" ht="20" customHeight="1">
      <c r="B28" s="27" t="inlineStr">
        <is>
          <t xml:space="preserve">Total Direct Personnel onsite:  </t>
        </is>
      </c>
      <c r="C28" s="28">
        <f>COUNTIF(G16:G29,"&gt;0")</f>
        <v/>
      </c>
      <c r="D28" s="28" t="n"/>
      <c r="E28" s="29" t="n"/>
      <c r="F28" s="29" t="n"/>
      <c r="G28" s="56" t="n"/>
      <c r="H28" s="206" t="n"/>
      <c r="I28" s="30" t="n"/>
      <c r="J28" s="4" t="n"/>
    </row>
    <row r="29" ht="20" customHeight="1">
      <c r="B29" s="27" t="inlineStr">
        <is>
          <t xml:space="preserve">Total Direct Personnel hours: </t>
        </is>
      </c>
      <c r="C29" s="28">
        <f>SUM(G16:G29)</f>
        <v/>
      </c>
      <c r="D29" s="28" t="n"/>
      <c r="E29" s="28" t="n"/>
      <c r="F29" s="28" t="n"/>
      <c r="G29" s="28" t="n"/>
      <c r="H29" s="28" t="n"/>
      <c r="I29" s="28" t="n"/>
      <c r="J29" s="4" t="n"/>
    </row>
    <row r="30" ht="20" customHeight="1">
      <c r="B30" s="9" t="inlineStr">
        <is>
          <t>PLANT &amp; EQUIPMENT</t>
        </is>
      </c>
      <c r="C30" s="10" t="n"/>
      <c r="D30" s="10" t="n"/>
      <c r="E30" s="10" t="n"/>
      <c r="F30" s="10" t="n"/>
      <c r="G30" s="10" t="n"/>
      <c r="H30" s="10" t="n"/>
      <c r="I30" s="10" t="n"/>
      <c r="J30" s="11" t="n"/>
    </row>
    <row r="31" ht="20" customHeight="1">
      <c r="B31" s="5" t="inlineStr">
        <is>
          <t>Plant</t>
        </is>
      </c>
      <c r="C31" s="6" t="inlineStr">
        <is>
          <t>ID</t>
        </is>
      </c>
      <c r="D31" s="6" t="inlineStr">
        <is>
          <t>Hours</t>
        </is>
      </c>
      <c r="E31" s="6" t="inlineStr">
        <is>
          <t xml:space="preserve"> Vehicles</t>
        </is>
      </c>
      <c r="F31" s="6" t="inlineStr">
        <is>
          <t>ID</t>
        </is>
      </c>
      <c r="G31" s="6" t="inlineStr">
        <is>
          <t>QTY</t>
        </is>
      </c>
      <c r="H31" s="7" t="inlineStr">
        <is>
          <t>Site Facilities</t>
        </is>
      </c>
      <c r="I31" s="7" t="inlineStr">
        <is>
          <t>ID</t>
        </is>
      </c>
      <c r="J31" s="8" t="inlineStr">
        <is>
          <t>Qty</t>
        </is>
      </c>
    </row>
    <row r="32" ht="17.5" customHeight="1">
      <c r="B32" s="21" t="inlineStr">
        <is>
          <t>Komatsu WA320</t>
        </is>
      </c>
      <c r="C32" s="22" t="inlineStr">
        <is>
          <t>FWL18</t>
        </is>
      </c>
      <c r="D32" s="22" t="n"/>
      <c r="E32" s="23" t="n"/>
      <c r="F32" s="23" t="n"/>
      <c r="G32" s="23" t="n">
        <v>1</v>
      </c>
      <c r="H32" s="23" t="inlineStr">
        <is>
          <t>Office 40ft</t>
        </is>
      </c>
      <c r="I32" s="23" t="n">
        <v>9255540</v>
      </c>
      <c r="J32" s="24" t="n">
        <v>1</v>
      </c>
    </row>
    <row r="33" ht="17.5" customHeight="1">
      <c r="B33" s="21" t="inlineStr">
        <is>
          <t>Wacker Neuson DPU</t>
        </is>
      </c>
      <c r="C33" s="22" t="inlineStr">
        <is>
          <t>DPC15</t>
        </is>
      </c>
      <c r="D33" s="22" t="n"/>
      <c r="E33" s="23" t="n"/>
      <c r="F33" s="23" t="n"/>
      <c r="G33" s="23" t="n">
        <v>1</v>
      </c>
      <c r="H33" s="23" t="inlineStr">
        <is>
          <t>Sea Container 20ft</t>
        </is>
      </c>
      <c r="I33" s="22" t="n">
        <v>951200</v>
      </c>
      <c r="J33" s="24" t="n">
        <v>1</v>
      </c>
    </row>
    <row r="34" ht="17.5" customHeight="1">
      <c r="B34" s="49" t="n"/>
      <c r="C34" s="23" t="n"/>
      <c r="D34" s="22" t="n"/>
      <c r="E34" s="23" t="n"/>
      <c r="F34" s="22" t="n"/>
      <c r="G34" s="23" t="n">
        <v>1</v>
      </c>
      <c r="H34" s="23" t="inlineStr">
        <is>
          <t>Site Sentry Tower</t>
        </is>
      </c>
      <c r="I34" s="23" t="n"/>
      <c r="J34" s="24" t="n">
        <v>2</v>
      </c>
    </row>
    <row r="35" ht="17.5" customHeight="1">
      <c r="B35" s="49" t="n"/>
      <c r="C35" s="23" t="n"/>
      <c r="D35" s="22" t="n"/>
      <c r="E35" s="23" t="n"/>
      <c r="F35" s="23" t="n"/>
      <c r="G35" s="23" t="n"/>
      <c r="H35" s="23" t="n"/>
      <c r="I35" s="23" t="n"/>
      <c r="J35" s="24" t="n"/>
    </row>
    <row r="36" ht="17.5" customHeight="1">
      <c r="B36" s="49" t="n"/>
      <c r="C36" s="42" t="n"/>
      <c r="D36" s="22" t="n"/>
      <c r="E36" s="23" t="n"/>
      <c r="F36" s="23" t="n"/>
      <c r="G36" s="23" t="n"/>
      <c r="H36" s="23" t="n"/>
      <c r="I36" s="23" t="n"/>
      <c r="J36" s="24" t="n"/>
    </row>
    <row r="37" ht="17.5" customHeight="1">
      <c r="B37" s="49" t="n"/>
      <c r="C37" s="23" t="n"/>
      <c r="D37" s="22" t="n"/>
      <c r="E37" s="23" t="n"/>
      <c r="F37" s="23" t="n"/>
      <c r="G37" s="23" t="n"/>
      <c r="H37" s="23" t="n"/>
      <c r="I37" s="22" t="n"/>
      <c r="J37" s="24" t="n"/>
    </row>
    <row r="38" ht="17.5" customHeight="1">
      <c r="B38" s="49" t="n"/>
      <c r="C38" s="23" t="n"/>
      <c r="D38" s="22" t="n"/>
      <c r="E38" s="23" t="n"/>
      <c r="F38" s="23" t="n"/>
      <c r="G38" s="23" t="n"/>
      <c r="H38" s="72" t="n"/>
      <c r="I38" s="72" t="n"/>
      <c r="J38" s="72" t="n"/>
    </row>
    <row r="39" ht="17.5" customHeight="1">
      <c r="B39" s="49" t="n"/>
      <c r="C39" s="23" t="n"/>
      <c r="D39" s="22" t="n"/>
      <c r="E39" s="23" t="n"/>
      <c r="F39" s="23" t="n"/>
      <c r="G39" s="23" t="n"/>
      <c r="H39" s="23" t="n"/>
      <c r="I39" s="22" t="n"/>
      <c r="J39" s="24" t="n"/>
    </row>
    <row r="40" ht="17.5" customHeight="1">
      <c r="B40" s="49" t="n"/>
      <c r="C40" s="23" t="n"/>
      <c r="D40" s="22" t="n"/>
      <c r="E40" s="23" t="n"/>
      <c r="F40" s="23" t="n"/>
      <c r="G40" s="23" t="n"/>
      <c r="H40" s="23" t="n"/>
      <c r="I40" s="22" t="n"/>
      <c r="J40" s="24" t="n"/>
    </row>
    <row r="41" ht="17.5" customHeight="1">
      <c r="B41" s="49" t="n"/>
      <c r="C41" s="23" t="n"/>
      <c r="D41" s="22" t="n"/>
      <c r="E41" s="23" t="n"/>
      <c r="F41" s="23" t="n"/>
      <c r="G41" s="23" t="n"/>
      <c r="H41" s="23" t="n"/>
      <c r="I41" s="22" t="n"/>
      <c r="J41" s="24" t="n"/>
    </row>
    <row r="42" ht="17.5" customHeight="1">
      <c r="B42" s="49" t="n"/>
      <c r="C42" s="23" t="n"/>
      <c r="D42" s="22" t="n"/>
      <c r="E42" s="72" t="n"/>
      <c r="F42" s="72" t="n"/>
      <c r="G42" s="72" t="n"/>
      <c r="H42" s="72" t="n"/>
      <c r="I42" s="72" t="n"/>
      <c r="J42" s="72" t="n"/>
    </row>
    <row r="43" ht="18" customHeight="1">
      <c r="B43" s="14" t="n">
        <v>0</v>
      </c>
      <c r="C43" s="225" t="inlineStr">
        <is>
          <t xml:space="preserve">Repairs Required </t>
        </is>
      </c>
      <c r="D43" s="325" t="n"/>
      <c r="E43" s="332" t="inlineStr">
        <is>
          <t>N/A</t>
        </is>
      </c>
      <c r="F43" s="324" t="n"/>
      <c r="G43" s="324" t="n"/>
      <c r="H43" s="324" t="n"/>
      <c r="I43" s="324" t="n"/>
      <c r="J43" s="327" t="n"/>
    </row>
    <row r="44" ht="18" customHeight="1">
      <c r="B44" s="15" t="n">
        <v>0</v>
      </c>
      <c r="C44" s="225" t="inlineStr">
        <is>
          <t>Scheduled Service</t>
        </is>
      </c>
      <c r="D44" s="325" t="n"/>
      <c r="E44" s="332" t="inlineStr">
        <is>
          <t>N/A</t>
        </is>
      </c>
      <c r="F44" s="324" t="n"/>
      <c r="G44" s="324" t="n"/>
      <c r="H44" s="324" t="n"/>
      <c r="I44" s="324" t="n"/>
      <c r="J44" s="327" t="n"/>
    </row>
    <row r="45" ht="18" customHeight="1">
      <c r="B45" s="16" t="n">
        <v>0</v>
      </c>
      <c r="C45" s="225" t="inlineStr">
        <is>
          <t>Repairs required but operable</t>
        </is>
      </c>
      <c r="D45" s="325" t="n"/>
      <c r="E45" s="332" t="inlineStr">
        <is>
          <t>N/A</t>
        </is>
      </c>
      <c r="F45" s="324" t="n"/>
      <c r="G45" s="324" t="n"/>
      <c r="H45" s="324" t="n"/>
      <c r="I45" s="324" t="n"/>
      <c r="J45" s="327" t="n"/>
    </row>
    <row r="46" ht="20" customHeight="1">
      <c r="B46" s="27" t="inlineStr">
        <is>
          <t xml:space="preserve">Total Plant and Equipment Hours: </t>
        </is>
      </c>
      <c r="C46" s="325" t="n"/>
      <c r="D46" s="31">
        <f>SUM(D35:D42,G32:G42)</f>
        <v/>
      </c>
      <c r="E46" s="333" t="n"/>
      <c r="F46" s="324" t="n"/>
      <c r="G46" s="324" t="n"/>
      <c r="H46" s="324" t="n"/>
      <c r="I46" s="324" t="n"/>
      <c r="J46" s="327" t="n"/>
    </row>
    <row r="47" ht="20" customHeight="1">
      <c r="B47" s="326" t="inlineStr">
        <is>
          <t>DELAYS-OPPORTUNITY</t>
        </is>
      </c>
      <c r="C47" s="324" t="n"/>
      <c r="D47" s="324" t="n"/>
      <c r="E47" s="324" t="n"/>
      <c r="F47" s="324" t="n"/>
      <c r="G47" s="324" t="n"/>
      <c r="H47" s="324" t="n"/>
      <c r="I47" s="324" t="n"/>
      <c r="J47" s="327" t="n"/>
    </row>
    <row r="48" ht="20" customHeight="1">
      <c r="B48" s="233" t="n"/>
      <c r="C48" s="234" t="n"/>
      <c r="D48" s="234" t="n"/>
      <c r="E48" s="234" t="n"/>
      <c r="F48" s="234" t="n"/>
      <c r="G48" s="234" t="n"/>
      <c r="H48" s="234" t="n"/>
      <c r="I48" s="234" t="n"/>
      <c r="J48" s="235" t="n"/>
    </row>
    <row r="49">
      <c r="B49" s="334" t="n"/>
      <c r="C49" s="330" t="n"/>
      <c r="D49" s="330" t="n"/>
      <c r="E49" s="330" t="n"/>
      <c r="F49" s="330" t="n"/>
      <c r="G49" s="330" t="n"/>
      <c r="H49" s="330" t="n"/>
      <c r="I49" s="330" t="n"/>
      <c r="J49" s="331" t="n"/>
    </row>
    <row r="50">
      <c r="B50" s="86" t="n"/>
      <c r="J50" s="320" t="n"/>
    </row>
    <row r="51">
      <c r="B51" s="86" t="n"/>
      <c r="J51" s="320" t="n"/>
    </row>
    <row r="52" ht="13.5" customHeight="1" thickBot="1">
      <c r="B52" s="335" t="n"/>
      <c r="C52" s="336" t="n"/>
      <c r="D52" s="336" t="n"/>
      <c r="E52" s="336" t="n"/>
      <c r="F52" s="336" t="n"/>
      <c r="G52" s="336" t="n"/>
      <c r="H52" s="336" t="n"/>
      <c r="I52" s="336" t="n"/>
      <c r="J52" s="337" t="n"/>
    </row>
    <row r="53" ht="20" customHeight="1">
      <c r="B53" s="338" t="inlineStr">
        <is>
          <t>HSEQ MESSAGES</t>
        </is>
      </c>
      <c r="C53" s="339" t="n"/>
      <c r="D53" s="339" t="n"/>
      <c r="E53" s="339" t="n"/>
      <c r="F53" s="339" t="n"/>
      <c r="G53" s="339" t="n"/>
      <c r="H53" s="339" t="n"/>
      <c r="I53" s="339" t="n"/>
      <c r="J53" s="340" t="n"/>
    </row>
    <row r="54" ht="18" customHeight="1">
      <c r="B54" s="39" t="inlineStr">
        <is>
          <t>TCD - Monthly Safety Focus:</t>
        </is>
      </c>
      <c r="C54" s="220" t="inlineStr">
        <is>
          <t>JHA</t>
        </is>
      </c>
      <c r="D54" s="324" t="n"/>
      <c r="E54" s="324" t="n"/>
      <c r="F54" s="324" t="n"/>
      <c r="G54" s="324" t="n"/>
      <c r="H54" s="324" t="n"/>
      <c r="I54" s="324" t="n"/>
      <c r="J54" s="325" t="n"/>
    </row>
    <row r="55" ht="18" customHeight="1">
      <c r="B55" s="39" t="inlineStr">
        <is>
          <t>TCD - Daily Safety Focus:</t>
        </is>
      </c>
      <c r="C55" s="221" t="inlineStr">
        <is>
          <t>Public Interaction</t>
        </is>
      </c>
      <c r="D55" s="324" t="n"/>
      <c r="E55" s="324" t="n"/>
      <c r="F55" s="324" t="n"/>
      <c r="G55" s="324" t="n"/>
      <c r="H55" s="324" t="n"/>
      <c r="I55" s="324" t="n"/>
      <c r="J55" s="327" t="n"/>
    </row>
    <row r="56" ht="18" customHeight="1">
      <c r="B56" s="40" t="inlineStr">
        <is>
          <t xml:space="preserve">Hazards Reported: </t>
        </is>
      </c>
      <c r="C56" s="82" t="inlineStr">
        <is>
          <t>Nil</t>
        </is>
      </c>
      <c r="D56" s="221" t="n"/>
      <c r="E56" s="324" t="n"/>
      <c r="F56" s="324" t="n"/>
      <c r="G56" s="324" t="n"/>
      <c r="H56" s="324" t="n"/>
      <c r="I56" s="324" t="n"/>
      <c r="J56" s="327" t="n"/>
    </row>
    <row r="57" ht="18" customHeight="1">
      <c r="B57" s="40" t="inlineStr">
        <is>
          <t>Incident Free Days</t>
        </is>
      </c>
      <c r="C57" s="82" t="n">
        <v>7</v>
      </c>
      <c r="D57" s="220" t="n"/>
      <c r="E57" s="324" t="n"/>
      <c r="F57" s="324" t="n"/>
      <c r="G57" s="324" t="n"/>
      <c r="H57" s="324" t="n"/>
      <c r="I57" s="324" t="n"/>
      <c r="J57" s="325" t="n"/>
    </row>
    <row r="58" ht="18" customHeight="1">
      <c r="B58" s="54" t="inlineStr">
        <is>
          <t>Other Notes</t>
        </is>
      </c>
      <c r="C58" s="341" t="n"/>
      <c r="D58" s="330" t="n"/>
      <c r="E58" s="330" t="n"/>
      <c r="F58" s="330" t="n"/>
      <c r="G58" s="330" t="n"/>
      <c r="H58" s="330" t="n"/>
      <c r="I58" s="330" t="n"/>
      <c r="J58" s="331" t="n"/>
    </row>
    <row r="59" ht="20.25" customHeight="1">
      <c r="B59" s="326" t="inlineStr">
        <is>
          <t xml:space="preserve">INCIDENTS &amp; REPORTS </t>
        </is>
      </c>
      <c r="C59" s="324" t="n"/>
      <c r="D59" s="324" t="n"/>
      <c r="E59" s="324" t="n"/>
      <c r="F59" s="324" t="n"/>
      <c r="G59" s="324" t="n"/>
      <c r="H59" s="324" t="n"/>
      <c r="I59" s="324" t="n"/>
      <c r="J59" s="327" t="n"/>
    </row>
    <row r="60" ht="25" customHeight="1">
      <c r="B60" s="32" t="n"/>
      <c r="C60" s="237" t="inlineStr">
        <is>
          <t>QTY</t>
        </is>
      </c>
      <c r="D60" s="342" t="inlineStr">
        <is>
          <t>Comments</t>
        </is>
      </c>
      <c r="E60" s="324" t="n"/>
      <c r="F60" s="324" t="n"/>
      <c r="G60" s="324" t="n"/>
      <c r="H60" s="324" t="n"/>
      <c r="I60" s="324" t="n"/>
      <c r="J60" s="327" t="n"/>
    </row>
    <row r="61" ht="25" customHeight="1">
      <c r="B61" s="33" t="inlineStr">
        <is>
          <t>INCIDENT</t>
        </is>
      </c>
      <c r="C61" s="237" t="n">
        <v>0</v>
      </c>
      <c r="D61" s="332" t="inlineStr">
        <is>
          <t>NA</t>
        </is>
      </c>
      <c r="E61" s="324" t="n"/>
      <c r="F61" s="324" t="n"/>
      <c r="G61" s="324" t="n"/>
      <c r="H61" s="324" t="n"/>
      <c r="I61" s="324" t="n"/>
      <c r="J61" s="327" t="n"/>
    </row>
    <row r="62" ht="25" customHeight="1">
      <c r="B62" s="45" t="inlineStr">
        <is>
          <t>IR</t>
        </is>
      </c>
      <c r="C62" s="46" t="n">
        <v>0</v>
      </c>
      <c r="D62" s="343" t="inlineStr">
        <is>
          <t>NA</t>
        </is>
      </c>
      <c r="E62" s="330" t="n"/>
      <c r="F62" s="330" t="n"/>
      <c r="G62" s="330" t="n"/>
      <c r="H62" s="330" t="n"/>
      <c r="I62" s="330" t="n"/>
      <c r="J62" s="331" t="n"/>
    </row>
    <row r="63" ht="25" customHeight="1" thickBot="1">
      <c r="B63" s="43" t="inlineStr">
        <is>
          <t>NCR</t>
        </is>
      </c>
      <c r="C63" s="44" t="n">
        <v>0</v>
      </c>
      <c r="D63" s="344" t="inlineStr">
        <is>
          <t>NA</t>
        </is>
      </c>
      <c r="E63" s="345" t="n"/>
      <c r="F63" s="345" t="n"/>
      <c r="G63" s="345" t="n"/>
      <c r="H63" s="345" t="n"/>
      <c r="I63" s="345" t="n"/>
      <c r="J63" s="346" t="n"/>
    </row>
    <row r="64" ht="20.25" customHeight="1">
      <c r="B64" s="338" t="inlineStr">
        <is>
          <t>COMMUNICATIONS</t>
        </is>
      </c>
      <c r="C64" s="339" t="n"/>
      <c r="D64" s="339" t="n"/>
      <c r="E64" s="339" t="n"/>
      <c r="F64" s="339" t="n"/>
      <c r="G64" s="339" t="n"/>
      <c r="H64" s="339" t="n"/>
      <c r="I64" s="339" t="n"/>
      <c r="J64" s="340" t="n"/>
    </row>
    <row r="65" ht="25" customHeight="1">
      <c r="B65" s="181" t="n"/>
      <c r="C65" s="324" t="n"/>
      <c r="D65" s="324" t="n"/>
      <c r="E65" s="324" t="n"/>
      <c r="F65" s="324" t="n"/>
      <c r="G65" s="324" t="n"/>
      <c r="H65" s="324" t="n"/>
      <c r="I65" s="324" t="n"/>
      <c r="J65" s="325" t="n"/>
    </row>
    <row r="66" ht="25" customHeight="1">
      <c r="B66" s="347" t="n"/>
      <c r="C66" s="324" t="n"/>
      <c r="D66" s="324" t="n"/>
      <c r="E66" s="324" t="n"/>
      <c r="F66" s="324" t="n"/>
      <c r="G66" s="324" t="n"/>
      <c r="H66" s="324" t="n"/>
      <c r="I66" s="324" t="n"/>
      <c r="J66" s="327" t="n"/>
    </row>
    <row r="67" ht="25" customHeight="1">
      <c r="B67" s="347" t="n"/>
      <c r="C67" s="324" t="n"/>
      <c r="D67" s="324" t="n"/>
      <c r="E67" s="324" t="n"/>
      <c r="F67" s="324" t="n"/>
      <c r="G67" s="324" t="n"/>
      <c r="H67" s="324" t="n"/>
      <c r="I67" s="324" t="n"/>
      <c r="J67" s="327" t="n"/>
    </row>
    <row r="68" ht="25" customHeight="1">
      <c r="B68" s="347" t="n"/>
      <c r="C68" s="324" t="n"/>
      <c r="D68" s="324" t="n"/>
      <c r="E68" s="324" t="n"/>
      <c r="F68" s="324" t="n"/>
      <c r="G68" s="324" t="n"/>
      <c r="H68" s="324" t="n"/>
      <c r="I68" s="324" t="n"/>
      <c r="J68" s="327" t="n"/>
    </row>
    <row r="69" ht="20" customHeight="1">
      <c r="B69" s="326" t="inlineStr">
        <is>
          <t>PRODUCTION (CONSTRUCTION STATUS &amp; PROGRESS)</t>
        </is>
      </c>
      <c r="C69" s="324" t="n"/>
      <c r="D69" s="324" t="n"/>
      <c r="E69" s="324" t="n"/>
      <c r="F69" s="324" t="n"/>
      <c r="G69" s="324" t="n"/>
      <c r="H69" s="324" t="n"/>
      <c r="I69" s="324" t="n"/>
      <c r="J69" s="327" t="n"/>
    </row>
    <row r="70" ht="25" customHeight="1">
      <c r="B70" s="171" t="inlineStr">
        <is>
          <t>Complete Fencing Install</t>
        </is>
      </c>
      <c r="C70" s="324" t="n"/>
      <c r="D70" s="324" t="n"/>
      <c r="E70" s="324" t="n"/>
      <c r="F70" s="79" t="n"/>
      <c r="G70" s="79" t="n"/>
      <c r="H70" s="79" t="n"/>
      <c r="I70" s="79" t="n"/>
      <c r="J70" s="80" t="n"/>
    </row>
    <row r="71" ht="25" customHeight="1">
      <c r="B71" s="171" t="inlineStr">
        <is>
          <t>Establish Site Security Cameras</t>
        </is>
      </c>
      <c r="C71" s="324" t="n"/>
      <c r="D71" s="324" t="n"/>
      <c r="E71" s="324" t="n"/>
      <c r="F71" s="51" t="n"/>
      <c r="G71" s="51" t="n"/>
      <c r="H71" s="51" t="n"/>
      <c r="I71" s="51" t="n"/>
      <c r="J71" s="52" t="n"/>
    </row>
    <row r="72" ht="25" customHeight="1">
      <c r="B72" s="171" t="inlineStr">
        <is>
          <t>Demo of fencing in front of sump</t>
        </is>
      </c>
      <c r="C72" s="48" t="n"/>
      <c r="D72" s="48" t="n"/>
      <c r="E72" s="48" t="n"/>
      <c r="F72" s="51" t="n"/>
      <c r="G72" s="51" t="n"/>
      <c r="H72" s="51" t="n"/>
      <c r="I72" s="51" t="n"/>
      <c r="J72" s="52" t="n"/>
    </row>
    <row r="73" ht="25" customHeight="1">
      <c r="B73" s="350" t="inlineStr">
        <is>
          <t xml:space="preserve">Inspection of carpark works </t>
        </is>
      </c>
      <c r="C73" s="324" t="n"/>
      <c r="D73" s="324" t="n"/>
      <c r="E73" s="324" t="n"/>
      <c r="F73" s="324" t="n"/>
      <c r="G73" s="324" t="n"/>
      <c r="H73" s="324" t="n"/>
      <c r="I73" s="324" t="n"/>
      <c r="J73" s="325" t="n"/>
    </row>
    <row r="74" ht="25" customHeight="1">
      <c r="B74" s="77" t="n"/>
      <c r="C74" s="177" t="n"/>
      <c r="D74" s="324" t="n"/>
      <c r="E74" s="324" t="n"/>
      <c r="F74" s="324" t="n"/>
      <c r="G74" s="324" t="n"/>
      <c r="H74" s="324" t="n"/>
      <c r="I74" s="324" t="n"/>
      <c r="J74" s="325" t="n"/>
    </row>
    <row r="75" ht="25" customHeight="1">
      <c r="B75" s="68" t="n"/>
      <c r="C75" s="69" t="n"/>
      <c r="D75" s="69" t="n"/>
      <c r="E75" s="69" t="n"/>
      <c r="F75" s="70" t="n"/>
      <c r="G75" s="70" t="n"/>
      <c r="H75" s="70" t="n"/>
      <c r="I75" s="70" t="n"/>
      <c r="J75" s="71" t="n"/>
    </row>
    <row r="76" ht="23" customHeight="1">
      <c r="B76" s="349" t="inlineStr">
        <is>
          <t>PHOTOS</t>
        </is>
      </c>
      <c r="C76" s="324" t="n"/>
      <c r="D76" s="324" t="n"/>
      <c r="E76" s="324" t="n"/>
      <c r="F76" s="324" t="n"/>
      <c r="G76" s="324" t="n"/>
      <c r="H76" s="324" t="n"/>
      <c r="I76" s="324" t="n"/>
      <c r="J76" s="327" t="n"/>
    </row>
    <row r="77" ht="15" customHeight="1">
      <c r="A77" s="55" t="n">
        <v>1</v>
      </c>
      <c r="B77" s="164" t="n"/>
      <c r="C77" s="330" t="n"/>
      <c r="D77" s="330" t="n"/>
      <c r="E77" s="330" t="n"/>
      <c r="F77" s="168" t="n"/>
      <c r="G77" s="330" t="n"/>
      <c r="H77" s="330" t="n"/>
      <c r="I77" s="330" t="n"/>
      <c r="J77" s="331" t="n"/>
    </row>
    <row r="78" ht="15" customHeight="1">
      <c r="A78" s="55" t="n">
        <v>2</v>
      </c>
      <c r="B78" s="86" t="n"/>
      <c r="J78" s="320" t="n"/>
    </row>
    <row r="79" ht="15" customHeight="1">
      <c r="A79" s="55" t="n">
        <v>3</v>
      </c>
      <c r="B79" s="86" t="n"/>
      <c r="J79" s="320" t="n"/>
    </row>
    <row r="80" ht="15" customHeight="1">
      <c r="A80" s="55" t="n">
        <v>4</v>
      </c>
      <c r="B80" s="86" t="n"/>
      <c r="J80" s="320" t="n"/>
    </row>
    <row r="81" ht="15" customHeight="1">
      <c r="A81" s="55" t="n">
        <v>5</v>
      </c>
      <c r="B81" s="86" t="n"/>
      <c r="J81" s="320" t="n"/>
    </row>
    <row r="82" ht="15" customHeight="1">
      <c r="A82" s="55" t="n">
        <v>6</v>
      </c>
      <c r="B82" s="86" t="n"/>
      <c r="J82" s="320" t="n"/>
    </row>
    <row r="83" ht="15" customHeight="1">
      <c r="A83" s="55" t="n">
        <v>7</v>
      </c>
      <c r="B83" s="86" t="n"/>
      <c r="J83" s="320" t="n"/>
    </row>
    <row r="84" ht="15" customHeight="1">
      <c r="A84" s="55" t="n">
        <v>8</v>
      </c>
      <c r="B84" s="86" t="n"/>
      <c r="J84" s="320" t="n"/>
    </row>
    <row r="85" ht="15" customHeight="1">
      <c r="A85" s="55" t="n">
        <v>9</v>
      </c>
      <c r="B85" s="86" t="n"/>
      <c r="J85" s="320" t="n"/>
    </row>
    <row r="86" ht="15" customHeight="1">
      <c r="A86" s="55" t="n">
        <v>10</v>
      </c>
      <c r="B86" s="86" t="n"/>
      <c r="J86" s="320" t="n"/>
    </row>
    <row r="87" ht="15" customHeight="1">
      <c r="A87" s="55" t="n">
        <v>11</v>
      </c>
      <c r="B87" s="86" t="n"/>
      <c r="J87" s="320" t="n"/>
    </row>
    <row r="88" ht="15" customHeight="1">
      <c r="A88" s="55" t="n">
        <v>12</v>
      </c>
      <c r="B88" s="86" t="n"/>
      <c r="J88" s="320" t="n"/>
    </row>
    <row r="89" ht="15" customHeight="1">
      <c r="A89" s="55" t="n">
        <v>13</v>
      </c>
      <c r="B89" s="86" t="n"/>
      <c r="J89" s="320" t="n"/>
    </row>
    <row r="90" ht="15" customHeight="1">
      <c r="A90" s="55" t="n">
        <v>14</v>
      </c>
      <c r="B90" s="86" t="n"/>
      <c r="J90" s="320" t="n"/>
    </row>
    <row r="91" ht="15" customHeight="1">
      <c r="A91" s="55" t="n">
        <v>15</v>
      </c>
      <c r="B91" s="86" t="n"/>
      <c r="J91" s="320" t="n"/>
    </row>
    <row r="92" ht="15" customHeight="1">
      <c r="A92" s="55" t="n">
        <v>16</v>
      </c>
      <c r="B92" s="86" t="n"/>
      <c r="J92" s="320" t="n"/>
    </row>
    <row r="93" ht="15" customHeight="1">
      <c r="A93" s="55" t="n">
        <v>17</v>
      </c>
      <c r="B93" s="86" t="n"/>
      <c r="J93" s="320" t="n"/>
    </row>
    <row r="94" ht="15" customHeight="1">
      <c r="A94" s="55" t="n">
        <v>18</v>
      </c>
      <c r="B94" s="86" t="n"/>
      <c r="J94" s="320" t="n"/>
    </row>
    <row r="95" ht="15" customHeight="1">
      <c r="A95" s="55" t="n">
        <v>19</v>
      </c>
      <c r="B95" s="86" t="n"/>
      <c r="J95" s="320" t="n"/>
    </row>
    <row r="96" ht="15" customHeight="1">
      <c r="A96" s="55" t="n">
        <v>20</v>
      </c>
      <c r="B96" s="86" t="n"/>
      <c r="J96" s="320" t="n"/>
    </row>
    <row r="97" ht="15" customHeight="1">
      <c r="A97" s="55" t="n">
        <v>21</v>
      </c>
      <c r="B97" s="86" t="n"/>
      <c r="J97" s="320" t="n"/>
    </row>
    <row r="98" ht="15" customHeight="1">
      <c r="A98" s="55" t="n">
        <v>22</v>
      </c>
      <c r="B98" s="86" t="n"/>
      <c r="J98" s="320" t="n"/>
    </row>
    <row r="99" ht="15" customHeight="1">
      <c r="A99" s="55" t="n">
        <v>23</v>
      </c>
      <c r="B99" s="166" t="n"/>
      <c r="C99" s="167" t="n"/>
      <c r="D99" s="167" t="n"/>
      <c r="E99" s="167" t="n"/>
      <c r="F99" s="167" t="n"/>
      <c r="G99" s="167" t="n"/>
      <c r="H99" s="167" t="n"/>
      <c r="I99" s="167" t="n"/>
      <c r="J99" s="169" t="n"/>
    </row>
    <row r="100" ht="25" customFormat="1" customHeight="1" s="61" thickBot="1">
      <c r="A100" s="55" t="n">
        <v>24</v>
      </c>
      <c r="B100" s="161" t="n"/>
      <c r="C100" s="336" t="n"/>
      <c r="D100" s="336" t="n"/>
      <c r="E100" s="336" t="n"/>
      <c r="F100" s="170" t="n"/>
      <c r="G100" s="336" t="n"/>
      <c r="H100" s="336" t="n"/>
      <c r="I100" s="336" t="n"/>
      <c r="J100" s="337" t="n"/>
    </row>
    <row r="101" ht="15" customHeight="1">
      <c r="A101" s="55" t="n">
        <v>1</v>
      </c>
      <c r="B101" s="62" t="n"/>
      <c r="C101" s="63" t="n"/>
      <c r="D101" s="63" t="n"/>
      <c r="E101" s="63" t="n"/>
      <c r="F101" s="63" t="n"/>
      <c r="G101" s="63" t="n"/>
      <c r="H101" s="63" t="n"/>
      <c r="I101" s="63" t="n"/>
      <c r="J101" s="64" t="n"/>
    </row>
    <row r="102" ht="15" customHeight="1">
      <c r="A102" s="55" t="n">
        <v>2</v>
      </c>
      <c r="B102" s="62" t="n"/>
      <c r="C102" s="63" t="n"/>
      <c r="D102" s="63" t="n"/>
      <c r="F102" s="63" t="n"/>
      <c r="G102" s="63" t="n"/>
      <c r="H102" s="63" t="n"/>
      <c r="I102" s="63" t="n"/>
      <c r="J102" s="64" t="n"/>
    </row>
    <row r="103" ht="15" customHeight="1">
      <c r="A103" s="55" t="n">
        <v>3</v>
      </c>
      <c r="B103" s="65" t="n"/>
      <c r="C103" s="66" t="n"/>
      <c r="D103" s="66" t="n"/>
      <c r="E103" s="66" t="n"/>
      <c r="F103" s="66" t="n"/>
      <c r="G103" s="66" t="n"/>
      <c r="H103" s="66" t="n"/>
      <c r="I103" s="66" t="n"/>
      <c r="J103" s="67" t="n"/>
    </row>
    <row r="104" ht="15" customHeight="1">
      <c r="A104" s="55" t="n">
        <v>4</v>
      </c>
      <c r="B104" s="65" t="n"/>
      <c r="C104" s="66" t="n"/>
      <c r="D104" s="66" t="n"/>
      <c r="E104" s="66" t="n"/>
      <c r="F104" s="66" t="n"/>
      <c r="G104" s="66" t="n"/>
      <c r="H104" s="66" t="n"/>
      <c r="I104" s="66" t="n"/>
      <c r="J104" s="67" t="n"/>
    </row>
    <row r="105" ht="15" customHeight="1">
      <c r="A105" s="55" t="n">
        <v>5</v>
      </c>
      <c r="B105" s="65" t="n"/>
      <c r="C105" s="66" t="n"/>
      <c r="D105" s="66" t="n"/>
      <c r="E105" s="66" t="n"/>
      <c r="F105" s="66" t="n"/>
      <c r="G105" s="66" t="n"/>
      <c r="I105" s="66" t="n"/>
      <c r="J105" s="67" t="n"/>
    </row>
    <row r="106" ht="15" customHeight="1">
      <c r="A106" s="55" t="n">
        <v>6</v>
      </c>
      <c r="B106" s="65" t="n"/>
      <c r="C106" s="66" t="n"/>
      <c r="D106" s="66" t="n"/>
      <c r="E106" s="66" t="n"/>
      <c r="F106" s="66" t="n"/>
      <c r="G106" s="66" t="n"/>
      <c r="H106" s="66" t="n"/>
      <c r="I106" s="66" t="n"/>
      <c r="J106" s="67" t="n"/>
    </row>
    <row r="107" ht="15" customHeight="1">
      <c r="A107" s="55" t="n">
        <v>7</v>
      </c>
      <c r="B107" s="65" t="n"/>
      <c r="C107" s="66" t="n"/>
      <c r="D107" s="66" t="n"/>
      <c r="E107" s="66" t="n"/>
      <c r="F107" s="66" t="n"/>
      <c r="G107" s="66" t="n"/>
      <c r="H107" s="66" t="n"/>
      <c r="I107" s="66" t="n"/>
      <c r="J107" s="67" t="n"/>
    </row>
    <row r="108" ht="15" customHeight="1">
      <c r="A108" s="55" t="n">
        <v>8</v>
      </c>
      <c r="C108" s="66" t="n"/>
      <c r="D108" s="66" t="n"/>
      <c r="E108" s="66" t="n"/>
      <c r="F108" s="66" t="n"/>
      <c r="G108" s="66" t="n"/>
      <c r="H108" s="66" t="n"/>
      <c r="I108" s="66" t="n"/>
      <c r="J108" s="67" t="n"/>
    </row>
    <row r="109" ht="15" customHeight="1">
      <c r="A109" s="55" t="n">
        <v>9</v>
      </c>
      <c r="B109" s="65" t="n"/>
      <c r="C109" s="66" t="n"/>
      <c r="D109" s="66" t="n"/>
      <c r="E109" s="66" t="n"/>
      <c r="F109" s="66" t="n"/>
      <c r="G109" s="66" t="n"/>
      <c r="H109" s="66" t="n"/>
      <c r="I109" s="66" t="n"/>
      <c r="J109" s="67" t="n"/>
    </row>
    <row r="110" ht="15" customHeight="1">
      <c r="A110" s="55" t="n">
        <v>10</v>
      </c>
      <c r="B110" s="65" t="n"/>
      <c r="C110" s="66" t="n"/>
      <c r="D110" s="66" t="n"/>
      <c r="E110" s="66" t="n"/>
      <c r="F110" s="66" t="n"/>
      <c r="G110" s="66" t="n"/>
      <c r="H110" s="66" t="n"/>
      <c r="I110" s="66" t="n"/>
      <c r="J110" s="67" t="n"/>
    </row>
    <row r="111" ht="15" customHeight="1">
      <c r="A111" s="55" t="n">
        <v>11</v>
      </c>
      <c r="B111" s="65" t="n"/>
      <c r="C111" s="66" t="n"/>
      <c r="D111" s="66" t="n"/>
      <c r="E111" s="66" t="n"/>
      <c r="F111" s="66" t="n"/>
      <c r="G111" s="66" t="n"/>
      <c r="H111" s="66" t="n"/>
      <c r="I111" s="66" t="n"/>
      <c r="J111" s="67" t="n"/>
    </row>
    <row r="112" ht="15" customHeight="1">
      <c r="A112" s="55" t="n">
        <v>12</v>
      </c>
      <c r="B112" s="65" t="n"/>
      <c r="C112" s="66" t="n"/>
      <c r="D112" s="66" t="n"/>
      <c r="E112" s="66" t="n"/>
      <c r="F112" s="66" t="n"/>
      <c r="G112" s="66" t="n"/>
      <c r="H112" s="66" t="n"/>
      <c r="I112" s="66" t="n"/>
      <c r="J112" s="67" t="n"/>
    </row>
    <row r="113" ht="15" customHeight="1">
      <c r="A113" s="55" t="n">
        <v>13</v>
      </c>
      <c r="B113" s="65" t="n"/>
      <c r="C113" s="66" t="n"/>
      <c r="D113" s="66" t="n"/>
      <c r="E113" s="66" t="n"/>
      <c r="F113" s="66" t="n"/>
      <c r="G113" s="66" t="n"/>
      <c r="H113" s="66" t="n"/>
      <c r="I113" s="66" t="n"/>
      <c r="J113" s="67" t="n"/>
    </row>
    <row r="114" ht="15" customHeight="1">
      <c r="A114" s="55" t="n">
        <v>14</v>
      </c>
      <c r="B114" s="65" t="n"/>
      <c r="C114" s="66" t="n"/>
      <c r="D114" s="66" t="n"/>
      <c r="E114" s="66" t="n"/>
      <c r="F114" s="66" t="n"/>
      <c r="G114" s="66" t="n"/>
      <c r="H114" s="66" t="n"/>
      <c r="I114" s="66" t="n"/>
      <c r="J114" s="67" t="n"/>
    </row>
    <row r="115" ht="15" customHeight="1">
      <c r="A115" s="55" t="n">
        <v>15</v>
      </c>
      <c r="B115" s="65" t="n"/>
      <c r="C115" s="66" t="n"/>
      <c r="D115" s="66" t="n"/>
      <c r="E115" s="66" t="n"/>
      <c r="F115" s="66" t="n"/>
      <c r="G115" s="66" t="n"/>
      <c r="H115" s="66" t="n"/>
      <c r="I115" s="66" t="n"/>
      <c r="J115" s="67" t="n"/>
    </row>
    <row r="116" ht="15" customHeight="1">
      <c r="A116" s="55" t="n">
        <v>16</v>
      </c>
      <c r="B116" s="65" t="n"/>
      <c r="C116" s="66" t="n"/>
      <c r="D116" s="66" t="n"/>
      <c r="E116" s="66" t="n"/>
      <c r="F116" s="66" t="n"/>
      <c r="G116" s="66" t="n"/>
      <c r="H116" s="66" t="n"/>
      <c r="I116" s="66" t="n"/>
      <c r="J116" s="67" t="n"/>
    </row>
    <row r="117" ht="15" customHeight="1">
      <c r="A117" s="55" t="n">
        <v>17</v>
      </c>
      <c r="B117" s="65" t="n"/>
      <c r="C117" s="66" t="n"/>
      <c r="D117" s="66" t="n"/>
      <c r="E117" s="66" t="n"/>
      <c r="F117" s="66" t="n"/>
      <c r="G117" s="66" t="n"/>
      <c r="H117" s="66" t="n"/>
      <c r="I117" s="66" t="n"/>
      <c r="J117" s="67" t="n"/>
    </row>
    <row r="118" ht="15" customHeight="1">
      <c r="A118" s="55" t="n">
        <v>18</v>
      </c>
      <c r="B118" s="65" t="n"/>
      <c r="C118" s="66" t="n"/>
      <c r="D118" s="66" t="n"/>
      <c r="E118" s="66" t="n"/>
      <c r="F118" s="66" t="n"/>
      <c r="G118" s="66" t="n"/>
      <c r="H118" s="66" t="n"/>
      <c r="I118" s="66" t="n"/>
      <c r="J118" s="67" t="n"/>
    </row>
    <row r="119" ht="15" customHeight="1">
      <c r="A119" s="55" t="n">
        <v>19</v>
      </c>
      <c r="B119" s="65" t="n"/>
      <c r="C119" s="66" t="n"/>
      <c r="D119" s="66" t="n"/>
      <c r="E119" s="66" t="n"/>
      <c r="F119" s="66" t="n"/>
      <c r="G119" s="66" t="n"/>
      <c r="H119" s="66" t="n"/>
      <c r="I119" s="66" t="n"/>
      <c r="J119" s="67" t="n"/>
    </row>
    <row r="120" ht="15" customHeight="1">
      <c r="A120" s="55" t="n">
        <v>20</v>
      </c>
      <c r="B120" s="65" t="n"/>
      <c r="C120" s="66" t="n"/>
      <c r="D120" s="66" t="n"/>
      <c r="E120" s="66" t="n"/>
      <c r="F120" s="66" t="n"/>
      <c r="G120" s="66" t="n"/>
      <c r="H120" s="66" t="n"/>
      <c r="I120" s="66" t="n"/>
      <c r="J120" s="67" t="n"/>
    </row>
    <row r="121" ht="15" customHeight="1">
      <c r="A121" s="55" t="n">
        <v>21</v>
      </c>
      <c r="B121" s="65" t="n"/>
      <c r="C121" s="66" t="n"/>
      <c r="D121" s="66" t="n"/>
      <c r="E121" s="66" t="n"/>
      <c r="F121" s="66" t="n"/>
      <c r="G121" s="66" t="n"/>
      <c r="H121" s="66" t="n"/>
      <c r="I121" s="66" t="n"/>
      <c r="J121" s="67" t="n"/>
    </row>
    <row r="122" ht="15" customHeight="1">
      <c r="A122" s="55" t="n">
        <v>22</v>
      </c>
      <c r="B122" s="65" t="n"/>
      <c r="C122" s="66" t="n"/>
      <c r="D122" s="66" t="n"/>
      <c r="E122" s="66" t="n"/>
      <c r="F122" s="66" t="n"/>
      <c r="G122" s="66" t="n"/>
      <c r="H122" s="66" t="n"/>
      <c r="I122" s="66" t="n"/>
      <c r="J122" s="67" t="n"/>
    </row>
    <row r="123" ht="15" customHeight="1">
      <c r="A123" s="55" t="n">
        <v>23</v>
      </c>
      <c r="B123" s="65" t="n"/>
      <c r="C123" s="66" t="n"/>
      <c r="D123" s="66" t="n"/>
      <c r="E123" s="66" t="n"/>
      <c r="F123" s="66" t="n"/>
      <c r="G123" s="66" t="n"/>
      <c r="H123" s="66" t="n"/>
      <c r="I123" s="66" t="n"/>
      <c r="J123" s="67" t="n"/>
    </row>
    <row r="124" ht="25" customHeight="1">
      <c r="A124" s="55" t="n">
        <v>24</v>
      </c>
      <c r="B124" s="163" t="n"/>
      <c r="F124" s="163" t="n"/>
    </row>
    <row r="125" ht="15" customHeight="1"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</row>
    <row r="126" ht="15" customHeight="1" thickBot="1">
      <c r="B126" s="161" t="n"/>
      <c r="C126" s="336" t="n"/>
      <c r="D126" s="336" t="n"/>
      <c r="E126" s="336" t="n"/>
      <c r="F126" s="162" t="n"/>
      <c r="G126" s="336" t="n"/>
      <c r="H126" s="336" t="n"/>
      <c r="I126" s="336" t="n"/>
      <c r="J126" s="336" t="n"/>
    </row>
    <row r="127" ht="28" customHeight="1">
      <c r="B127" s="163" t="n"/>
      <c r="F127" s="163" t="n"/>
    </row>
    <row r="128" ht="15" customHeight="1"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</row>
    <row r="129" ht="15" customHeight="1"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</row>
    <row r="130" ht="15" customHeight="1"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</row>
    <row r="131" ht="15" customHeight="1">
      <c r="B131" s="163" t="n"/>
      <c r="F131" s="66" t="n"/>
      <c r="G131" s="66" t="n"/>
      <c r="H131" s="66" t="n"/>
      <c r="I131" s="66" t="n"/>
      <c r="J131" s="66" t="n"/>
    </row>
    <row r="132" ht="15" customHeight="1"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</row>
    <row r="133" ht="15" customHeight="1">
      <c r="B133" s="163" t="n"/>
      <c r="F133" s="163" t="n"/>
    </row>
    <row r="134" ht="15" customHeight="1"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</row>
    <row r="135" ht="15" customHeight="1"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</row>
    <row r="136" ht="15" customHeight="1"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</row>
    <row r="137" ht="15" customHeight="1"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</row>
    <row r="138" ht="15" customHeight="1"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</row>
    <row r="139" ht="15" customHeight="1"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</row>
    <row r="140" ht="15" customHeight="1" thickBot="1">
      <c r="B140" s="163" t="n"/>
      <c r="F140" s="163" t="n"/>
      <c r="K140" s="78" t="n"/>
    </row>
    <row r="141" ht="15" customHeight="1"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</row>
    <row r="142" ht="15" customHeight="1"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</row>
    <row r="143" ht="15" customHeight="1"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</row>
    <row r="147" ht="16" customHeight="1"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</row>
    <row r="148" ht="30.75" customHeight="1" thickBot="1">
      <c r="B148" s="161" t="n"/>
      <c r="C148" s="336" t="n"/>
      <c r="D148" s="336" t="n"/>
      <c r="E148" s="336" t="n"/>
      <c r="F148" s="163" t="n"/>
    </row>
  </sheetData>
  <mergeCells count="61">
    <mergeCell ref="B11:J11"/>
    <mergeCell ref="D62:J62"/>
    <mergeCell ref="B14:D14"/>
    <mergeCell ref="D56:J56"/>
    <mergeCell ref="B67:J67"/>
    <mergeCell ref="B127:E127"/>
    <mergeCell ref="B77:E98"/>
    <mergeCell ref="B49:J52"/>
    <mergeCell ref="B46:C46"/>
    <mergeCell ref="C58:J58"/>
    <mergeCell ref="C45:D45"/>
    <mergeCell ref="B124:E124"/>
    <mergeCell ref="C9:E9"/>
    <mergeCell ref="F124:J124"/>
    <mergeCell ref="B133:E133"/>
    <mergeCell ref="C74:J74"/>
    <mergeCell ref="B73:J73"/>
    <mergeCell ref="B53:J53"/>
    <mergeCell ref="B69:J69"/>
    <mergeCell ref="F127:J127"/>
    <mergeCell ref="B13:J13"/>
    <mergeCell ref="F77:J98"/>
    <mergeCell ref="E46:J46"/>
    <mergeCell ref="B126:E126"/>
    <mergeCell ref="F133:J133"/>
    <mergeCell ref="E45:J45"/>
    <mergeCell ref="B100:E100"/>
    <mergeCell ref="C54:J54"/>
    <mergeCell ref="C8:E8"/>
    <mergeCell ref="D60:J60"/>
    <mergeCell ref="C44:D44"/>
    <mergeCell ref="B65:J65"/>
    <mergeCell ref="C55:J55"/>
    <mergeCell ref="C7:E7"/>
    <mergeCell ref="D63:J63"/>
    <mergeCell ref="B6:J6"/>
    <mergeCell ref="B68:J68"/>
    <mergeCell ref="B131:E131"/>
    <mergeCell ref="B64:J64"/>
    <mergeCell ref="C43:D43"/>
    <mergeCell ref="F126:J126"/>
    <mergeCell ref="B140:E140"/>
    <mergeCell ref="F100:J100"/>
    <mergeCell ref="B71:E71"/>
    <mergeCell ref="B2:J5"/>
    <mergeCell ref="H14:J14"/>
    <mergeCell ref="B70:E70"/>
    <mergeCell ref="B76:J76"/>
    <mergeCell ref="D57:J57"/>
    <mergeCell ref="E43:J43"/>
    <mergeCell ref="F140:J140"/>
    <mergeCell ref="B47:J47"/>
    <mergeCell ref="D61:J61"/>
    <mergeCell ref="B59:J59"/>
    <mergeCell ref="B148:E148"/>
    <mergeCell ref="E14:G14"/>
    <mergeCell ref="B66:J66"/>
    <mergeCell ref="B12:J12"/>
    <mergeCell ref="F148:J148"/>
    <mergeCell ref="E44:J44"/>
    <mergeCell ref="C10:E10"/>
  </mergeCells>
  <pageMargins left="0.7086614173228347" right="0.7086614173228347" top="0.7480314960629921" bottom="0.7480314960629921" header="0.3149606299212598" footer="0.3149606299212598"/>
  <pageSetup orientation="portrait" paperSize="9" scale="3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topLeftCell="A51" zoomScale="40" zoomScaleNormal="100" zoomScaleSheetLayoutView="40" workbookViewId="0">
      <selection activeCell="E37" sqref="E37"/>
    </sheetView>
  </sheetViews>
  <sheetFormatPr baseColWidth="8" defaultColWidth="9.1796875" defaultRowHeight="14.5"/>
  <cols>
    <col width="42.6328125" bestFit="1" customWidth="1" style="55" min="1" max="1"/>
    <col width="31.81640625" bestFit="1" customWidth="1" style="55" min="2" max="2"/>
    <col width="9.453125" bestFit="1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2.1796875" bestFit="1" customWidth="1" style="55" min="7" max="7"/>
    <col width="19.81640625" bestFit="1" customWidth="1" style="55" min="8" max="8"/>
    <col width="16.45312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0" customHeight="1">
      <c r="A5" s="25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0" customHeight="1">
      <c r="A6" s="17" t="inlineStr">
        <is>
          <t>Project Name:</t>
        </is>
      </c>
      <c r="B6" s="253" t="inlineStr">
        <is>
          <t>Batavia Station Square</t>
        </is>
      </c>
      <c r="E6" s="12" t="n"/>
      <c r="F6" s="13" t="n"/>
      <c r="G6" s="13" t="n"/>
      <c r="H6" s="34" t="inlineStr">
        <is>
          <t>Date:</t>
        </is>
      </c>
      <c r="I6" s="35" t="n">
        <v>45785</v>
      </c>
    </row>
    <row r="7" ht="20" customHeight="1">
      <c r="A7" s="17" t="inlineStr">
        <is>
          <t>Project Location:</t>
        </is>
      </c>
      <c r="B7" s="253" t="inlineStr">
        <is>
          <t>Geraldton</t>
        </is>
      </c>
      <c r="E7" s="12" t="n"/>
      <c r="F7" s="13" t="n"/>
      <c r="G7" s="13" t="n"/>
      <c r="H7" s="36" t="inlineStr">
        <is>
          <t>Day:</t>
        </is>
      </c>
      <c r="I7" s="37">
        <f>I6</f>
        <v/>
      </c>
    </row>
    <row r="8" ht="20" customHeight="1">
      <c r="A8" s="17" t="inlineStr">
        <is>
          <t>Project Number:</t>
        </is>
      </c>
      <c r="B8" s="253" t="inlineStr">
        <is>
          <t>TCD-1816</t>
        </is>
      </c>
      <c r="E8" s="12" t="n"/>
      <c r="F8" s="13" t="n"/>
      <c r="G8" s="13" t="n"/>
      <c r="H8" s="36" t="inlineStr">
        <is>
          <t>Start:</t>
        </is>
      </c>
      <c r="I8" s="38" t="n">
        <v>0.2916666666666667</v>
      </c>
    </row>
    <row r="9" ht="20" customHeight="1">
      <c r="A9" s="17" t="inlineStr">
        <is>
          <t>Report Number:</t>
        </is>
      </c>
      <c r="B9" s="239" t="n">
        <v>4</v>
      </c>
      <c r="C9" s="322" t="n"/>
      <c r="D9" s="322" t="n"/>
      <c r="E9" s="1" t="n"/>
      <c r="F9" s="2" t="n"/>
      <c r="G9" s="2" t="n"/>
      <c r="H9" s="36" t="inlineStr">
        <is>
          <t>Finish:</t>
        </is>
      </c>
      <c r="I9" s="38" t="n">
        <v>0.7083333333333334</v>
      </c>
    </row>
    <row r="10" ht="20" customHeight="1">
      <c r="A10" s="326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17.5" customHeight="1">
      <c r="A11" s="328" t="inlineStr">
        <is>
          <t>Temperature: 35 degrees    Wind: 35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0" customHeight="1">
      <c r="A12" s="329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18" customHeight="1">
      <c r="A13" s="236" t="inlineStr">
        <is>
          <t>TCD Indirects</t>
        </is>
      </c>
      <c r="B13" s="324" t="n"/>
      <c r="C13" s="325" t="n"/>
      <c r="D13" s="237" t="inlineStr">
        <is>
          <t>TCD Directs</t>
        </is>
      </c>
      <c r="E13" s="324" t="n"/>
      <c r="F13" s="325" t="n"/>
      <c r="G13" s="237" t="inlineStr">
        <is>
          <t>Subcontractors</t>
        </is>
      </c>
      <c r="H13" s="324" t="n"/>
      <c r="I13" s="325" t="n"/>
    </row>
    <row r="14" ht="18" customHeight="1">
      <c r="A14" s="236" t="inlineStr">
        <is>
          <t xml:space="preserve"> Name</t>
        </is>
      </c>
      <c r="B14" s="237" t="inlineStr">
        <is>
          <t>Position</t>
        </is>
      </c>
      <c r="C14" s="50" t="inlineStr">
        <is>
          <t>Hours</t>
        </is>
      </c>
      <c r="D14" s="237" t="inlineStr">
        <is>
          <t xml:space="preserve"> Name</t>
        </is>
      </c>
      <c r="E14" s="237" t="inlineStr">
        <is>
          <t>Position</t>
        </is>
      </c>
      <c r="F14" s="50" t="inlineStr">
        <is>
          <t>Hours</t>
        </is>
      </c>
      <c r="G14" s="237" t="inlineStr">
        <is>
          <t xml:space="preserve"> Name</t>
        </is>
      </c>
      <c r="H14" s="237" t="inlineStr">
        <is>
          <t>Position</t>
        </is>
      </c>
      <c r="I14" s="238" t="inlineStr">
        <is>
          <t>Hours</t>
        </is>
      </c>
    </row>
    <row r="15" ht="17.5" customHeight="1">
      <c r="A15" s="21" t="inlineStr">
        <is>
          <t>WATKINS, Steve</t>
        </is>
      </c>
      <c r="B15" s="22" t="inlineStr">
        <is>
          <t>Civil Manager</t>
        </is>
      </c>
      <c r="C15" s="76" t="n">
        <v>0</v>
      </c>
      <c r="D15" s="29" t="n"/>
      <c r="E15" s="29" t="n"/>
      <c r="F15" s="22" t="n"/>
      <c r="G15" s="26" t="inlineStr">
        <is>
          <t>Khegan Brockman</t>
        </is>
      </c>
      <c r="H15" s="22" t="inlineStr">
        <is>
          <t>Labourer</t>
        </is>
      </c>
      <c r="I15" s="24" t="n">
        <v>10</v>
      </c>
    </row>
    <row r="16" ht="17.5" customHeight="1">
      <c r="A16" s="21" t="inlineStr">
        <is>
          <t>GRIFFITHS, Daniel</t>
        </is>
      </c>
      <c r="B16" s="22" t="inlineStr">
        <is>
          <t>Project Manager</t>
        </is>
      </c>
      <c r="C16" s="23" t="n">
        <v>10</v>
      </c>
      <c r="D16" s="25" t="n"/>
      <c r="E16" s="25" t="n"/>
      <c r="F16" s="22" t="n"/>
      <c r="G16" s="26" t="n"/>
      <c r="H16" s="22" t="n"/>
      <c r="I16" s="24" t="n"/>
    </row>
    <row r="17" ht="17.5" customHeight="1">
      <c r="A17" s="21" t="inlineStr">
        <is>
          <t>GRIFFITHS, Ashley</t>
        </is>
      </c>
      <c r="B17" s="22" t="inlineStr">
        <is>
          <t>Supervisor</t>
        </is>
      </c>
      <c r="C17" s="23" t="n">
        <v>10</v>
      </c>
      <c r="D17" s="29" t="n"/>
      <c r="E17" s="29" t="n"/>
      <c r="F17" s="22" t="n"/>
      <c r="G17" s="26" t="n"/>
      <c r="H17" s="22" t="n"/>
      <c r="I17" s="24" t="n"/>
    </row>
    <row r="18" ht="17.5" customHeight="1">
      <c r="A18" s="21" t="n"/>
      <c r="B18" s="22" t="n"/>
      <c r="C18" s="23" t="n"/>
      <c r="D18" s="29" t="n"/>
      <c r="E18" s="29" t="n"/>
      <c r="F18" s="22" t="n"/>
      <c r="G18" s="26" t="n"/>
      <c r="H18" s="22" t="n"/>
      <c r="I18" s="24" t="n"/>
    </row>
    <row r="19" ht="17.5" customHeight="1">
      <c r="A19" s="21" t="n"/>
      <c r="B19" s="22" t="n"/>
      <c r="C19" s="23" t="n"/>
      <c r="D19" s="29" t="n"/>
      <c r="E19" s="29" t="n"/>
      <c r="F19" s="22" t="n"/>
      <c r="G19" s="47" t="n"/>
      <c r="H19" s="22" t="n"/>
      <c r="I19" s="24" t="n"/>
    </row>
    <row r="20" ht="17.5" customHeight="1">
      <c r="A20" s="21" t="n"/>
      <c r="B20" s="22" t="n"/>
      <c r="C20" s="23" t="n"/>
      <c r="D20" s="29" t="n"/>
      <c r="E20" s="29" t="n"/>
      <c r="F20" s="22" t="n"/>
      <c r="G20" s="47" t="n"/>
      <c r="H20" s="22" t="n"/>
      <c r="I20" s="24" t="n"/>
    </row>
    <row r="21" ht="17.5" customHeight="1">
      <c r="A21" s="21" t="n"/>
      <c r="B21" s="22" t="n"/>
      <c r="C21" s="23" t="n"/>
      <c r="D21" s="29" t="n"/>
      <c r="E21" s="29" t="n"/>
      <c r="F21" s="22" t="n"/>
      <c r="G21" s="47" t="n"/>
      <c r="H21" s="22" t="n"/>
      <c r="I21" s="24" t="n"/>
    </row>
    <row r="22" ht="20" customHeight="1">
      <c r="A22" s="27" t="inlineStr">
        <is>
          <t xml:space="preserve">Total Indirect Personnel onsite: </t>
        </is>
      </c>
      <c r="B22" s="28">
        <f>COUNTIF(C15:C21,"&gt;0")</f>
        <v/>
      </c>
      <c r="C22" s="29" t="n"/>
      <c r="D22" s="29" t="n"/>
      <c r="E22" s="29" t="n"/>
      <c r="F22" s="22" t="n"/>
      <c r="G22" s="206" t="inlineStr">
        <is>
          <t>Total Subcontractor on-site:</t>
        </is>
      </c>
      <c r="H22" s="30">
        <f>COUNTIF(I15:I21,"&gt;0")</f>
        <v/>
      </c>
      <c r="I22" s="3" t="n"/>
    </row>
    <row r="23" ht="20" customHeight="1">
      <c r="A23" s="27" t="inlineStr">
        <is>
          <t xml:space="preserve">Total Indirect Personnel hours: </t>
        </is>
      </c>
      <c r="B23" s="28">
        <f>SUM(C15:C21)</f>
        <v/>
      </c>
      <c r="C23" s="23" t="n"/>
      <c r="D23" s="29" t="n"/>
      <c r="E23" s="29" t="n"/>
      <c r="F23" s="22" t="n"/>
      <c r="G23" s="206" t="inlineStr">
        <is>
          <t>Total Subcontractor hours:</t>
        </is>
      </c>
      <c r="H23" s="30">
        <f>SUM(I15:I21)</f>
        <v/>
      </c>
      <c r="I23" s="3" t="n"/>
    </row>
    <row r="24" ht="20" customHeight="1">
      <c r="A24" s="27" t="inlineStr">
        <is>
          <t xml:space="preserve">Total Direct Personnel onsite:  </t>
        </is>
      </c>
      <c r="B24" s="28">
        <f>COUNTIF(F15:F25,"&gt;0")</f>
        <v/>
      </c>
      <c r="C24" s="28" t="n"/>
      <c r="D24" s="29" t="n"/>
      <c r="E24" s="29" t="n"/>
      <c r="F24" s="56" t="n"/>
      <c r="G24" s="206" t="n"/>
      <c r="H24" s="30" t="n"/>
      <c r="I24" s="4" t="n"/>
    </row>
    <row r="25" ht="20" customHeight="1">
      <c r="A25" s="27" t="inlineStr">
        <is>
          <t xml:space="preserve">Total Direct Personnel hours: </t>
        </is>
      </c>
      <c r="B25" s="28">
        <f>SUM(F15:F25)</f>
        <v/>
      </c>
      <c r="C25" s="28" t="n"/>
      <c r="D25" s="28" t="n"/>
      <c r="E25" s="28" t="n"/>
      <c r="F25" s="28" t="n"/>
      <c r="G25" s="28" t="n"/>
      <c r="H25" s="28" t="n"/>
      <c r="I25" s="4" t="n"/>
    </row>
    <row r="26" ht="20" customHeight="1">
      <c r="A26" s="9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0" customHeight="1">
      <c r="A27" s="5" t="inlineStr">
        <is>
          <t>Plant</t>
        </is>
      </c>
      <c r="B27" s="6" t="inlineStr">
        <is>
          <t>ID</t>
        </is>
      </c>
      <c r="C27" s="6" t="inlineStr">
        <is>
          <t>Hours</t>
        </is>
      </c>
      <c r="D27" s="6" t="inlineStr">
        <is>
          <t xml:space="preserve"> Vehicles</t>
        </is>
      </c>
      <c r="E27" s="6" t="inlineStr">
        <is>
          <t>ID</t>
        </is>
      </c>
      <c r="F27" s="6" t="inlineStr">
        <is>
          <t>QTY</t>
        </is>
      </c>
      <c r="G27" s="7" t="inlineStr">
        <is>
          <t>Site Facilities</t>
        </is>
      </c>
      <c r="H27" s="7" t="inlineStr">
        <is>
          <t>ID</t>
        </is>
      </c>
      <c r="I27" s="8" t="inlineStr">
        <is>
          <t>Qty</t>
        </is>
      </c>
    </row>
    <row r="28" ht="17.5" customHeight="1">
      <c r="A28" s="21" t="inlineStr">
        <is>
          <t>Komatsu WA320</t>
        </is>
      </c>
      <c r="B28" s="22" t="inlineStr">
        <is>
          <t>FWL18</t>
        </is>
      </c>
      <c r="C28" s="22" t="n"/>
      <c r="D28" s="23" t="n"/>
      <c r="E28" s="23" t="n"/>
      <c r="F28" s="23" t="n"/>
      <c r="G28" s="23" t="inlineStr">
        <is>
          <t>Office 40ft</t>
        </is>
      </c>
      <c r="H28" s="23" t="n">
        <v>9255540</v>
      </c>
      <c r="I28" s="24" t="n">
        <v>1</v>
      </c>
    </row>
    <row r="29" ht="17.5" customHeight="1">
      <c r="A29" s="21" t="inlineStr">
        <is>
          <t>Wacker Neuson DPU</t>
        </is>
      </c>
      <c r="B29" s="22" t="inlineStr">
        <is>
          <t>DPC15</t>
        </is>
      </c>
      <c r="C29" s="22" t="n"/>
      <c r="D29" s="23" t="n"/>
      <c r="E29" s="23" t="n"/>
      <c r="F29" s="23" t="n"/>
      <c r="G29" s="23" t="inlineStr">
        <is>
          <t>Sea Container 20ft</t>
        </is>
      </c>
      <c r="H29" s="22" t="n">
        <v>951200</v>
      </c>
      <c r="I29" s="24" t="n">
        <v>1</v>
      </c>
    </row>
    <row r="30" ht="17.5" customHeight="1">
      <c r="A30" s="49" t="n"/>
      <c r="B30" s="23" t="n"/>
      <c r="C30" s="22" t="n"/>
      <c r="D30" s="23" t="n"/>
      <c r="E30" s="22" t="n"/>
      <c r="F30" s="23" t="n"/>
      <c r="G30" s="23" t="inlineStr">
        <is>
          <t>Site Sentry Tower</t>
        </is>
      </c>
      <c r="H30" s="23" t="n"/>
      <c r="I30" s="24" t="n">
        <v>2</v>
      </c>
    </row>
    <row r="31" ht="17.5" customHeight="1">
      <c r="A31" s="49" t="n"/>
      <c r="B31" s="23" t="n"/>
      <c r="C31" s="22" t="n"/>
      <c r="D31" s="23" t="n"/>
      <c r="E31" s="23" t="n"/>
      <c r="F31" s="23" t="n"/>
      <c r="G31" s="23" t="inlineStr">
        <is>
          <t>Skip Bin</t>
        </is>
      </c>
      <c r="H31" s="23" t="n"/>
      <c r="I31" s="24" t="n">
        <v>1</v>
      </c>
    </row>
    <row r="32" ht="17.5" customHeight="1">
      <c r="A32" s="49" t="n"/>
      <c r="B32" s="42" t="n"/>
      <c r="C32" s="22" t="n"/>
      <c r="D32" s="23" t="n"/>
      <c r="E32" s="23" t="n"/>
      <c r="F32" s="23" t="n"/>
      <c r="G32" s="23" t="inlineStr">
        <is>
          <t>Hydrocarbon Bund</t>
        </is>
      </c>
      <c r="H32" s="23" t="n"/>
      <c r="I32" s="24" t="n">
        <v>1</v>
      </c>
    </row>
    <row r="33" ht="17.5" customHeight="1">
      <c r="A33" s="49" t="n"/>
      <c r="B33" s="23" t="n"/>
      <c r="C33" s="22" t="n"/>
      <c r="D33" s="23" t="n"/>
      <c r="E33" s="23" t="n"/>
      <c r="F33" s="23" t="n"/>
      <c r="G33" s="23" t="inlineStr">
        <is>
          <t>Temp Fence</t>
        </is>
      </c>
      <c r="H33" s="22" t="n"/>
      <c r="I33" s="24" t="n">
        <v>1</v>
      </c>
    </row>
    <row r="34" ht="17.5" customHeight="1">
      <c r="A34" s="49" t="n"/>
      <c r="B34" s="23" t="n"/>
      <c r="C34" s="22" t="n"/>
      <c r="D34" s="23" t="n"/>
      <c r="E34" s="23" t="n"/>
      <c r="F34" s="23" t="n"/>
      <c r="G34" s="72" t="n"/>
      <c r="H34" s="72" t="n"/>
      <c r="I34" s="84" t="n"/>
    </row>
    <row r="35" ht="17.5" customHeight="1">
      <c r="A35" s="49" t="n"/>
      <c r="B35" s="23" t="n"/>
      <c r="C35" s="22" t="n"/>
      <c r="D35" s="23" t="n"/>
      <c r="E35" s="23" t="n"/>
      <c r="F35" s="23" t="n"/>
      <c r="G35" s="23" t="n"/>
      <c r="H35" s="22" t="n"/>
      <c r="I35" s="24" t="n"/>
    </row>
    <row r="36" ht="17.5" customHeight="1">
      <c r="A36" s="49" t="n"/>
      <c r="B36" s="23" t="n"/>
      <c r="C36" s="22" t="n"/>
      <c r="D36" s="23" t="n"/>
      <c r="E36" s="23" t="n"/>
      <c r="F36" s="23" t="n"/>
      <c r="G36" s="23" t="n"/>
      <c r="H36" s="22" t="n"/>
      <c r="I36" s="24" t="n"/>
    </row>
    <row r="37" ht="17.5" customHeight="1">
      <c r="A37" s="49" t="n"/>
      <c r="B37" s="23" t="n"/>
      <c r="C37" s="22" t="n"/>
      <c r="D37" s="23" t="n"/>
      <c r="E37" s="23" t="n"/>
      <c r="F37" s="23" t="n"/>
      <c r="G37" s="23" t="n"/>
      <c r="H37" s="22" t="n"/>
      <c r="I37" s="24" t="n"/>
    </row>
    <row r="38" ht="17.5" customHeight="1">
      <c r="A38" s="49" t="n"/>
      <c r="B38" s="23" t="n"/>
      <c r="C38" s="22" t="n"/>
      <c r="D38" s="72" t="n"/>
      <c r="E38" s="72" t="n"/>
      <c r="F38" s="72" t="n"/>
      <c r="G38" s="72" t="n"/>
      <c r="H38" s="72" t="n"/>
      <c r="I38" s="84" t="n"/>
    </row>
    <row r="39" ht="18" customHeight="1">
      <c r="A39" s="14" t="n">
        <v>0</v>
      </c>
      <c r="B39" s="225" t="inlineStr">
        <is>
          <t xml:space="preserve">Repairs Required </t>
        </is>
      </c>
      <c r="C39" s="325" t="n"/>
      <c r="D39" s="332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5" t="n">
        <v>0</v>
      </c>
      <c r="B40" s="225" t="inlineStr">
        <is>
          <t>Scheduled Service</t>
        </is>
      </c>
      <c r="C40" s="325" t="n"/>
      <c r="D40" s="332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6" t="n">
        <v>0</v>
      </c>
      <c r="B41" s="225" t="inlineStr">
        <is>
          <t>Repairs required but operable</t>
        </is>
      </c>
      <c r="C41" s="325" t="n"/>
      <c r="D41" s="332" t="inlineStr">
        <is>
          <t>N/A</t>
        </is>
      </c>
      <c r="E41" s="324" t="n"/>
      <c r="F41" s="324" t="n"/>
      <c r="G41" s="324" t="n"/>
      <c r="H41" s="324" t="n"/>
      <c r="I41" s="327" t="n"/>
    </row>
    <row r="42" ht="20" customHeight="1">
      <c r="A42" s="27" t="inlineStr">
        <is>
          <t xml:space="preserve">Total Plant and Equipment Hours: </t>
        </is>
      </c>
      <c r="B42" s="325" t="n"/>
      <c r="C42" s="31">
        <f>SUM(C31:C38,F28:F38)</f>
        <v/>
      </c>
      <c r="D42" s="333" t="n"/>
      <c r="E42" s="324" t="n"/>
      <c r="F42" s="324" t="n"/>
      <c r="G42" s="324" t="n"/>
      <c r="H42" s="324" t="n"/>
      <c r="I42" s="327" t="n"/>
    </row>
    <row r="43" ht="20" customHeight="1">
      <c r="A43" s="326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0" customHeight="1">
      <c r="A49" s="338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39" t="inlineStr">
        <is>
          <t>TCD - Monthly Safety Focus:</t>
        </is>
      </c>
      <c r="B50" s="220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39" t="inlineStr">
        <is>
          <t>TCD - Daily Safety Focus:</t>
        </is>
      </c>
      <c r="B51" s="221" t="inlineStr">
        <is>
          <t>Positive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40" t="inlineStr">
        <is>
          <t xml:space="preserve">Hazards Reported: </t>
        </is>
      </c>
      <c r="B52" s="82" t="inlineStr">
        <is>
          <t>Nil</t>
        </is>
      </c>
      <c r="C52" s="221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40" t="inlineStr">
        <is>
          <t>Incident Free Days</t>
        </is>
      </c>
      <c r="B53" s="82" t="n">
        <v>8</v>
      </c>
      <c r="C53" s="220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54" t="inlineStr">
        <is>
          <t>Other Notes</t>
        </is>
      </c>
      <c r="B54" s="341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26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32" t="n"/>
      <c r="B56" s="237" t="inlineStr">
        <is>
          <t>QTY</t>
        </is>
      </c>
      <c r="C56" s="342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33" t="inlineStr">
        <is>
          <t>INCIDENT</t>
        </is>
      </c>
      <c r="B57" s="237" t="n">
        <v>0</v>
      </c>
      <c r="C57" s="332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45" t="inlineStr">
        <is>
          <t>IR</t>
        </is>
      </c>
      <c r="B58" s="46" t="n">
        <v>0</v>
      </c>
      <c r="C58" s="343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43" t="inlineStr">
        <is>
          <t>NCR</t>
        </is>
      </c>
      <c r="B59" s="44" t="n">
        <v>0</v>
      </c>
      <c r="C59" s="344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38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0" customHeight="1">
      <c r="A65" s="326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51" t="inlineStr">
        <is>
          <t>Commence Demolition of Brick Pavers Within Site Boundary Bayly Street End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71" t="inlineStr">
        <is>
          <t>Received Survey</t>
        </is>
      </c>
      <c r="B67" s="324" t="n"/>
      <c r="C67" s="324" t="n"/>
      <c r="D67" s="324" t="n"/>
      <c r="E67" s="51" t="n"/>
      <c r="F67" s="51" t="n"/>
      <c r="G67" s="51" t="n"/>
      <c r="H67" s="51" t="n"/>
      <c r="I67" s="52" t="n"/>
    </row>
    <row r="68" ht="25" customHeight="1">
      <c r="A68" s="171" t="inlineStr">
        <is>
          <t>Delap Survey Inspected 8 Properties</t>
        </is>
      </c>
      <c r="B68" s="48" t="n"/>
      <c r="C68" s="48" t="n"/>
      <c r="D68" s="48" t="n"/>
      <c r="E68" s="51" t="n"/>
      <c r="F68" s="51" t="n"/>
      <c r="G68" s="51" t="n"/>
      <c r="H68" s="51" t="n"/>
      <c r="I68" s="52" t="n"/>
    </row>
    <row r="69" ht="25" customHeight="1">
      <c r="A69" s="351" t="inlineStr">
        <is>
          <t>Application in for Sewer Plugs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77" t="inlineStr">
        <is>
          <t>Demolish Fence Site Side of Sump</t>
        </is>
      </c>
      <c r="B70" s="83" t="n"/>
      <c r="C70" s="83" t="n"/>
      <c r="D70" s="83" t="n"/>
      <c r="E70" s="83" t="n"/>
      <c r="F70" s="83" t="n"/>
      <c r="G70" s="83" t="n"/>
      <c r="H70" s="83" t="n"/>
      <c r="I70" s="85" t="n"/>
    </row>
    <row r="71" ht="25" customHeight="1">
      <c r="A71" s="68" t="n"/>
      <c r="B71" s="69" t="n"/>
      <c r="C71" s="69" t="n"/>
      <c r="D71" s="69" t="n"/>
      <c r="E71" s="70" t="n"/>
      <c r="F71" s="70" t="n"/>
      <c r="G71" s="70" t="n"/>
      <c r="H71" s="70" t="n"/>
      <c r="I71" s="71" t="n"/>
    </row>
    <row r="72" ht="23" customHeight="1">
      <c r="A72" s="349" t="inlineStr">
        <is>
          <t>PHOTOS</t>
        </is>
      </c>
      <c r="B72" s="324" t="n"/>
      <c r="C72" s="324" t="n"/>
      <c r="D72" s="324" t="n"/>
      <c r="E72" s="324" t="n"/>
      <c r="F72" s="324" t="n"/>
      <c r="G72" s="324" t="n"/>
      <c r="H72" s="324" t="n"/>
      <c r="I72" s="327" t="n"/>
    </row>
    <row r="73" ht="15" customHeight="1">
      <c r="A73" s="164" t="n"/>
      <c r="B73" s="330" t="n"/>
      <c r="C73" s="330" t="n"/>
      <c r="D73" s="330" t="n"/>
      <c r="E73" s="168" t="n"/>
      <c r="F73" s="330" t="n"/>
      <c r="G73" s="330" t="n"/>
      <c r="H73" s="330" t="n"/>
      <c r="I73" s="331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166" t="n"/>
      <c r="B95" s="167" t="n"/>
      <c r="C95" s="167" t="n"/>
      <c r="D95" s="167" t="n"/>
      <c r="E95" s="167" t="n"/>
      <c r="F95" s="167" t="n"/>
      <c r="G95" s="167" t="n"/>
      <c r="H95" s="167" t="n"/>
      <c r="I95" s="169" t="n"/>
    </row>
    <row r="96" ht="25" customFormat="1" customHeight="1" s="61" thickBot="1">
      <c r="A96" s="161" t="n"/>
      <c r="B96" s="336" t="n"/>
      <c r="C96" s="336" t="n"/>
      <c r="D96" s="336" t="n"/>
      <c r="E96" s="170" t="n"/>
      <c r="F96" s="336" t="n"/>
      <c r="G96" s="336" t="n"/>
      <c r="H96" s="336" t="n"/>
      <c r="I96" s="337" t="n"/>
    </row>
    <row r="97" ht="15" customHeight="1">
      <c r="A97" s="62" t="n"/>
      <c r="B97" s="63" t="n"/>
      <c r="C97" s="63" t="n"/>
      <c r="D97" s="63" t="n"/>
      <c r="E97" s="63" t="n"/>
      <c r="F97" s="63" t="n"/>
      <c r="G97" s="63" t="n"/>
      <c r="H97" s="63" t="n"/>
      <c r="I97" s="64" t="n"/>
    </row>
    <row r="98" ht="15" customHeight="1">
      <c r="A98" s="62" t="n"/>
      <c r="B98" s="63" t="n"/>
      <c r="C98" s="63" t="n"/>
      <c r="E98" s="63" t="n"/>
      <c r="F98" s="63" t="n"/>
      <c r="G98" s="63" t="n"/>
      <c r="H98" s="63" t="n"/>
      <c r="I98" s="64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86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255" t="n"/>
      <c r="E120" s="256" t="n"/>
      <c r="I120" s="320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 thickBot="1">
      <c r="A122" s="161" t="n"/>
      <c r="B122" s="336" t="n"/>
      <c r="C122" s="336" t="n"/>
      <c r="D122" s="336" t="n"/>
      <c r="E122" s="170" t="n"/>
      <c r="F122" s="336" t="n"/>
      <c r="G122" s="336" t="n"/>
      <c r="H122" s="336" t="n"/>
      <c r="I122" s="337" t="n"/>
    </row>
    <row r="123" ht="28" customHeight="1">
      <c r="A123" s="163" t="n"/>
      <c r="E123" s="163" t="n"/>
    </row>
    <row r="124" ht="15" customHeight="1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</row>
    <row r="125" ht="15" customHeight="1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</row>
    <row r="126" ht="15" customHeight="1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</row>
    <row r="127" ht="15" customHeight="1">
      <c r="A127" s="163" t="n"/>
      <c r="E127" s="66" t="n"/>
      <c r="F127" s="66" t="n"/>
      <c r="G127" s="66" t="n"/>
      <c r="H127" s="66" t="n"/>
      <c r="I127" s="66" t="n"/>
    </row>
    <row r="128" ht="15" customHeight="1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</row>
    <row r="129" ht="15" customHeight="1">
      <c r="A129" s="163" t="n"/>
      <c r="E129" s="163" t="n"/>
    </row>
    <row r="130" ht="15" customHeight="1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</row>
    <row r="131" ht="15" customHeight="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</row>
    <row r="132" ht="15" customHeight="1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</row>
    <row r="133" ht="15" customHeight="1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</row>
    <row r="134" ht="15" customHeight="1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</row>
    <row r="135" ht="15" customHeight="1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</row>
    <row r="136" ht="15" customHeight="1" thickBot="1">
      <c r="A136" s="163" t="n"/>
      <c r="E136" s="163" t="n"/>
      <c r="J136" s="78" t="n"/>
    </row>
    <row r="137" ht="15" customHeight="1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</row>
    <row r="138" ht="15" customHeight="1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</row>
    <row r="139" ht="15" customHeight="1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</row>
    <row r="140" ht="15" customHeight="1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</row>
    <row r="141" ht="15" customHeight="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</row>
    <row r="142" ht="15" customHeight="1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</row>
    <row r="143" ht="16" customHeight="1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</row>
    <row r="144" ht="30.75" customHeight="1" thickBot="1">
      <c r="A144" s="161" t="n"/>
      <c r="B144" s="336" t="n"/>
      <c r="C144" s="336" t="n"/>
      <c r="D144" s="336" t="n"/>
      <c r="E144" s="163" t="n"/>
    </row>
  </sheetData>
  <mergeCells count="60">
    <mergeCell ref="A65:I65"/>
    <mergeCell ref="D13:F13"/>
    <mergeCell ref="A144:D144"/>
    <mergeCell ref="C52:I52"/>
    <mergeCell ref="A122:D122"/>
    <mergeCell ref="G13:I13"/>
    <mergeCell ref="E129:I129"/>
    <mergeCell ref="B8:D8"/>
    <mergeCell ref="D41:I41"/>
    <mergeCell ref="B54:I54"/>
    <mergeCell ref="A66:I66"/>
    <mergeCell ref="A96:D96"/>
    <mergeCell ref="E122:I122"/>
    <mergeCell ref="A55:I55"/>
    <mergeCell ref="A12:I12"/>
    <mergeCell ref="E123:I123"/>
    <mergeCell ref="C57:I57"/>
    <mergeCell ref="B39:C39"/>
    <mergeCell ref="C53:I53"/>
    <mergeCell ref="A67:D67"/>
    <mergeCell ref="A5:I5"/>
    <mergeCell ref="A127:D127"/>
    <mergeCell ref="B9:D9"/>
    <mergeCell ref="B6:D6"/>
    <mergeCell ref="D39:I39"/>
    <mergeCell ref="A62:I62"/>
    <mergeCell ref="C58:I58"/>
    <mergeCell ref="A72:I72"/>
    <mergeCell ref="A123:D123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E73:I94"/>
    <mergeCell ref="E144:I144"/>
    <mergeCell ref="A120:D120"/>
    <mergeCell ref="A11:I11"/>
    <mergeCell ref="A49:I49"/>
    <mergeCell ref="E120:I120"/>
    <mergeCell ref="A136:D136"/>
    <mergeCell ref="C56:I56"/>
    <mergeCell ref="A60:I60"/>
    <mergeCell ref="D40:I40"/>
    <mergeCell ref="B51:I51"/>
    <mergeCell ref="C59:I59"/>
    <mergeCell ref="E136:I136"/>
    <mergeCell ref="A73:D94"/>
    <mergeCell ref="A61:I61"/>
    <mergeCell ref="A129:D129"/>
    <mergeCell ref="A69:I69"/>
    <mergeCell ref="B50:I50"/>
    <mergeCell ref="E96:I96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3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42"/>
  <sheetViews>
    <sheetView view="pageBreakPreview" zoomScale="40" zoomScaleNormal="100" zoomScaleSheetLayoutView="40" workbookViewId="0">
      <selection activeCell="G16" sqref="G16:I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34 degrees    Wind: 325 km/h  WE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5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n"/>
      <c r="B30" s="112" t="n"/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n"/>
      <c r="B31" s="112" t="n"/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SUM(C31:C38,F28:F38)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Housekeeping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Completed Demo of Brick Paving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282" t="inlineStr">
        <is>
          <t>Delap Survey Inspected 9 Properties</t>
        </is>
      </c>
      <c r="B67" s="93" t="n"/>
      <c r="C67" s="93" t="n"/>
      <c r="D67" s="93" t="n"/>
      <c r="E67" s="94" t="n"/>
      <c r="F67" s="94" t="n"/>
      <c r="G67" s="94" t="n"/>
      <c r="H67" s="94" t="n"/>
      <c r="I67" s="95" t="n"/>
    </row>
    <row r="68" ht="25" customHeight="1">
      <c r="A68" s="360" t="inlineStr">
        <is>
          <t>Ongoing Survice Location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1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 thickBot="1">
      <c r="A141" s="161" t="n"/>
      <c r="B141" s="336" t="n"/>
      <c r="C141" s="336" t="n"/>
      <c r="D141" s="336" t="n"/>
      <c r="E141" s="170" t="n"/>
      <c r="F141" s="336" t="n"/>
      <c r="G141" s="336" t="n"/>
      <c r="H141" s="336" t="n"/>
      <c r="I141" s="337" t="n"/>
    </row>
    <row r="142" ht="15" customHeight="1" thickBot="1">
      <c r="A142" s="144" t="n"/>
      <c r="B142" s="145" t="n"/>
      <c r="C142" s="145" t="n"/>
      <c r="D142" s="145" t="n"/>
      <c r="E142" s="145" t="n"/>
      <c r="F142" s="145" t="n"/>
      <c r="G142" s="145" t="n"/>
      <c r="H142" s="145" t="n"/>
      <c r="I142" s="146" t="n"/>
    </row>
  </sheetData>
  <mergeCells count="44">
    <mergeCell ref="A65:I65"/>
    <mergeCell ref="D13:F13"/>
    <mergeCell ref="A141:D141"/>
    <mergeCell ref="C52:I52"/>
    <mergeCell ref="G13:I13"/>
    <mergeCell ref="B54:I54"/>
    <mergeCell ref="A66:I66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A62:I62"/>
    <mergeCell ref="D39:I39"/>
    <mergeCell ref="B6:D6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8" min="0" max="8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view="pageBreakPreview" zoomScale="40" zoomScaleNormal="100" zoomScaleSheetLayoutView="40" workbookViewId="0">
      <selection activeCell="A11" sqref="A11:I11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45789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33 degrees    Wind: 25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3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Loading and Unloading Plant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10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Vegetation Strip to basin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282" t="inlineStr">
        <is>
          <t>Mobilsed Watercart</t>
        </is>
      </c>
      <c r="B64" s="93" t="n"/>
      <c r="C64" s="93" t="n"/>
      <c r="D64" s="93" t="n"/>
      <c r="E64" s="94" t="n"/>
      <c r="F64" s="94" t="n"/>
      <c r="G64" s="94" t="n"/>
      <c r="H64" s="94" t="n"/>
      <c r="I64" s="95" t="n"/>
    </row>
    <row r="65" ht="25" customHeight="1">
      <c r="A65" s="360" t="inlineStr">
        <is>
          <t>Mobilisation of Posi Track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 thickBot="1">
      <c r="A66" s="149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61" t="inlineStr">
        <is>
          <t>PHOTOS</t>
        </is>
      </c>
      <c r="B67" s="318" t="n"/>
      <c r="C67" s="318" t="n"/>
      <c r="D67" s="318" t="n"/>
      <c r="E67" s="318" t="n"/>
      <c r="F67" s="318" t="n"/>
      <c r="G67" s="318" t="n"/>
      <c r="H67" s="318" t="n"/>
      <c r="I67" s="319" t="n"/>
    </row>
    <row r="68" ht="15" customHeight="1">
      <c r="A68" s="362" t="e">
        <v>#VALUE!</v>
      </c>
      <c r="B68" s="318" t="n"/>
      <c r="C68" s="318" t="n"/>
      <c r="D68" s="318" t="n"/>
      <c r="E68" s="318" t="n"/>
      <c r="F68" s="318" t="n"/>
      <c r="G68" s="318" t="n"/>
      <c r="H68" s="318" t="n"/>
      <c r="I68" s="319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15" customHeight="1">
      <c r="A89" s="86" t="n"/>
      <c r="I89" s="320" t="n"/>
    </row>
    <row r="90" ht="15" customHeight="1">
      <c r="A90" s="86" t="n"/>
      <c r="I90" s="320" t="n"/>
    </row>
    <row r="91" ht="25" customFormat="1" customHeight="1" s="6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>
      <c r="A95" s="86" t="n"/>
      <c r="I95" s="320" t="n"/>
    </row>
    <row r="96" ht="15" customHeight="1">
      <c r="A96" s="86" t="n"/>
      <c r="I96" s="320" t="n"/>
    </row>
    <row r="97" ht="15" customHeight="1">
      <c r="A97" s="86" t="n"/>
      <c r="I97" s="320" t="n"/>
    </row>
    <row r="98" ht="15" customHeight="1" thickBot="1">
      <c r="A98" s="335" t="n"/>
      <c r="B98" s="336" t="n"/>
      <c r="C98" s="336" t="n"/>
      <c r="D98" s="336" t="n"/>
      <c r="E98" s="336" t="n"/>
      <c r="F98" s="336" t="n"/>
      <c r="G98" s="336" t="n"/>
      <c r="H98" s="336" t="n"/>
      <c r="I98" s="33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 thickBot="1">
      <c r="A120" s="144" t="n"/>
      <c r="B120" s="145" t="n"/>
      <c r="C120" s="145" t="n"/>
      <c r="D120" s="145" t="n"/>
      <c r="E120" s="145" t="n"/>
      <c r="F120" s="145" t="n"/>
      <c r="G120" s="145" t="n"/>
      <c r="H120" s="145" t="n"/>
      <c r="I120" s="146" t="n"/>
    </row>
  </sheetData>
  <mergeCells count="43">
    <mergeCell ref="A42:I45"/>
    <mergeCell ref="A65:I6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A62:I62"/>
    <mergeCell ref="B6:D6"/>
    <mergeCell ref="D39:I39"/>
    <mergeCell ref="A52:I52"/>
    <mergeCell ref="B38:C38"/>
    <mergeCell ref="A13:C13"/>
    <mergeCell ref="D38:I38"/>
    <mergeCell ref="A63:I63"/>
    <mergeCell ref="A10:I10"/>
    <mergeCell ref="A1:I4"/>
    <mergeCell ref="B37:C37"/>
    <mergeCell ref="A40:I40"/>
    <mergeCell ref="A67:I67"/>
    <mergeCell ref="C54:I54"/>
    <mergeCell ref="A58:I58"/>
    <mergeCell ref="B7:D7"/>
    <mergeCell ref="C55:I55"/>
    <mergeCell ref="C50:I50"/>
    <mergeCell ref="A59:I59"/>
    <mergeCell ref="A11:I11"/>
    <mergeCell ref="C56:I56"/>
    <mergeCell ref="A60:I60"/>
    <mergeCell ref="B51:I51"/>
    <mergeCell ref="A68:I98"/>
    <mergeCell ref="B36:C36"/>
    <mergeCell ref="D36:I36"/>
    <mergeCell ref="A61:I61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  <rowBreaks count="1" manualBreakCount="1">
    <brk id="98" min="0" max="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view="pageBreakPreview" zoomScale="40" zoomScaleNormal="100" zoomScaleSheetLayoutView="40" workbookViewId="0">
      <selection activeCell="A40" sqref="A40:I40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31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3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3.5" customHeight="1">
      <c r="A35" s="114" t="n"/>
      <c r="B35" s="112" t="n"/>
      <c r="C35" s="111" t="n"/>
      <c r="D35" s="116" t="n"/>
      <c r="E35" s="116" t="n"/>
      <c r="F35" s="116" t="n"/>
      <c r="G35" s="116" t="n"/>
      <c r="H35" s="116" t="n"/>
      <c r="I35" s="117" t="n"/>
    </row>
    <row r="36" ht="18" customHeight="1">
      <c r="A36" s="118" t="n">
        <v>0</v>
      </c>
      <c r="B36" s="278" t="inlineStr">
        <is>
          <t xml:space="preserve">Repairs Required </t>
        </is>
      </c>
      <c r="C36" s="325" t="n"/>
      <c r="D36" s="355" t="inlineStr">
        <is>
          <t>N/A</t>
        </is>
      </c>
      <c r="E36" s="324" t="n"/>
      <c r="F36" s="324" t="n"/>
      <c r="G36" s="324" t="n"/>
      <c r="H36" s="324" t="n"/>
      <c r="I36" s="327" t="n"/>
    </row>
    <row r="37" ht="18" customHeight="1">
      <c r="A37" s="119" t="n">
        <v>0</v>
      </c>
      <c r="B37" s="278" t="inlineStr">
        <is>
          <t>Scheduled Service</t>
        </is>
      </c>
      <c r="C37" s="325" t="n"/>
      <c r="D37" s="355" t="inlineStr">
        <is>
          <t>N/A</t>
        </is>
      </c>
      <c r="E37" s="324" t="n"/>
      <c r="F37" s="324" t="n"/>
      <c r="G37" s="324" t="n"/>
      <c r="H37" s="324" t="n"/>
      <c r="I37" s="327" t="n"/>
    </row>
    <row r="38" ht="18" customHeight="1">
      <c r="A38" s="120" t="n">
        <v>0</v>
      </c>
      <c r="B38" s="278" t="inlineStr">
        <is>
          <t>Repairs required but operable</t>
        </is>
      </c>
      <c r="C38" s="325" t="n"/>
      <c r="D38" s="355" t="inlineStr">
        <is>
          <t>N/A</t>
        </is>
      </c>
      <c r="E38" s="324" t="n"/>
      <c r="F38" s="324" t="n"/>
      <c r="G38" s="324" t="n"/>
      <c r="H38" s="324" t="n"/>
      <c r="I38" s="327" t="n"/>
    </row>
    <row r="39" ht="23" customHeight="1">
      <c r="A39" s="90" t="inlineStr">
        <is>
          <t xml:space="preserve">Total Plant and Equipment Hours: </t>
        </is>
      </c>
      <c r="B39" s="325" t="n"/>
      <c r="C39" s="284">
        <f>SUM(C28:C35,F28:F35)</f>
        <v/>
      </c>
      <c r="D39" s="275" t="n"/>
      <c r="E39" s="324" t="n"/>
      <c r="F39" s="324" t="n"/>
      <c r="G39" s="324" t="n"/>
      <c r="H39" s="324" t="n"/>
      <c r="I39" s="327" t="n"/>
    </row>
    <row r="40" ht="25" customHeight="1">
      <c r="A40" s="352" t="inlineStr">
        <is>
          <t>DELAYS-OPPORTUNITY</t>
        </is>
      </c>
      <c r="B40" s="324" t="n"/>
      <c r="C40" s="324" t="n"/>
      <c r="D40" s="324" t="n"/>
      <c r="E40" s="324" t="n"/>
      <c r="F40" s="324" t="n"/>
      <c r="G40" s="324" t="n"/>
      <c r="H40" s="324" t="n"/>
      <c r="I40" s="327" t="n"/>
    </row>
    <row r="41" ht="20" customHeight="1">
      <c r="A41" s="233" t="n"/>
      <c r="B41" s="234" t="n"/>
      <c r="C41" s="234" t="n"/>
      <c r="D41" s="234" t="n"/>
      <c r="E41" s="234" t="n"/>
      <c r="F41" s="234" t="n"/>
      <c r="G41" s="234" t="n"/>
      <c r="H41" s="234" t="n"/>
      <c r="I41" s="235" t="n"/>
    </row>
    <row r="42">
      <c r="A42" s="334" t="n"/>
      <c r="B42" s="330" t="n"/>
      <c r="C42" s="330" t="n"/>
      <c r="D42" s="330" t="n"/>
      <c r="E42" s="330" t="n"/>
      <c r="F42" s="330" t="n"/>
      <c r="G42" s="330" t="n"/>
      <c r="H42" s="330" t="n"/>
      <c r="I42" s="331" t="n"/>
    </row>
    <row r="43">
      <c r="A43" s="86" t="n"/>
      <c r="I43" s="320" t="n"/>
    </row>
    <row r="44">
      <c r="A44" s="86" t="n"/>
      <c r="I44" s="320" t="n"/>
    </row>
    <row r="45" ht="13.5" customHeight="1" thickBot="1">
      <c r="A45" s="335" t="n"/>
      <c r="B45" s="336" t="n"/>
      <c r="C45" s="336" t="n"/>
      <c r="D45" s="336" t="n"/>
      <c r="E45" s="336" t="n"/>
      <c r="F45" s="336" t="n"/>
      <c r="G45" s="336" t="n"/>
      <c r="H45" s="336" t="n"/>
      <c r="I45" s="337" t="n"/>
    </row>
    <row r="46" ht="25" customHeight="1">
      <c r="A46" s="356" t="inlineStr">
        <is>
          <t>HSEQ MESSAGES</t>
        </is>
      </c>
      <c r="B46" s="339" t="n"/>
      <c r="C46" s="339" t="n"/>
      <c r="D46" s="339" t="n"/>
      <c r="E46" s="339" t="n"/>
      <c r="F46" s="339" t="n"/>
      <c r="G46" s="339" t="n"/>
      <c r="H46" s="339" t="n"/>
      <c r="I46" s="340" t="n"/>
    </row>
    <row r="47" ht="18" customHeight="1">
      <c r="A47" s="103" t="inlineStr">
        <is>
          <t>TCD - Monthly Safety Focus:</t>
        </is>
      </c>
      <c r="B47" s="276" t="inlineStr">
        <is>
          <t>JHA</t>
        </is>
      </c>
      <c r="C47" s="324" t="n"/>
      <c r="D47" s="324" t="n"/>
      <c r="E47" s="324" t="n"/>
      <c r="F47" s="324" t="n"/>
      <c r="G47" s="324" t="n"/>
      <c r="H47" s="324" t="n"/>
      <c r="I47" s="325" t="n"/>
    </row>
    <row r="48" ht="18" customHeight="1">
      <c r="A48" s="103" t="inlineStr">
        <is>
          <t>TCD - Daily Safety Focus:</t>
        </is>
      </c>
      <c r="B48" s="277" t="inlineStr">
        <is>
          <t>Fitness for Work</t>
        </is>
      </c>
      <c r="C48" s="324" t="n"/>
      <c r="D48" s="324" t="n"/>
      <c r="E48" s="324" t="n"/>
      <c r="F48" s="324" t="n"/>
      <c r="G48" s="324" t="n"/>
      <c r="H48" s="324" t="n"/>
      <c r="I48" s="327" t="n"/>
    </row>
    <row r="49" ht="18" customHeight="1">
      <c r="A49" s="104" t="inlineStr">
        <is>
          <t xml:space="preserve">Hazards Reported: </t>
        </is>
      </c>
      <c r="B49" s="105" t="inlineStr">
        <is>
          <t>Nil</t>
        </is>
      </c>
      <c r="C49" s="277" t="n"/>
      <c r="D49" s="324" t="n"/>
      <c r="E49" s="324" t="n"/>
      <c r="F49" s="324" t="n"/>
      <c r="G49" s="324" t="n"/>
      <c r="H49" s="324" t="n"/>
      <c r="I49" s="327" t="n"/>
    </row>
    <row r="50" ht="18" customHeight="1">
      <c r="A50" s="104" t="inlineStr">
        <is>
          <t>Incident Free Days</t>
        </is>
      </c>
      <c r="B50" s="105" t="n">
        <v>11</v>
      </c>
      <c r="C50" s="276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6" t="inlineStr">
        <is>
          <t>Other Notes</t>
        </is>
      </c>
      <c r="B51" s="357" t="n"/>
      <c r="C51" s="330" t="n"/>
      <c r="D51" s="330" t="n"/>
      <c r="E51" s="330" t="n"/>
      <c r="F51" s="330" t="n"/>
      <c r="G51" s="330" t="n"/>
      <c r="H51" s="330" t="n"/>
      <c r="I51" s="331" t="n"/>
    </row>
    <row r="52" ht="20.25" customHeight="1">
      <c r="A52" s="352" t="inlineStr">
        <is>
          <t xml:space="preserve">INCIDENTS &amp; REPORTS </t>
        </is>
      </c>
      <c r="B52" s="324" t="n"/>
      <c r="C52" s="324" t="n"/>
      <c r="D52" s="324" t="n"/>
      <c r="E52" s="324" t="n"/>
      <c r="F52" s="324" t="n"/>
      <c r="G52" s="324" t="n"/>
      <c r="H52" s="324" t="n"/>
      <c r="I52" s="327" t="n"/>
    </row>
    <row r="53" ht="25" customHeight="1">
      <c r="A53" s="96" t="n"/>
      <c r="B53" s="274" t="inlineStr">
        <is>
          <t>QTY</t>
        </is>
      </c>
      <c r="C53" s="133" t="inlineStr">
        <is>
          <t>Comments</t>
        </is>
      </c>
      <c r="D53" s="324" t="n"/>
      <c r="E53" s="324" t="n"/>
      <c r="F53" s="324" t="n"/>
      <c r="G53" s="324" t="n"/>
      <c r="H53" s="324" t="n"/>
      <c r="I53" s="327" t="n"/>
    </row>
    <row r="54" ht="25" customHeight="1">
      <c r="A54" s="98" t="inlineStr">
        <is>
          <t>INCIDENT</t>
        </is>
      </c>
      <c r="B54" s="274" t="n">
        <v>0</v>
      </c>
      <c r="C54" s="355" t="inlineStr">
        <is>
          <t>NA</t>
        </is>
      </c>
      <c r="D54" s="324" t="n"/>
      <c r="E54" s="324" t="n"/>
      <c r="F54" s="324" t="n"/>
      <c r="G54" s="324" t="n"/>
      <c r="H54" s="324" t="n"/>
      <c r="I54" s="327" t="n"/>
    </row>
    <row r="55" ht="25" customHeight="1">
      <c r="A55" s="99" t="inlineStr">
        <is>
          <t>IR</t>
        </is>
      </c>
      <c r="B55" s="100" t="n">
        <v>0</v>
      </c>
      <c r="C55" s="358" t="inlineStr">
        <is>
          <t>NA</t>
        </is>
      </c>
      <c r="D55" s="330" t="n"/>
      <c r="E55" s="330" t="n"/>
      <c r="F55" s="330" t="n"/>
      <c r="G55" s="330" t="n"/>
      <c r="H55" s="330" t="n"/>
      <c r="I55" s="331" t="n"/>
    </row>
    <row r="56" ht="25" customHeight="1" thickBot="1">
      <c r="A56" s="101" t="inlineStr">
        <is>
          <t>NCR</t>
        </is>
      </c>
      <c r="B56" s="102" t="n">
        <v>0</v>
      </c>
      <c r="C56" s="359" t="inlineStr">
        <is>
          <t>NA</t>
        </is>
      </c>
      <c r="D56" s="345" t="n"/>
      <c r="E56" s="345" t="n"/>
      <c r="F56" s="345" t="n"/>
      <c r="G56" s="345" t="n"/>
      <c r="H56" s="345" t="n"/>
      <c r="I56" s="346" t="n"/>
    </row>
    <row r="57" ht="20.25" customHeight="1">
      <c r="A57" s="356" t="inlineStr">
        <is>
          <t>COMMUNICATIONS</t>
        </is>
      </c>
      <c r="B57" s="339" t="n"/>
      <c r="C57" s="339" t="n"/>
      <c r="D57" s="339" t="n"/>
      <c r="E57" s="339" t="n"/>
      <c r="F57" s="339" t="n"/>
      <c r="G57" s="339" t="n"/>
      <c r="H57" s="339" t="n"/>
      <c r="I57" s="340" t="n"/>
    </row>
    <row r="58" ht="25" customHeight="1">
      <c r="A58" s="181" t="n"/>
      <c r="B58" s="324" t="n"/>
      <c r="C58" s="324" t="n"/>
      <c r="D58" s="324" t="n"/>
      <c r="E58" s="324" t="n"/>
      <c r="F58" s="324" t="n"/>
      <c r="G58" s="324" t="n"/>
      <c r="H58" s="324" t="n"/>
      <c r="I58" s="325" t="n"/>
    </row>
    <row r="59" ht="25" customHeight="1">
      <c r="A59" s="347" t="n"/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347" t="n"/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52" t="inlineStr">
        <is>
          <t>PRODUCTION (CONSTRUCTION STATUS &amp; PROGRESS)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60" t="inlineStr">
        <is>
          <t>Commence Basin Topsoil Strip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 thickBot="1">
      <c r="A64" s="149" t="n"/>
      <c r="B64" s="150" t="n"/>
      <c r="C64" s="150" t="n"/>
      <c r="D64" s="150" t="n"/>
      <c r="E64" s="150" t="n"/>
      <c r="F64" s="150" t="n"/>
      <c r="G64" s="150" t="n"/>
      <c r="H64" s="150" t="n"/>
      <c r="I64" s="151" t="n"/>
    </row>
    <row r="65" ht="25.5" customHeight="1" thickBot="1">
      <c r="A65" s="361" t="inlineStr">
        <is>
          <t>PHOTOS</t>
        </is>
      </c>
      <c r="B65" s="318" t="n"/>
      <c r="C65" s="318" t="n"/>
      <c r="D65" s="318" t="n"/>
      <c r="E65" s="318" t="n"/>
      <c r="F65" s="318" t="n"/>
      <c r="G65" s="318" t="n"/>
      <c r="H65" s="318" t="n"/>
      <c r="I65" s="319" t="n"/>
    </row>
    <row r="66" ht="15" customHeight="1">
      <c r="A66" s="362" t="e">
        <v>#VALUE!</v>
      </c>
      <c r="B66" s="318" t="n"/>
      <c r="C66" s="318" t="n"/>
      <c r="D66" s="318" t="n"/>
      <c r="E66" s="318" t="n"/>
      <c r="F66" s="318" t="n"/>
      <c r="G66" s="318" t="n"/>
      <c r="H66" s="318" t="n"/>
      <c r="I66" s="319" t="n"/>
    </row>
    <row r="67" ht="15" customHeight="1">
      <c r="A67" s="86" t="n"/>
      <c r="I67" s="320" t="n"/>
    </row>
    <row r="68" ht="15" customHeight="1">
      <c r="A68" s="86" t="n"/>
      <c r="I68" s="320" t="n"/>
    </row>
    <row r="69" ht="15" customHeight="1">
      <c r="A69" s="86" t="n"/>
      <c r="I69" s="320" t="n"/>
    </row>
    <row r="70" ht="15" customHeight="1">
      <c r="A70" s="86" t="n"/>
      <c r="I70" s="320" t="n"/>
    </row>
    <row r="71" ht="15" customHeight="1">
      <c r="A71" s="86" t="n"/>
      <c r="I71" s="320" t="n"/>
    </row>
    <row r="72" ht="15" customHeight="1">
      <c r="A72" s="86" t="n"/>
      <c r="I72" s="320" t="n"/>
    </row>
    <row r="73" ht="15" customHeight="1">
      <c r="A73" s="86" t="n"/>
      <c r="I73" s="320" t="n"/>
    </row>
    <row r="74" ht="15" customHeight="1">
      <c r="A74" s="86" t="n"/>
      <c r="I74" s="320" t="n"/>
    </row>
    <row r="75" ht="15" customHeight="1">
      <c r="A75" s="86" t="n"/>
      <c r="I75" s="320" t="n"/>
    </row>
    <row r="76" ht="15" customHeight="1">
      <c r="A76" s="86" t="n"/>
      <c r="I76" s="320" t="n"/>
    </row>
    <row r="77" ht="15" customHeight="1">
      <c r="A77" s="86" t="n"/>
      <c r="I77" s="320" t="n"/>
    </row>
    <row r="78" ht="15" customHeight="1">
      <c r="A78" s="86" t="n"/>
      <c r="I78" s="320" t="n"/>
    </row>
    <row r="79" ht="15" customHeight="1">
      <c r="A79" s="86" t="n"/>
      <c r="I79" s="320" t="n"/>
    </row>
    <row r="80" ht="15" customHeight="1">
      <c r="A80" s="86" t="n"/>
      <c r="I80" s="320" t="n"/>
    </row>
    <row r="81" ht="15" customHeight="1">
      <c r="A81" s="86" t="n"/>
      <c r="I81" s="320" t="n"/>
    </row>
    <row r="82" ht="15" customHeight="1">
      <c r="A82" s="86" t="n"/>
      <c r="I82" s="320" t="n"/>
    </row>
    <row r="83" ht="15" customHeight="1">
      <c r="A83" s="86" t="n"/>
      <c r="I83" s="320" t="n"/>
    </row>
    <row r="84" ht="15" customHeight="1">
      <c r="A84" s="86" t="n"/>
      <c r="I84" s="320" t="n"/>
    </row>
    <row r="85" ht="15" customHeight="1">
      <c r="A85" s="86" t="n"/>
      <c r="I85" s="320" t="n"/>
    </row>
    <row r="86" ht="15" customHeight="1">
      <c r="A86" s="86" t="n"/>
      <c r="I86" s="320" t="n"/>
    </row>
    <row r="87" ht="15" customHeight="1">
      <c r="A87" s="86" t="n"/>
      <c r="I87" s="320" t="n"/>
    </row>
    <row r="88" ht="15" customHeight="1">
      <c r="A88" s="86" t="n"/>
      <c r="I88" s="320" t="n"/>
    </row>
    <row r="89" ht="25" customFormat="1" customHeight="1" s="61">
      <c r="A89" s="86" t="n"/>
      <c r="I89" s="320" t="n"/>
    </row>
    <row r="90" ht="15" customHeight="1">
      <c r="A90" s="86" t="n"/>
      <c r="I90" s="320" t="n"/>
    </row>
    <row r="91" ht="15" customHeight="1">
      <c r="A91" s="86" t="n"/>
      <c r="I91" s="320" t="n"/>
    </row>
    <row r="92" ht="15" customHeight="1">
      <c r="A92" s="86" t="n"/>
      <c r="I92" s="320" t="n"/>
    </row>
    <row r="93" ht="15" customHeight="1">
      <c r="A93" s="86" t="n"/>
      <c r="I93" s="320" t="n"/>
    </row>
    <row r="94" ht="15" customHeight="1">
      <c r="A94" s="86" t="n"/>
      <c r="I94" s="320" t="n"/>
    </row>
    <row r="95" ht="15" customHeight="1" thickBot="1">
      <c r="A95" s="335" t="n"/>
      <c r="B95" s="336" t="n"/>
      <c r="C95" s="336" t="n"/>
      <c r="D95" s="336" t="n"/>
      <c r="E95" s="336" t="n"/>
      <c r="F95" s="336" t="n"/>
      <c r="G95" s="336" t="n"/>
      <c r="H95" s="336" t="n"/>
      <c r="I95" s="337" t="n"/>
    </row>
  </sheetData>
  <mergeCells count="42">
    <mergeCell ref="A65:I65"/>
    <mergeCell ref="A42:I45"/>
    <mergeCell ref="D13:F13"/>
    <mergeCell ref="G13:I13"/>
    <mergeCell ref="A46:I46"/>
    <mergeCell ref="B47:I47"/>
    <mergeCell ref="B8:D8"/>
    <mergeCell ref="A12:I12"/>
    <mergeCell ref="C53:I53"/>
    <mergeCell ref="A57:I57"/>
    <mergeCell ref="B48:I48"/>
    <mergeCell ref="A5:I5"/>
    <mergeCell ref="D37:I37"/>
    <mergeCell ref="C49:I49"/>
    <mergeCell ref="B9:D9"/>
    <mergeCell ref="B6:D6"/>
    <mergeCell ref="A62:I62"/>
    <mergeCell ref="D39:I39"/>
    <mergeCell ref="A52:I52"/>
    <mergeCell ref="B38:C38"/>
    <mergeCell ref="A13:C13"/>
    <mergeCell ref="A63:I63"/>
    <mergeCell ref="D38:I38"/>
    <mergeCell ref="A10:I10"/>
    <mergeCell ref="A1:I4"/>
    <mergeCell ref="B37:C37"/>
    <mergeCell ref="A40:I40"/>
    <mergeCell ref="C54:I54"/>
    <mergeCell ref="A58:I58"/>
    <mergeCell ref="B7:D7"/>
    <mergeCell ref="C55:I55"/>
    <mergeCell ref="C50:I50"/>
    <mergeCell ref="A59:I59"/>
    <mergeCell ref="A11:I11"/>
    <mergeCell ref="A60:I60"/>
    <mergeCell ref="C56:I56"/>
    <mergeCell ref="B51:I51"/>
    <mergeCell ref="A66:I95"/>
    <mergeCell ref="B36:C36"/>
    <mergeCell ref="A61:I61"/>
    <mergeCell ref="D36:I36"/>
    <mergeCell ref="A39:B3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44"/>
  <sheetViews>
    <sheetView view="pageBreakPreview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24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>
        <v>10</v>
      </c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n"/>
      <c r="H16" s="111" t="n"/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n"/>
      <c r="E28" s="112" t="n"/>
      <c r="F28" s="112" t="n"/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n"/>
      <c r="E29" s="112" t="n"/>
      <c r="F29" s="112" t="n"/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03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6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n"/>
      <c r="B32" s="115" t="n"/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4" t="n"/>
      <c r="B33" s="112" t="n"/>
      <c r="C33" s="111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Vehicles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Complete Basin Topsoil Strip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Commence General Site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Fortnightly Progress Meeting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Meet with Maritime Museum and confirmed vibration monitor location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Drainage Order Placed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 thickBot="1">
      <c r="A143" s="161" t="n"/>
      <c r="B143" s="336" t="n"/>
      <c r="C143" s="336" t="n"/>
      <c r="D143" s="336" t="n"/>
      <c r="E143" s="170" t="n"/>
      <c r="F143" s="336" t="n"/>
      <c r="G143" s="336" t="n"/>
      <c r="H143" s="336" t="n"/>
      <c r="I143" s="337" t="n"/>
    </row>
    <row r="144" ht="15" customHeight="1" thickBot="1">
      <c r="A144" s="144" t="n"/>
      <c r="B144" s="145" t="n"/>
      <c r="C144" s="145" t="n"/>
      <c r="D144" s="145" t="n"/>
      <c r="E144" s="145" t="n"/>
      <c r="F144" s="145" t="n"/>
      <c r="G144" s="145" t="n"/>
      <c r="H144" s="145" t="n"/>
      <c r="I144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A62:I62"/>
    <mergeCell ref="D39:I39"/>
    <mergeCell ref="B6:D6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0" min="0" max="8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view="pageBreakPreview" zoomScale="40" zoomScaleNormal="100" zoomScaleSheetLayoutView="40" workbookViewId="0">
      <selection activeCell="F33" sqref="F32:F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25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Katrine Dodd</t>
        </is>
      </c>
      <c r="H16" s="111" t="inlineStr">
        <is>
          <t>Cultural Spotter</t>
        </is>
      </c>
      <c r="I16" s="113" t="n">
        <v>1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n"/>
      <c r="H17" s="111" t="n"/>
      <c r="I17" s="113" t="n"/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2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n"/>
      <c r="B34" s="112" t="n"/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  <c r="J51" s="55" t="n">
        <v>14</v>
      </c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n"/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49" t="inlineStr">
        <is>
          <t>Ongoing General Site Vegetation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49" t="inlineStr">
        <is>
          <t>Yamaji Southern Corporation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Hard Barracading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Vibration Monitor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inlineStr">
        <is>
          <t>Gluon onsite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 thickBot="1">
      <c r="A71" s="149" t="inlineStr">
        <is>
          <t>Unknown Footing/ Pole discovered in ground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361" t="inlineStr">
        <is>
          <t>PHOTOS</t>
        </is>
      </c>
      <c r="B72" s="318" t="n"/>
      <c r="C72" s="318" t="n"/>
      <c r="D72" s="318" t="n"/>
      <c r="E72" s="318" t="n"/>
      <c r="F72" s="318" t="n"/>
      <c r="G72" s="318" t="n"/>
      <c r="H72" s="318" t="n"/>
      <c r="I72" s="31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 ht="15" customHeight="1" thickBot="1">
      <c r="A188" s="144" t="n"/>
      <c r="B188" s="145" t="n"/>
      <c r="C188" s="145" t="n"/>
      <c r="D188" s="145" t="n"/>
      <c r="E188" s="145" t="n"/>
      <c r="F188" s="145" t="n"/>
      <c r="G188" s="145" t="n"/>
      <c r="H188" s="145" t="n"/>
      <c r="I188" s="146" t="n"/>
    </row>
  </sheetData>
  <mergeCells count="42">
    <mergeCell ref="A65:I65"/>
    <mergeCell ref="D13:F13"/>
    <mergeCell ref="A144:D144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72:I72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E144:I14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1" min="0" max="8" man="1"/>
    <brk id="201" min="0" max="8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zoomScale="40" zoomScaleNormal="100" zoomScaleSheetLayoutView="40" workbookViewId="0">
      <selection activeCell="L33" sqref="L33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4.45312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28 degrees    Wind: 21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Jayden Brecz</t>
        </is>
      </c>
      <c r="H16" s="111" t="inlineStr">
        <is>
          <t>Service Locator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Greame Tuffloy</t>
        </is>
      </c>
      <c r="H17" s="111" t="inlineStr">
        <is>
          <t>Service Locator</t>
        </is>
      </c>
      <c r="I17" s="113" t="n">
        <v>8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n"/>
      <c r="H18" s="111" t="n"/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2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5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3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4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Loading and unloading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Geotech Consulant Engaged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Additional local sand sources explored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Smooth Drum/ Padfoot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0" t="inlineStr">
        <is>
          <t>Basecourse for access track onsite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49" t="inlineStr">
        <is>
          <t>Ongoing Vegetation Strip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49" t="inlineStr">
        <is>
          <t>Service location forrest street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49" t="inlineStr">
        <is>
          <t>Additional Temp Fencing onsite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49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49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3">
    <mergeCell ref="A65:I65"/>
    <mergeCell ref="D13:F13"/>
    <mergeCell ref="C52:I52"/>
    <mergeCell ref="G13:I13"/>
    <mergeCell ref="B54:I54"/>
    <mergeCell ref="A66:I66"/>
    <mergeCell ref="D41:I41"/>
    <mergeCell ref="B8:D8"/>
    <mergeCell ref="A55:I55"/>
    <mergeCell ref="A12:I12"/>
    <mergeCell ref="C57:I57"/>
    <mergeCell ref="C53:I53"/>
    <mergeCell ref="B39:C3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73:I73"/>
    <mergeCell ref="A49:I49"/>
    <mergeCell ref="A11:I11"/>
    <mergeCell ref="A145:D145"/>
    <mergeCell ref="A60:I60"/>
    <mergeCell ref="C56:I56"/>
    <mergeCell ref="B51:I51"/>
    <mergeCell ref="C59:I59"/>
    <mergeCell ref="D40:I4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zoomScale="40" zoomScaleNormal="100" zoomScaleSheetLayoutView="40" workbookViewId="0">
      <selection activeCell="G28" sqref="G2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29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Tody Crossdale</t>
        </is>
      </c>
      <c r="H17" s="111" t="inlineStr">
        <is>
          <t>Consultant</t>
        </is>
      </c>
      <c r="I17" s="113" t="n">
        <v>1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Greg Hipple</t>
        </is>
      </c>
      <c r="H18" s="111" t="inlineStr">
        <is>
          <t>Asbestos Consult</t>
        </is>
      </c>
      <c r="I18" s="113" t="n">
        <v>1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4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4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4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n"/>
      <c r="B35" s="112" t="n"/>
      <c r="C35" s="111" t="n"/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Asbestos Encountered in Soul Café Crossing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Potential Asbestos found onsite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Commence Soul Café Crossing Works dsirupted by found asbestos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Detailed topsoil strip in conjunction with Structerre Consultant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n"/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49" t="n"/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97"/>
  <sheetViews>
    <sheetView view="pageBreakPreview" topLeftCell="A67" zoomScale="40" zoomScaleNormal="100" zoomScaleSheetLayoutView="40" workbookViewId="0">
      <selection activeCell="A45" sqref="A45:I4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Greg Hipple</t>
        </is>
      </c>
      <c r="H17" s="111" t="inlineStr">
        <is>
          <t>Asbestos Consult</t>
        </is>
      </c>
      <c r="I17" s="113" t="n">
        <v>3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inlineStr">
        <is>
          <t>Skyline Services Setup Team</t>
        </is>
      </c>
      <c r="H19" s="111" t="inlineStr">
        <is>
          <t>Grader Setup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10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2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2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8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Barracading/ Public Interaction (Reinforced)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Topsoil Strip inspected by Structerre-Potential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47" t="n"/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52" t="inlineStr">
        <is>
          <t>PRODUCTION (CONSTRUCTION STATUS &amp; PROGRESS)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63" t="inlineStr">
        <is>
          <t>Seived Soil and Removed Asbestos from Soul Café Crossing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154" t="inlineStr">
        <is>
          <t>Completed Soul Café Crossing Works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First Delivery of Concrete Pipes onsite</t>
        </is>
      </c>
      <c r="B68" s="301" t="n"/>
      <c r="C68" s="301" t="n"/>
      <c r="D68" s="301" t="n"/>
      <c r="E68" s="301" t="n"/>
      <c r="F68" s="301" t="n"/>
      <c r="G68" s="301" t="n"/>
      <c r="H68" s="301" t="n"/>
      <c r="I68" s="302" t="n"/>
    </row>
    <row r="69" ht="25" customHeight="1">
      <c r="A69" s="154" t="inlineStr">
        <is>
          <t>Dug test pits in gravel area to establish gravel thicknesses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49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1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 ht="15" customHeight="1" thickBot="1">
      <c r="A197" s="144" t="n"/>
      <c r="B197" s="145" t="n"/>
      <c r="C197" s="145" t="n"/>
      <c r="D197" s="145" t="n"/>
      <c r="E197" s="145" t="n"/>
      <c r="F197" s="145" t="n"/>
      <c r="G197" s="145" t="n"/>
      <c r="H197" s="145" t="n"/>
      <c r="I197" s="146" t="n"/>
    </row>
  </sheetData>
  <mergeCells count="43">
    <mergeCell ref="A65:I65"/>
    <mergeCell ref="D13:F13"/>
    <mergeCell ref="C52:I52"/>
    <mergeCell ref="G13:I13"/>
    <mergeCell ref="B8:D8"/>
    <mergeCell ref="D41:I41"/>
    <mergeCell ref="B54:I54"/>
    <mergeCell ref="A66:I66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2" manualBreakCount="2">
    <brk id="70" min="0" max="8" man="1"/>
    <brk id="145" min="0" max="8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S199"/>
  <sheetViews>
    <sheetView view="pageBreakPreview" topLeftCell="A6" zoomScale="40" zoomScaleNormal="100" zoomScaleSheetLayoutView="40" workbookViewId="0">
      <selection activeCell="C17" sqref="C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4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1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5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9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363" t="inlineStr">
        <is>
          <t>Conducted Vibration Trials-Further investigation required on low vibration rolling, High Vibration Rolling to no longer be implemented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154" t="inlineStr">
        <is>
          <t>Removal of Stripped Vegetation</t>
        </is>
      </c>
      <c r="B66" s="301" t="n"/>
      <c r="C66" s="301" t="n"/>
      <c r="D66" s="301" t="n"/>
      <c r="E66" s="301" t="n"/>
      <c r="F66" s="301" t="n"/>
      <c r="G66" s="301" t="n"/>
      <c r="H66" s="301" t="n"/>
      <c r="I66" s="302" t="n"/>
    </row>
    <row r="67" ht="25" customHeight="1">
      <c r="A67" s="154" t="inlineStr">
        <is>
          <t>Commenced Exposure of basecourse in northern lots</t>
        </is>
      </c>
      <c r="B67" s="301" t="n"/>
      <c r="C67" s="301" t="n"/>
      <c r="D67" s="301" t="n"/>
      <c r="E67" s="301" t="n"/>
      <c r="F67" s="301" t="n"/>
      <c r="G67" s="301" t="n"/>
      <c r="H67" s="301" t="n"/>
      <c r="I67" s="302" t="n"/>
    </row>
    <row r="68" ht="25" customHeight="1">
      <c r="A68" s="154" t="inlineStr">
        <is>
          <t>Placed Fencing to Forrest Road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Proof Rolling to Lot 118 (Static Compaction only)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Initial Feedback Provided on APRA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Soul café Crossing Open to Public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 pick up of stripped area/ basecourse contaminated areas</t>
        </is>
      </c>
      <c r="B72" s="301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1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</sheetData>
  <mergeCells count="42">
    <mergeCell ref="A65:I65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73:I73"/>
    <mergeCell ref="A11:I11"/>
    <mergeCell ref="A49:I49"/>
    <mergeCell ref="C56:I56"/>
    <mergeCell ref="A145:D145"/>
    <mergeCell ref="D40:I40"/>
    <mergeCell ref="B51:I51"/>
    <mergeCell ref="C59:I59"/>
    <mergeCell ref="A60:I60"/>
    <mergeCell ref="A61:I61"/>
    <mergeCell ref="B41:C41"/>
    <mergeCell ref="B50:I50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72" min="0" max="8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zoomScale="40" zoomScaleNormal="100" zoomScaleSheetLayoutView="40" workbookViewId="0">
      <selection activeCell="D16" sqref="D16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45799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22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4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Positve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Removal of Stripped Vegetation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Removal/ Exposure of Basecourse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Approval of Keith Gregory Sand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Fence Removal Forrest Street Side</t>
        </is>
      </c>
      <c r="B69" s="301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54:I54"/>
    <mergeCell ref="D41:I41"/>
    <mergeCell ref="B8:D8"/>
    <mergeCell ref="E142:I142"/>
    <mergeCell ref="A55:I55"/>
    <mergeCell ref="A12:I12"/>
    <mergeCell ref="C57:I57"/>
    <mergeCell ref="C53:I53"/>
    <mergeCell ref="B39:C39"/>
    <mergeCell ref="A5:I5"/>
    <mergeCell ref="B9:D9"/>
    <mergeCell ref="A142:D142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47" zoomScale="40" zoomScaleNormal="100" zoomScaleSheetLayoutView="40" workbookViewId="0">
      <selection activeCell="D16" sqref="D16:D17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3mm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n"/>
      <c r="B18" s="111" t="n"/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>
        <v>10</v>
      </c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e">
        <v>#VALUE!</v>
      </c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Working around excavations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19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NDM of Foundation to Northern Lots</t>
        </is>
      </c>
      <c r="B65" s="301" t="n"/>
      <c r="C65" s="301" t="n"/>
      <c r="D65" s="301" t="n"/>
      <c r="E65" s="301" t="n"/>
      <c r="F65" s="301" t="n"/>
      <c r="G65" s="301" t="n"/>
      <c r="H65" s="301" t="n"/>
      <c r="I65" s="302" t="n"/>
    </row>
    <row r="66" ht="25" customHeight="1">
      <c r="A66" s="154" t="inlineStr">
        <is>
          <t>Mixing of basecourse with won clean material in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Pit Installs to Museum Place Line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APRA Feedback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Production affected by Rain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1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C34" sqref="C34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16 km/h  N 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9" t="n"/>
      <c r="H19" s="111" t="n"/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9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8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SUM(C28:C38,F28:F38)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Postive Comms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300mm Drainage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Discovery of old sewer line not on DBYD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15 km/h  N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21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Pipe into Western Culverts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TCD internal HSE audit Commenced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1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7" min="0" max="8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S196"/>
  <sheetViews>
    <sheetView view="pageBreakPreview" topLeftCell="A12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34.453125" customWidth="1" style="55" min="4" max="4"/>
    <col width="24.81640625" bestFit="1" customWidth="1" style="55" min="5" max="5"/>
    <col width="11.453125" bestFit="1" customWidth="1" style="55" min="6" max="6"/>
    <col width="47.36328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27 degrees    Wind: 33 km/h 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/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10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18" customHeight="1">
      <c r="A51" s="103" t="inlineStr">
        <is>
          <t>TCD - Daily Safety Focus:</t>
        </is>
      </c>
      <c r="B51" s="277" t="inlineStr">
        <is>
          <t>Lifting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Excavation of Northern Culvert Lines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Progress Meeting Onsite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Asbestos Discovered in Northern Lots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TCD internal HSE audit ongoing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 ht="15" customHeight="1" thickBot="1">
      <c r="A174" s="144" t="n"/>
      <c r="B174" s="145" t="n"/>
      <c r="C174" s="145" t="n"/>
      <c r="D174" s="145" t="n"/>
      <c r="E174" s="145" t="n"/>
      <c r="F174" s="145" t="n"/>
      <c r="G174" s="145" t="n"/>
      <c r="H174" s="145" t="n"/>
      <c r="I174" s="146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</sheetData>
  <mergeCells count="41">
    <mergeCell ref="D13:F13"/>
    <mergeCell ref="C52:I52"/>
    <mergeCell ref="G13:I13"/>
    <mergeCell ref="B8:D8"/>
    <mergeCell ref="D41:I41"/>
    <mergeCell ref="B54:I54"/>
    <mergeCell ref="E142:I142"/>
    <mergeCell ref="A55:I55"/>
    <mergeCell ref="A12:I12"/>
    <mergeCell ref="C57:I57"/>
    <mergeCell ref="B39:C39"/>
    <mergeCell ref="C53:I53"/>
    <mergeCell ref="A5:I5"/>
    <mergeCell ref="B9:D9"/>
    <mergeCell ref="A142:D142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70:I70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6" fitToHeight="0"/>
  <rowBreaks count="1" manualBreakCount="1">
    <brk id="69" min="0" max="8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S195"/>
  <sheetViews>
    <sheetView view="pageBreakPreview" topLeftCell="A40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19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25 degrees    Wind: 29 km/h  SW   Precip: 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5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7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10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10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Basecourse Identified in Lot 119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mixing of basecourse with clean won material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Placement of Liners and Pipework in Trench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Asbestos Removed in Northern Lots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TCD internal HSE audit Complete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8" min="0" max="8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18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21 km/h  S   Precip: 16mm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5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5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Rain Affected Day Minimal Production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Mudding of Pits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S194"/>
  <sheetViews>
    <sheetView view="pageBreakPreview" topLeftCell="A54" zoomScale="40" zoomScaleNormal="100" zoomScaleSheetLayoutView="40" workbookViewId="0">
      <selection activeCell="S84" sqref="S84:S85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45808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0.6666666666666666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15 km/h  S   Precip: 0.2mm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/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2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/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/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>
        <v>2</v>
      </c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/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/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JHA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Asbestos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Boxout of Road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Review Barracading for Long Weekend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</sheetData>
  <mergeCells count="41">
    <mergeCell ref="D13:F13"/>
    <mergeCell ref="C52:I52"/>
    <mergeCell ref="G13:I13"/>
    <mergeCell ref="B54:I54"/>
    <mergeCell ref="D41:I41"/>
    <mergeCell ref="A140:D140"/>
    <mergeCell ref="B8:D8"/>
    <mergeCell ref="A55:I55"/>
    <mergeCell ref="A12:I12"/>
    <mergeCell ref="C57:I57"/>
    <mergeCell ref="C53:I53"/>
    <mergeCell ref="B39:C39"/>
    <mergeCell ref="E140:I140"/>
    <mergeCell ref="A5:I5"/>
    <mergeCell ref="B9:D9"/>
    <mergeCell ref="B6:D6"/>
    <mergeCell ref="A62:I62"/>
    <mergeCell ref="D39:I39"/>
    <mergeCell ref="C58:I58"/>
    <mergeCell ref="A43:I43"/>
    <mergeCell ref="D42:I42"/>
    <mergeCell ref="A68:I68"/>
    <mergeCell ref="A63:I63"/>
    <mergeCell ref="A13:C1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67" min="0" max="8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S171"/>
  <sheetViews>
    <sheetView view="pageBreakPreview" topLeftCell="A90" zoomScale="40" zoomScaleNormal="100" zoomScaleSheetLayoutView="40" workbookViewId="0">
      <selection activeCell="G38" sqref="G38"/>
    </sheetView>
  </sheetViews>
  <sheetFormatPr baseColWidth="8" defaultColWidth="9.1796875" defaultRowHeight="14.5"/>
  <cols>
    <col width="62.1796875" bestFit="1" customWidth="1" style="55" min="1" max="1"/>
    <col width="29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0.7291666666666666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 NW   Precip: 37.6mm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10.5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10.5</v>
      </c>
    </row>
    <row r="17" ht="22.5" customHeight="1">
      <c r="A17" s="110" t="inlineStr">
        <is>
          <t>GRIFFITHS, Ashley</t>
        </is>
      </c>
      <c r="B17" s="111" t="inlineStr">
        <is>
          <t>Supervisor</t>
        </is>
      </c>
      <c r="C17" s="112" t="n">
        <v>10.5</v>
      </c>
      <c r="D17" s="126" t="n"/>
      <c r="E17" s="126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10.5</v>
      </c>
    </row>
    <row r="18" ht="22.5" customHeight="1">
      <c r="A18" s="110" t="inlineStr">
        <is>
          <t>LOW, June</t>
        </is>
      </c>
      <c r="B18" s="111" t="inlineStr">
        <is>
          <t>HSET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n"/>
      <c r="B19" s="111" t="n"/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10.5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3" customHeight="1">
      <c r="A22" s="90" t="inlineStr">
        <is>
          <t xml:space="preserve">Total Indirect Personnel onsite: </t>
        </is>
      </c>
      <c r="B22" s="130">
        <f>COUNTIF(C15:C21,"&gt;0")</f>
        <v/>
      </c>
      <c r="C22" s="126" t="n"/>
      <c r="D22" s="126" t="n"/>
      <c r="E22" s="126" t="n"/>
      <c r="F22" s="111" t="n"/>
      <c r="G22" s="283" t="inlineStr">
        <is>
          <t>Total Subcontractor on-site:</t>
        </is>
      </c>
      <c r="H22" s="131">
        <f>COUNTIF(I15:I21,"&gt;0")</f>
        <v/>
      </c>
      <c r="I22" s="113" t="n"/>
    </row>
    <row r="23" ht="23" customHeight="1">
      <c r="A23" s="90" t="inlineStr">
        <is>
          <t xml:space="preserve">Total Indirect Personnel hours: </t>
        </is>
      </c>
      <c r="B23" s="130">
        <f>SUM(C15:C21)</f>
        <v/>
      </c>
      <c r="C23" s="112" t="n"/>
      <c r="D23" s="126" t="n"/>
      <c r="E23" s="126" t="n"/>
      <c r="F23" s="111" t="n"/>
      <c r="G23" s="283" t="inlineStr">
        <is>
          <t>Total Subcontractor hours:</t>
        </is>
      </c>
      <c r="H23" s="131">
        <f>SUM(I15:I21)</f>
        <v/>
      </c>
      <c r="I23" s="113" t="n"/>
    </row>
    <row r="24" ht="23" customHeight="1">
      <c r="A24" s="90" t="inlineStr">
        <is>
          <t xml:space="preserve">Total Direct Personnel onsite:  </t>
        </is>
      </c>
      <c r="B24" s="130">
        <f>COUNTIF(F15:F25,"&gt;0")</f>
        <v/>
      </c>
      <c r="C24" s="130" t="n"/>
      <c r="D24" s="126" t="n"/>
      <c r="E24" s="126" t="n"/>
      <c r="F24" s="132" t="n"/>
      <c r="G24" s="283" t="n"/>
      <c r="H24" s="131" t="n"/>
      <c r="I24" s="133" t="n"/>
    </row>
    <row r="25" ht="23" customHeight="1">
      <c r="A25" s="90" t="inlineStr">
        <is>
          <t xml:space="preserve">Total Direct Personnel hours: </t>
        </is>
      </c>
      <c r="B25" s="130">
        <f>SUM(F15:F25)</f>
        <v/>
      </c>
      <c r="C25" s="130" t="n"/>
      <c r="D25" s="130" t="n"/>
      <c r="E25" s="130" t="n"/>
      <c r="F25" s="130" t="n"/>
      <c r="G25" s="130" t="n"/>
      <c r="H25" s="130" t="n"/>
      <c r="I25" s="133" t="n"/>
    </row>
    <row r="26" ht="25" customHeight="1">
      <c r="A26" s="91" t="inlineStr">
        <is>
          <t>PLANT &amp; EQUIPMENT</t>
        </is>
      </c>
      <c r="B26" s="10" t="n"/>
      <c r="C26" s="10" t="n"/>
      <c r="D26" s="10" t="n"/>
      <c r="E26" s="10" t="n"/>
      <c r="F26" s="10" t="n"/>
      <c r="G26" s="10" t="n"/>
      <c r="H26" s="10" t="n"/>
      <c r="I26" s="11" t="n"/>
    </row>
    <row r="27" ht="23" customHeight="1">
      <c r="A27" s="273" t="inlineStr">
        <is>
          <t>Plant</t>
        </is>
      </c>
      <c r="B27" s="274" t="inlineStr">
        <is>
          <t>ID</t>
        </is>
      </c>
      <c r="C27" s="274" t="inlineStr">
        <is>
          <t>Hours</t>
        </is>
      </c>
      <c r="D27" s="274" t="inlineStr">
        <is>
          <t xml:space="preserve"> Vehicles</t>
        </is>
      </c>
      <c r="E27" s="274" t="inlineStr">
        <is>
          <t>ID</t>
        </is>
      </c>
      <c r="F27" s="274" t="inlineStr">
        <is>
          <t>QTY</t>
        </is>
      </c>
      <c r="G27" s="108" t="inlineStr">
        <is>
          <t>Site Facilities</t>
        </is>
      </c>
      <c r="H27" s="108" t="inlineStr">
        <is>
          <t>ID</t>
        </is>
      </c>
      <c r="I27" s="109" t="inlineStr">
        <is>
          <t>Qty</t>
        </is>
      </c>
    </row>
    <row r="28" ht="22.5" customHeight="1">
      <c r="A28" s="110" t="inlineStr">
        <is>
          <t>Komatsu WA320</t>
        </is>
      </c>
      <c r="B28" s="111" t="inlineStr">
        <is>
          <t>FWL18</t>
        </is>
      </c>
      <c r="C28" s="111" t="n">
        <v>8</v>
      </c>
      <c r="D28" s="112" t="inlineStr">
        <is>
          <t>Hilux</t>
        </is>
      </c>
      <c r="E28" s="112" t="inlineStr">
        <is>
          <t>DLV90</t>
        </is>
      </c>
      <c r="F28" s="112" t="n">
        <v>1</v>
      </c>
      <c r="G28" s="112" t="inlineStr">
        <is>
          <t>Office 40ft</t>
        </is>
      </c>
      <c r="H28" s="112" t="n">
        <v>9255540</v>
      </c>
      <c r="I28" s="113" t="n">
        <v>1</v>
      </c>
    </row>
    <row r="29" ht="22.5" customHeight="1">
      <c r="A29" s="110" t="inlineStr">
        <is>
          <t>Wacker Neuson DPU</t>
        </is>
      </c>
      <c r="B29" s="111" t="inlineStr">
        <is>
          <t>DPC15</t>
        </is>
      </c>
      <c r="C29" s="111" t="n">
        <v>6</v>
      </c>
      <c r="D29" s="112" t="inlineStr">
        <is>
          <t>6 Wheel Tipper</t>
        </is>
      </c>
      <c r="E29" s="112" t="inlineStr">
        <is>
          <t>AMG04</t>
        </is>
      </c>
      <c r="F29" s="112" t="n">
        <v>1</v>
      </c>
      <c r="G29" s="112" t="inlineStr">
        <is>
          <t>Sea Container 20ft</t>
        </is>
      </c>
      <c r="H29" s="111" t="n">
        <v>951200</v>
      </c>
      <c r="I29" s="113" t="n">
        <v>1</v>
      </c>
    </row>
    <row r="30" ht="22.5" customHeight="1">
      <c r="A30" s="114" t="inlineStr">
        <is>
          <t>Positrak</t>
        </is>
      </c>
      <c r="B30" s="112" t="inlineStr">
        <is>
          <t>AMG 025</t>
        </is>
      </c>
      <c r="C30" s="111" t="n">
        <v>8</v>
      </c>
      <c r="D30" s="112" t="n"/>
      <c r="E30" s="111" t="n"/>
      <c r="F30" s="112" t="n"/>
      <c r="G30" s="112" t="inlineStr">
        <is>
          <t>Site Sentry Tower</t>
        </is>
      </c>
      <c r="H30" s="112" t="n"/>
      <c r="I30" s="113" t="n">
        <v>2</v>
      </c>
    </row>
    <row r="31" ht="22.5" customHeight="1">
      <c r="A31" s="114" t="inlineStr">
        <is>
          <t>Watercart</t>
        </is>
      </c>
      <c r="B31" s="112" t="inlineStr">
        <is>
          <t>WC04</t>
        </is>
      </c>
      <c r="C31" s="111" t="n"/>
      <c r="D31" s="112" t="n"/>
      <c r="E31" s="112" t="n"/>
      <c r="F31" s="112" t="n"/>
      <c r="G31" s="112" t="inlineStr">
        <is>
          <t>Skip Bin</t>
        </is>
      </c>
      <c r="H31" s="112" t="n"/>
      <c r="I31" s="113" t="n">
        <v>1</v>
      </c>
    </row>
    <row r="32" ht="22.5" customHeight="1">
      <c r="A32" s="114" t="inlineStr">
        <is>
          <t>8T Excavator</t>
        </is>
      </c>
      <c r="B32" s="115" t="inlineStr">
        <is>
          <t>AMG 014</t>
        </is>
      </c>
      <c r="C32" s="111" t="n">
        <v>10</v>
      </c>
      <c r="D32" s="112" t="n"/>
      <c r="E32" s="112" t="n"/>
      <c r="F32" s="112" t="n"/>
      <c r="G32" s="112" t="inlineStr">
        <is>
          <t>Hydrocarbon Bund</t>
        </is>
      </c>
      <c r="H32" s="112" t="n"/>
      <c r="I32" s="113" t="n">
        <v>1</v>
      </c>
    </row>
    <row r="33" ht="22.5" customHeight="1">
      <c r="A33" s="112" t="inlineStr">
        <is>
          <t>6 Wheel Tipper</t>
        </is>
      </c>
      <c r="B33" s="112" t="inlineStr">
        <is>
          <t>AMG 008</t>
        </is>
      </c>
      <c r="C33" s="112" t="n"/>
      <c r="D33" s="112" t="n"/>
      <c r="E33" s="112" t="n"/>
      <c r="F33" s="112" t="n"/>
      <c r="G33" s="112" t="inlineStr">
        <is>
          <t>Temp Fence</t>
        </is>
      </c>
      <c r="H33" s="111" t="n"/>
      <c r="I33" s="113" t="n">
        <v>1</v>
      </c>
    </row>
    <row r="34" ht="23.5" customHeight="1">
      <c r="A34" s="114" t="inlineStr">
        <is>
          <t>Padfoot/ Smooth Drum Roller</t>
        </is>
      </c>
      <c r="B34" s="112" t="inlineStr">
        <is>
          <t>RR 03</t>
        </is>
      </c>
      <c r="C34" s="111" t="n">
        <v>5</v>
      </c>
      <c r="D34" s="112" t="n"/>
      <c r="E34" s="112" t="n"/>
      <c r="F34" s="112" t="n"/>
      <c r="G34" s="116" t="n"/>
      <c r="H34" s="116" t="n"/>
      <c r="I34" s="117" t="n"/>
    </row>
    <row r="35" ht="22.5" customHeight="1">
      <c r="A35" s="114" t="inlineStr">
        <is>
          <t>Grader</t>
        </is>
      </c>
      <c r="B35" s="112" t="inlineStr">
        <is>
          <t>SLS01</t>
        </is>
      </c>
      <c r="C35" s="111" t="n">
        <v>2</v>
      </c>
      <c r="D35" s="112" t="n"/>
      <c r="E35" s="112" t="n"/>
      <c r="F35" s="112" t="n"/>
      <c r="G35" s="112" t="n"/>
      <c r="H35" s="111" t="n"/>
      <c r="I35" s="113" t="n"/>
    </row>
    <row r="36" ht="22.5" customHeight="1">
      <c r="A36" s="114" t="n"/>
      <c r="B36" s="112" t="n"/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SUM(C28:C38)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Wet Weather Controls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Complete Boxout of basecourse in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Unable to continue with grader works in northern lots due to wet weather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wroks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Commence Backfill of drainage lines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Trial Pad Completed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</sheetData>
  <mergeCells count="41"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71:I71"/>
    <mergeCell ref="A5:I5"/>
    <mergeCell ref="A143:D143"/>
    <mergeCell ref="E143:I143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5" fitToHeight="0"/>
  <rowBreaks count="1" manualBreakCount="1">
    <brk id="70" min="0" max="8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S204"/>
  <sheetViews>
    <sheetView view="pageBreakPreview" zoomScale="40" zoomScaleNormal="100" zoomScaleSheetLayoutView="40" workbookViewId="0">
      <selection activeCell="D29" sqref="D2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35 km/h  NW   Precip: 20.4mm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11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1</v>
      </c>
      <c r="B40" s="278" t="inlineStr">
        <is>
          <t>Scheduled Service</t>
        </is>
      </c>
      <c r="C40" s="325" t="n"/>
      <c r="D40" s="355" t="inlineStr">
        <is>
          <t>Grader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 xml:space="preserve">Grader Offline for Service while limited work fronts are available 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Loader Blend of Basecourse with Fill Material Lot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Grader Works Stopped to prevent worsening of site conditions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Trial pad results back methodology to follow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Unable to commence carpark works due to wet weather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Excavation to Northern Drainage Line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Removal of Vegitation and Waste from Site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.5" customHeight="1" thickBot="1">
      <c r="A71" s="354" t="inlineStr">
        <is>
          <t>PHOTOS</t>
        </is>
      </c>
      <c r="B71" s="330" t="n"/>
      <c r="C71" s="330" t="n"/>
      <c r="D71" s="330" t="n"/>
      <c r="E71" s="330" t="n"/>
      <c r="F71" s="330" t="n"/>
      <c r="G71" s="330" t="n"/>
      <c r="H71" s="330" t="n"/>
      <c r="I71" s="331" t="n"/>
    </row>
    <row r="72" ht="22.5" customHeight="1">
      <c r="A72" s="87" t="n"/>
      <c r="B72" s="88" t="n"/>
      <c r="C72" s="88" t="n"/>
      <c r="D72" s="88" t="n"/>
      <c r="E72" s="88" t="n"/>
      <c r="F72" s="88" t="n"/>
      <c r="G72" s="88" t="n"/>
      <c r="H72" s="88" t="n"/>
      <c r="I72" s="89" t="n"/>
    </row>
    <row r="73" ht="22.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25" customFormat="1" customHeight="1" s="6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 thickBot="1">
      <c r="A110" s="155" t="n"/>
      <c r="B110" s="156" t="n"/>
      <c r="C110" s="156" t="n"/>
      <c r="D110" s="156" t="n"/>
      <c r="E110" s="156" t="n"/>
      <c r="F110" s="156" t="n"/>
      <c r="G110" s="156" t="n"/>
      <c r="H110" s="156" t="n"/>
      <c r="I110" s="15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8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 thickBo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  <c r="J135" s="78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6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30.75" customHeight="1">
      <c r="A143" s="255" t="n"/>
      <c r="E143" s="256" t="n"/>
      <c r="I143" s="320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 ht="15" customHeight="1" thickBot="1">
      <c r="A204" s="144" t="n"/>
      <c r="B204" s="145" t="n"/>
      <c r="C204" s="145" t="n"/>
      <c r="D204" s="145" t="n"/>
      <c r="E204" s="145" t="n"/>
      <c r="F204" s="145" t="n"/>
      <c r="G204" s="145" t="n"/>
      <c r="H204" s="145" t="n"/>
      <c r="I204" s="146" t="n"/>
    </row>
  </sheetData>
  <mergeCells count="41">
    <mergeCell ref="D13:F13"/>
    <mergeCell ref="C52:I52"/>
    <mergeCell ref="G13:I13"/>
    <mergeCell ref="B54:I54"/>
    <mergeCell ref="D41:I41"/>
    <mergeCell ref="B8:D8"/>
    <mergeCell ref="A55:I55"/>
    <mergeCell ref="A12:I12"/>
    <mergeCell ref="C57:I57"/>
    <mergeCell ref="C53:I53"/>
    <mergeCell ref="B39:C39"/>
    <mergeCell ref="A71:I71"/>
    <mergeCell ref="A5:I5"/>
    <mergeCell ref="A143:D143"/>
    <mergeCell ref="E143:I143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0" min="0" max="8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12" sqref="A12:I1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37 km/h  S   Precip: 8 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8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>
        <v>10</v>
      </c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 xml:space="preserve">Issues with existing basecourse in lots identified
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Potential issue identified with existing gravel carpark tbc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Mix material to Eastern Boundary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Laying of Drainage Line Northerns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355" t="inlineStr">
        <is>
          <t>Minor Hydrocarbon. Cleaned up waste to be taken off site in Hydrocarbon IBC at the end of project</t>
        </is>
      </c>
      <c r="B67" s="324" t="n"/>
      <c r="C67" s="324" t="n"/>
      <c r="D67" s="324" t="n"/>
      <c r="E67" s="324" t="n"/>
      <c r="F67" s="324" t="n"/>
      <c r="G67" s="327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2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67:G67"/>
    <mergeCell ref="A5:I5"/>
    <mergeCell ref="B9:D9"/>
    <mergeCell ref="B6:D6"/>
    <mergeCell ref="D39:I39"/>
    <mergeCell ref="A62:I62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D22" sqref="D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22 degrees    Wind: 39 km/h  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4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5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Seatbelts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CoGG Onsite to Inpsect Drainage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Watercorp Startup Meeting/ Working Near Sewer Pressure Main discussion onsite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Rolled Mixed Material and Level Lots 119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Installation Northern 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NDM Testing to Northern Lots and Lot 199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 xml:space="preserve">Conditioned basecouse for 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A62:I62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C56:I56"/>
    <mergeCell ref="A60:I60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F36" sqref="F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26 degrees    Wind: 43 km/h 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1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Issues with existing basecourse in lots identified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Control of Vehicle Movement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181" t="inlineStr">
        <is>
          <t>Basecourse Cleared From Lot Boundary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5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Compaction Test Results to lot 119 and mixed material returned conforming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Drainage line to Northern Lots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Placement of fill to Northern Lots Approx 500t installed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44 km/h  WSW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/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Backfill of Trenches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2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45819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28 km/h  E   Precip: 0.4mm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29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inlineStr">
        <is>
          <t>Progress Meeting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Drainage Patching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1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29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21 degrees    Wind: 33 km/h NE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Movements Internal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347" t="n"/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1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A62:I62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A68" sqref="A68:I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0.625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24 km/h W 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8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8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/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inlineStr">
        <is>
          <t>Removed Fence to Northern Lots
Installed Temp Fence
Test Pitted Area for Gravel</t>
        </is>
      </c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Manual Handling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32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n"/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Carpark Repairs Patch Holes near Station Platform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view="pageBreakPreview" zoomScale="40" zoomScaleNormal="100" zoomScaleSheetLayoutView="40" workbookViewId="0">
      <selection activeCell="D36" sqref="D3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30 km/h NE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9" t="n"/>
      <c r="H20" s="111" t="n"/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SIMOPS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33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 Excavation of Gravel to Northern Lots Strip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Removal of Dust Fence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.5" customHeight="1" thickBot="1">
      <c r="A68" s="354" t="inlineStr">
        <is>
          <t>PHOTOS</t>
        </is>
      </c>
      <c r="B68" s="330" t="n"/>
      <c r="C68" s="330" t="n"/>
      <c r="D68" s="330" t="n"/>
      <c r="E68" s="330" t="n"/>
      <c r="F68" s="330" t="n"/>
      <c r="G68" s="330" t="n"/>
      <c r="H68" s="330" t="n"/>
      <c r="I68" s="331" t="n"/>
    </row>
    <row r="69" ht="22.5" customHeight="1">
      <c r="A69" s="87" t="n"/>
      <c r="B69" s="88" t="n"/>
      <c r="C69" s="88" t="n"/>
      <c r="D69" s="88" t="n"/>
      <c r="E69" s="88" t="n"/>
      <c r="F69" s="88" t="n"/>
      <c r="G69" s="88" t="n"/>
      <c r="H69" s="88" t="n"/>
      <c r="I69" s="89" t="n"/>
    </row>
    <row r="70" ht="22.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25" customFormat="1" customHeight="1" s="6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 thickBot="1">
      <c r="A107" s="155" t="n"/>
      <c r="B107" s="156" t="n"/>
      <c r="C107" s="156" t="n"/>
      <c r="D107" s="156" t="n"/>
      <c r="E107" s="156" t="n"/>
      <c r="F107" s="156" t="n"/>
      <c r="G107" s="156" t="n"/>
      <c r="H107" s="156" t="n"/>
      <c r="I107" s="15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2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28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 thickBo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  <c r="J132" s="78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6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30.75" customHeight="1">
      <c r="A140" s="255" t="n"/>
      <c r="E140" s="256" t="n"/>
      <c r="I140" s="320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 ht="15" customHeight="1" thickBot="1">
      <c r="A194" s="144" t="n"/>
      <c r="B194" s="145" t="n"/>
      <c r="C194" s="145" t="n"/>
      <c r="D194" s="145" t="n"/>
      <c r="E194" s="145" t="n"/>
      <c r="F194" s="145" t="n"/>
      <c r="G194" s="145" t="n"/>
      <c r="H194" s="145" t="n"/>
      <c r="I194" s="146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 ht="15" customHeight="1" thickBot="1">
      <c r="A201" s="144" t="n"/>
      <c r="B201" s="145" t="n"/>
      <c r="C201" s="145" t="n"/>
      <c r="D201" s="145" t="n"/>
      <c r="E201" s="145" t="n"/>
      <c r="F201" s="145" t="n"/>
      <c r="G201" s="145" t="n"/>
      <c r="H201" s="145" t="n"/>
      <c r="I201" s="146" t="n"/>
    </row>
  </sheetData>
  <mergeCells count="40">
    <mergeCell ref="D13:F13"/>
    <mergeCell ref="C52:I52"/>
    <mergeCell ref="G13:I13"/>
    <mergeCell ref="B8:D8"/>
    <mergeCell ref="D41:I41"/>
    <mergeCell ref="B54:I54"/>
    <mergeCell ref="A140:D140"/>
    <mergeCell ref="A55:I55"/>
    <mergeCell ref="A12:I12"/>
    <mergeCell ref="C57:I57"/>
    <mergeCell ref="B39:C39"/>
    <mergeCell ref="C53:I53"/>
    <mergeCell ref="E140:I140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68:I68"/>
    <mergeCell ref="A10:I10"/>
    <mergeCell ref="A1:I4"/>
    <mergeCell ref="A45:I48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7" min="0" max="8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S200"/>
  <sheetViews>
    <sheetView view="pageBreakPreview" zoomScale="40" zoomScaleNormal="100" zoomScaleSheetLayoutView="40" workbookViewId="0">
      <selection activeCell="C21" sqref="C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24 degrees    Wind: 48 km/h N  Precip: 0mm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34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Breaking up of gravel along Fenceline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.5" customHeight="1" thickBot="1">
      <c r="A67" s="354" t="inlineStr">
        <is>
          <t>PHOTOS</t>
        </is>
      </c>
      <c r="B67" s="330" t="n"/>
      <c r="C67" s="330" t="n"/>
      <c r="D67" s="330" t="n"/>
      <c r="E67" s="330" t="n"/>
      <c r="F67" s="330" t="n"/>
      <c r="G67" s="330" t="n"/>
      <c r="H67" s="330" t="n"/>
      <c r="I67" s="331" t="n"/>
    </row>
    <row r="68" ht="22.5" customHeight="1">
      <c r="A68" s="87" t="n"/>
      <c r="B68" s="88" t="n"/>
      <c r="C68" s="88" t="n"/>
      <c r="D68" s="88" t="n"/>
      <c r="E68" s="88" t="n"/>
      <c r="F68" s="88" t="n"/>
      <c r="G68" s="88" t="n"/>
      <c r="H68" s="88" t="n"/>
      <c r="I68" s="89" t="n"/>
    </row>
    <row r="69" ht="22.5" customHeight="1">
      <c r="A69" s="65" t="n"/>
      <c r="B69" s="66" t="n"/>
      <c r="C69" s="66" t="n"/>
      <c r="D69" s="66" t="n"/>
      <c r="E69" s="66" t="n"/>
      <c r="F69" s="66" t="n"/>
      <c r="G69" s="66" t="n"/>
      <c r="H69" s="66" t="n"/>
      <c r="I69" s="67" t="n"/>
    </row>
    <row r="70" ht="15" customHeight="1">
      <c r="A70" s="65" t="n"/>
      <c r="B70" s="66" t="n"/>
      <c r="C70" s="66" t="n"/>
      <c r="D70" s="66" t="n"/>
      <c r="E70" s="66" t="n"/>
      <c r="F70" s="66" t="n"/>
      <c r="G70" s="66" t="n"/>
      <c r="H70" s="66" t="n"/>
      <c r="I70" s="67" t="n"/>
    </row>
    <row r="71" ht="1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25" customFormat="1" customHeight="1" s="6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 thickBot="1">
      <c r="A106" s="155" t="n"/>
      <c r="B106" s="156" t="n"/>
      <c r="C106" s="156" t="n"/>
      <c r="D106" s="156" t="n"/>
      <c r="E106" s="156" t="n"/>
      <c r="F106" s="156" t="n"/>
      <c r="G106" s="156" t="n"/>
      <c r="H106" s="156" t="n"/>
      <c r="I106" s="15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2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8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 thickBo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  <c r="J131" s="78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6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30.75" customHeight="1">
      <c r="A139" s="255" t="n"/>
      <c r="E139" s="256" t="n"/>
      <c r="I139" s="320" t="n"/>
    </row>
    <row r="140">
      <c r="A140" s="152" t="n"/>
      <c r="I140" s="153" t="n"/>
    </row>
    <row r="141">
      <c r="A141" s="152" t="n"/>
      <c r="I141" s="153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 ht="15" customHeight="1" thickBot="1">
      <c r="A193" s="144" t="n"/>
      <c r="B193" s="145" t="n"/>
      <c r="C193" s="145" t="n"/>
      <c r="D193" s="145" t="n"/>
      <c r="E193" s="145" t="n"/>
      <c r="F193" s="145" t="n"/>
      <c r="G193" s="145" t="n"/>
      <c r="H193" s="145" t="n"/>
      <c r="I193" s="146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</sheetData>
  <mergeCells count="40">
    <mergeCell ref="E139:I139"/>
    <mergeCell ref="D13:F13"/>
    <mergeCell ref="C52:I52"/>
    <mergeCell ref="G13:I13"/>
    <mergeCell ref="B8:D8"/>
    <mergeCell ref="D41:I41"/>
    <mergeCell ref="B54:I54"/>
    <mergeCell ref="A55:I55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A42:B42"/>
    <mergeCell ref="A67:I67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A139:D139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6" min="0" max="8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61 km/h N  Precip: 31.6mm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Public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35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Foundation Prep Along Fence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Sump Works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Locate Joints of SPM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30 km/h N  Precip: 0.6mm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36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Power Startup Meeting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Location of Addional Services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Patching Drainage lines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68" sqref="A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45828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23 degrees    Wind: 67 km/h N  Precip: 8mm (Geraldton Airport)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6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8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6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6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6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6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3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6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6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Truck Routes Onsite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37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Works Stopped Early Due to Heavy Rain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APRA Signed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Placement of fill to Northern Lots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Watercorp Pipelaying Course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Rocking Drainge Sump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V138" sqref="V13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>Temperature: 19 degrees    Wind: 41 km/h SE  Precip: 3.4mm (31mm encountered over the weekend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No worksover the weekend due to weather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Mitigating Water to allow trucks to safely passage through site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AC31" sqref="AC3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44 km/h SE 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/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Managing Weather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38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n"/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G37" sqref="G37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39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35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10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/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10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 interaction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inlineStr">
        <is>
          <t>Progress Meeting</t>
        </is>
      </c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inlineStr">
        <is>
          <t>Meet with watercorp to discuss shutdown-Potential shutdown days to be confirmed. Costs to be completed by WC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Import Fill to Lot 199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Fencing to Baily Street End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Inspect pressure main to confirm diameter of pipe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C52:I52"/>
    <mergeCell ref="G13:I13"/>
    <mergeCell ref="B54:I54"/>
    <mergeCell ref="D41:I41"/>
    <mergeCell ref="B8:D8"/>
    <mergeCell ref="A55:I55"/>
    <mergeCell ref="A12:I12"/>
    <mergeCell ref="E141:I141"/>
    <mergeCell ref="C57:I57"/>
    <mergeCell ref="C53:I53"/>
    <mergeCell ref="B39:C39"/>
    <mergeCell ref="A69:I69"/>
    <mergeCell ref="A5:I5"/>
    <mergeCell ref="B9:D9"/>
    <mergeCell ref="B6:D6"/>
    <mergeCell ref="D39:I39"/>
    <mergeCell ref="C58:I58"/>
    <mergeCell ref="A43:I43"/>
    <mergeCell ref="D42:I42"/>
    <mergeCell ref="A13:C13"/>
    <mergeCell ref="A63:I63"/>
    <mergeCell ref="A10:I10"/>
    <mergeCell ref="A45:I48"/>
    <mergeCell ref="A1:I4"/>
    <mergeCell ref="A42:B42"/>
    <mergeCell ref="B40:C40"/>
    <mergeCell ref="B7:D7"/>
    <mergeCell ref="A64:I64"/>
    <mergeCell ref="A49:I49"/>
    <mergeCell ref="A11:I11"/>
    <mergeCell ref="A60:I60"/>
    <mergeCell ref="C56:I56"/>
    <mergeCell ref="B51:I51"/>
    <mergeCell ref="D40:I40"/>
    <mergeCell ref="C59:I59"/>
    <mergeCell ref="A61:I61"/>
    <mergeCell ref="B41:C41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26" zoomScale="40" zoomScaleNormal="100" zoomScaleSheetLayoutView="40" workbookViewId="0">
      <selection activeCell="E66" sqref="E6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21 degrees    Wind: 22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3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2.5" customHeight="1">
      <c r="A36" s="114" t="inlineStr">
        <is>
          <t>Grader</t>
        </is>
      </c>
      <c r="B36" s="112" t="inlineStr">
        <is>
          <t>SLS01</t>
        </is>
      </c>
      <c r="C36" s="111" t="n">
        <v>10</v>
      </c>
      <c r="D36" s="112" t="n"/>
      <c r="E36" s="112" t="n"/>
      <c r="F36" s="112" t="n"/>
      <c r="G36" s="112" t="n"/>
      <c r="H36" s="111" t="n"/>
      <c r="I36" s="113" t="n"/>
    </row>
    <row r="37" ht="22.5" customHeight="1">
      <c r="A37" s="114" t="n"/>
      <c r="B37" s="112" t="n"/>
      <c r="C37" s="111" t="n"/>
      <c r="D37" s="112" t="n"/>
      <c r="E37" s="112" t="n"/>
      <c r="F37" s="112" t="n"/>
      <c r="G37" s="112" t="n"/>
      <c r="H37" s="111" t="n"/>
      <c r="I37" s="113" t="n"/>
    </row>
    <row r="38" ht="23.5" customHeight="1">
      <c r="A38" s="114" t="n"/>
      <c r="B38" s="112" t="n"/>
      <c r="C38" s="111" t="n"/>
      <c r="D38" s="116" t="n"/>
      <c r="E38" s="116" t="n"/>
      <c r="F38" s="116" t="n"/>
      <c r="G38" s="116" t="n"/>
      <c r="H38" s="116" t="n"/>
      <c r="I38" s="117" t="n"/>
    </row>
    <row r="39" ht="18" customHeight="1">
      <c r="A39" s="118" t="n">
        <v>0</v>
      </c>
      <c r="B39" s="278" t="inlineStr">
        <is>
          <t xml:space="preserve">Repairs Required </t>
        </is>
      </c>
      <c r="C39" s="325" t="n"/>
      <c r="D39" s="355" t="inlineStr">
        <is>
          <t>N/A</t>
        </is>
      </c>
      <c r="E39" s="324" t="n"/>
      <c r="F39" s="324" t="n"/>
      <c r="G39" s="324" t="n"/>
      <c r="H39" s="324" t="n"/>
      <c r="I39" s="327" t="n"/>
    </row>
    <row r="40" ht="18" customHeight="1">
      <c r="A40" s="119" t="n">
        <v>0</v>
      </c>
      <c r="B40" s="278" t="inlineStr">
        <is>
          <t>Scheduled Service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20" t="n">
        <v>0</v>
      </c>
      <c r="B41" s="278" t="inlineStr">
        <is>
          <t>Repairs required but operable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23" customHeight="1">
      <c r="A42" s="90" t="inlineStr">
        <is>
          <t xml:space="preserve">Total Plant and Equipment Hours: </t>
        </is>
      </c>
      <c r="B42" s="325" t="n"/>
      <c r="C42" s="284">
        <f>SUM(C29:C38)</f>
        <v/>
      </c>
      <c r="D42" s="275" t="n"/>
      <c r="E42" s="324" t="n"/>
      <c r="F42" s="324" t="n"/>
      <c r="G42" s="324" t="n"/>
      <c r="H42" s="324" t="n"/>
      <c r="I42" s="327" t="n"/>
    </row>
    <row r="43" ht="25" customHeight="1">
      <c r="A43" s="352" t="inlineStr">
        <is>
          <t>DELAYS-OPPORTUNITY</t>
        </is>
      </c>
      <c r="B43" s="324" t="n"/>
      <c r="C43" s="324" t="n"/>
      <c r="D43" s="324" t="n"/>
      <c r="E43" s="324" t="n"/>
      <c r="F43" s="324" t="n"/>
      <c r="G43" s="324" t="n"/>
      <c r="H43" s="324" t="n"/>
      <c r="I43" s="327" t="n"/>
    </row>
    <row r="44" ht="20" customHeight="1">
      <c r="A44" s="233" t="n"/>
      <c r="B44" s="234" t="n"/>
      <c r="C44" s="234" t="n"/>
      <c r="D44" s="234" t="n"/>
      <c r="E44" s="234" t="n"/>
      <c r="F44" s="234" t="n"/>
      <c r="G44" s="234" t="n"/>
      <c r="H44" s="234" t="n"/>
      <c r="I44" s="235" t="n"/>
    </row>
    <row r="45">
      <c r="A45" s="334" t="n"/>
      <c r="B45" s="330" t="n"/>
      <c r="C45" s="330" t="n"/>
      <c r="D45" s="330" t="n"/>
      <c r="E45" s="330" t="n"/>
      <c r="F45" s="330" t="n"/>
      <c r="G45" s="330" t="n"/>
      <c r="H45" s="330" t="n"/>
      <c r="I45" s="331" t="n"/>
    </row>
    <row r="46">
      <c r="A46" s="86" t="n"/>
      <c r="I46" s="320" t="n"/>
    </row>
    <row r="47">
      <c r="A47" s="86" t="n"/>
      <c r="I47" s="320" t="n"/>
    </row>
    <row r="48" ht="13.5" customHeight="1" thickBot="1">
      <c r="A48" s="335" t="n"/>
      <c r="B48" s="336" t="n"/>
      <c r="C48" s="336" t="n"/>
      <c r="D48" s="336" t="n"/>
      <c r="E48" s="336" t="n"/>
      <c r="F48" s="336" t="n"/>
      <c r="G48" s="336" t="n"/>
      <c r="H48" s="336" t="n"/>
      <c r="I48" s="337" t="n"/>
    </row>
    <row r="49" ht="25" customHeight="1">
      <c r="A49" s="356" t="inlineStr">
        <is>
          <t>HSEQ MESSAGES</t>
        </is>
      </c>
      <c r="B49" s="339" t="n"/>
      <c r="C49" s="339" t="n"/>
      <c r="D49" s="339" t="n"/>
      <c r="E49" s="339" t="n"/>
      <c r="F49" s="339" t="n"/>
      <c r="G49" s="339" t="n"/>
      <c r="H49" s="339" t="n"/>
      <c r="I49" s="340" t="n"/>
    </row>
    <row r="50" ht="18" customHeight="1">
      <c r="A50" s="103" t="inlineStr">
        <is>
          <t>TCD - Monthly Safety Focus:</t>
        </is>
      </c>
      <c r="B50" s="276" t="inlineStr">
        <is>
          <t>Safe Driving</t>
        </is>
      </c>
      <c r="C50" s="324" t="n"/>
      <c r="D50" s="324" t="n"/>
      <c r="E50" s="324" t="n"/>
      <c r="F50" s="324" t="n"/>
      <c r="G50" s="324" t="n"/>
      <c r="H50" s="324" t="n"/>
      <c r="I50" s="325" t="n"/>
    </row>
    <row r="51" ht="23" customHeight="1">
      <c r="A51" s="103" t="inlineStr">
        <is>
          <t>TCD - Daily Safety Focus:</t>
        </is>
      </c>
      <c r="B51" s="277" t="inlineStr">
        <is>
          <t>Plant on Plant</t>
        </is>
      </c>
      <c r="C51" s="324" t="n"/>
      <c r="D51" s="324" t="n"/>
      <c r="E51" s="324" t="n"/>
      <c r="F51" s="324" t="n"/>
      <c r="G51" s="324" t="n"/>
      <c r="H51" s="324" t="n"/>
      <c r="I51" s="327" t="n"/>
    </row>
    <row r="52" ht="18" customHeight="1">
      <c r="A52" s="104" t="inlineStr">
        <is>
          <t xml:space="preserve">Hazards Reported: </t>
        </is>
      </c>
      <c r="B52" s="105" t="inlineStr">
        <is>
          <t>Nil</t>
        </is>
      </c>
      <c r="C52" s="277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>Incident Free Days</t>
        </is>
      </c>
      <c r="B53" s="105" t="n">
        <v>40</v>
      </c>
      <c r="C53" s="276" t="n"/>
      <c r="D53" s="324" t="n"/>
      <c r="E53" s="324" t="n"/>
      <c r="F53" s="324" t="n"/>
      <c r="G53" s="324" t="n"/>
      <c r="H53" s="324" t="n"/>
      <c r="I53" s="325" t="n"/>
    </row>
    <row r="54" ht="18" customHeight="1">
      <c r="A54" s="106" t="inlineStr">
        <is>
          <t>Other Notes</t>
        </is>
      </c>
      <c r="B54" s="357" t="n"/>
      <c r="C54" s="330" t="n"/>
      <c r="D54" s="330" t="n"/>
      <c r="E54" s="330" t="n"/>
      <c r="F54" s="330" t="n"/>
      <c r="G54" s="330" t="n"/>
      <c r="H54" s="330" t="n"/>
      <c r="I54" s="331" t="n"/>
    </row>
    <row r="55" ht="20.25" customHeight="1">
      <c r="A55" s="352" t="inlineStr">
        <is>
          <t xml:space="preserve">INCIDENTS &amp; REPORTS </t>
        </is>
      </c>
      <c r="B55" s="324" t="n"/>
      <c r="C55" s="324" t="n"/>
      <c r="D55" s="324" t="n"/>
      <c r="E55" s="324" t="n"/>
      <c r="F55" s="324" t="n"/>
      <c r="G55" s="324" t="n"/>
      <c r="H55" s="324" t="n"/>
      <c r="I55" s="327" t="n"/>
    </row>
    <row r="56" ht="25" customHeight="1">
      <c r="A56" s="96" t="n"/>
      <c r="B56" s="274" t="inlineStr">
        <is>
          <t>QTY</t>
        </is>
      </c>
      <c r="C56" s="133" t="inlineStr">
        <is>
          <t>Comments</t>
        </is>
      </c>
      <c r="D56" s="324" t="n"/>
      <c r="E56" s="324" t="n"/>
      <c r="F56" s="324" t="n"/>
      <c r="G56" s="324" t="n"/>
      <c r="H56" s="324" t="n"/>
      <c r="I56" s="327" t="n"/>
    </row>
    <row r="57" ht="25" customHeight="1">
      <c r="A57" s="98" t="inlineStr">
        <is>
          <t>INCIDENT</t>
        </is>
      </c>
      <c r="B57" s="274" t="n">
        <v>0</v>
      </c>
      <c r="C57" s="355" t="inlineStr">
        <is>
          <t>NA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9" t="inlineStr">
        <is>
          <t>IR</t>
        </is>
      </c>
      <c r="B58" s="100" t="n">
        <v>0</v>
      </c>
      <c r="C58" s="358" t="inlineStr">
        <is>
          <t>NA</t>
        </is>
      </c>
      <c r="D58" s="330" t="n"/>
      <c r="E58" s="330" t="n"/>
      <c r="F58" s="330" t="n"/>
      <c r="G58" s="330" t="n"/>
      <c r="H58" s="330" t="n"/>
      <c r="I58" s="331" t="n"/>
    </row>
    <row r="59" ht="25" customHeight="1" thickBot="1">
      <c r="A59" s="101" t="inlineStr">
        <is>
          <t>NCR</t>
        </is>
      </c>
      <c r="B59" s="102" t="n">
        <v>0</v>
      </c>
      <c r="C59" s="359" t="inlineStr">
        <is>
          <t>NA</t>
        </is>
      </c>
      <c r="D59" s="345" t="n"/>
      <c r="E59" s="345" t="n"/>
      <c r="F59" s="345" t="n"/>
      <c r="G59" s="345" t="n"/>
      <c r="H59" s="345" t="n"/>
      <c r="I59" s="346" t="n"/>
    </row>
    <row r="60" ht="20.25" customHeight="1">
      <c r="A60" s="356" t="inlineStr">
        <is>
          <t>COMMUNICATIONS</t>
        </is>
      </c>
      <c r="B60" s="339" t="n"/>
      <c r="C60" s="339" t="n"/>
      <c r="D60" s="339" t="n"/>
      <c r="E60" s="339" t="n"/>
      <c r="F60" s="339" t="n"/>
      <c r="G60" s="339" t="n"/>
      <c r="H60" s="339" t="n"/>
      <c r="I60" s="340" t="n"/>
    </row>
    <row r="61" ht="25" customHeight="1">
      <c r="A61" s="347" t="inlineStr">
        <is>
          <t>TGS MB1119-01 Implemented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184" t="n"/>
      <c r="B62" s="185" t="n"/>
      <c r="C62" s="185" t="n"/>
      <c r="D62" s="185" t="n"/>
      <c r="E62" s="185" t="n"/>
      <c r="F62" s="185" t="n"/>
      <c r="G62" s="185" t="n"/>
      <c r="H62" s="185" t="n"/>
      <c r="I62" s="186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Commenced placement of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Filled in old soakwell to road enterance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C52:I52"/>
    <mergeCell ref="A141:D141"/>
    <mergeCell ref="G13:I13"/>
    <mergeCell ref="B8:D8"/>
    <mergeCell ref="D41:I41"/>
    <mergeCell ref="B54:I54"/>
    <mergeCell ref="A55:I55"/>
    <mergeCell ref="E141:I141"/>
    <mergeCell ref="A12:I12"/>
    <mergeCell ref="C57:I57"/>
    <mergeCell ref="B39:C39"/>
    <mergeCell ref="C53:I53"/>
    <mergeCell ref="A5:I5"/>
    <mergeCell ref="B9:D9"/>
    <mergeCell ref="B6:D6"/>
    <mergeCell ref="D39:I39"/>
    <mergeCell ref="C58:I58"/>
    <mergeCell ref="A43:I43"/>
    <mergeCell ref="A13:C13"/>
    <mergeCell ref="D42:I42"/>
    <mergeCell ref="A63:I63"/>
    <mergeCell ref="A10:I10"/>
    <mergeCell ref="A1:I4"/>
    <mergeCell ref="A45:I48"/>
    <mergeCell ref="B41:C41"/>
    <mergeCell ref="A42:B42"/>
    <mergeCell ref="B40:C40"/>
    <mergeCell ref="B7:D7"/>
    <mergeCell ref="A64:I64"/>
    <mergeCell ref="A11:I11"/>
    <mergeCell ref="A49:I49"/>
    <mergeCell ref="C56:I56"/>
    <mergeCell ref="A60:I60"/>
    <mergeCell ref="D40:I40"/>
    <mergeCell ref="B51:I51"/>
    <mergeCell ref="C59:I59"/>
    <mergeCell ref="A61:I61"/>
    <mergeCell ref="A69:I69"/>
    <mergeCell ref="B50:I5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67" zoomScale="40" zoomScaleNormal="100" zoomScaleSheetLayoutView="40" workbookViewId="0">
      <selection activeCell="B69" sqref="B6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39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5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7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Unloading Trucks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42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119 and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Fill to Laneway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excavation power trenching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Sweeping of intersection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Delivery of Power and Water Materials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Remove fecning to foreshore drive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Demolish paving to Bailey Street Access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All service now found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D13:F13"/>
    <mergeCell ref="G13:I13"/>
    <mergeCell ref="B8:D8"/>
    <mergeCell ref="D41:I41"/>
    <mergeCell ref="A56:I56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73:I73"/>
    <mergeCell ref="A11:I11"/>
    <mergeCell ref="A43:B43"/>
    <mergeCell ref="B55:I55"/>
    <mergeCell ref="A145:D145"/>
    <mergeCell ref="D40:I40"/>
    <mergeCell ref="B51:I51"/>
    <mergeCell ref="C59:I59"/>
    <mergeCell ref="A46:I49"/>
    <mergeCell ref="A61:I61"/>
    <mergeCell ref="C60:I60"/>
    <mergeCell ref="B41:C41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72" min="0" max="8" man="1"/>
  </rowBreaks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9" zoomScale="40" zoomScaleNormal="100" zoomScaleSheetLayoutView="40" workbookViewId="0">
      <selection activeCell="B68" sqref="B68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Safe Driving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Trenching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NDM of Laneway and Lot 119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Ongoing Underground Excavation and Pipe Backfill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Removal of Asphalt Material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92" zoomScale="40" zoomScaleNormal="100" zoomScaleSheetLayoutView="40" workbookViewId="0">
      <selection activeCell="A56" sqref="A56:I5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45839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26 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Ongoing Removal of Ballast and backfill with sand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S203"/>
  <sheetViews>
    <sheetView view="pageBreakPreview" zoomScale="40" zoomScaleNormal="100" zoomScaleSheetLayoutView="40" workbookViewId="0">
      <selection activeCell="F20" sqref="F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23 degrees    Wind: 3 km/h WSW  Precip: 0.6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5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5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>
        <v>5</v>
      </c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n"/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Barracading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43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Transport of Ballast Material to site nominated by client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Met with WC onsite to discuss caison methodology and inspect SPM crossings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Removal of Ballast to Norht of Sump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.5" customHeight="1" thickBot="1">
      <c r="A70" s="354" t="inlineStr">
        <is>
          <t>PHOTOS</t>
        </is>
      </c>
      <c r="B70" s="330" t="n"/>
      <c r="C70" s="330" t="n"/>
      <c r="D70" s="330" t="n"/>
      <c r="E70" s="330" t="n"/>
      <c r="F70" s="330" t="n"/>
      <c r="G70" s="330" t="n"/>
      <c r="H70" s="330" t="n"/>
      <c r="I70" s="331" t="n"/>
    </row>
    <row r="71" ht="22.5" customHeight="1">
      <c r="A71" s="87" t="n"/>
      <c r="B71" s="88" t="n"/>
      <c r="C71" s="88" t="n"/>
      <c r="D71" s="88" t="n"/>
      <c r="E71" s="88" t="n"/>
      <c r="F71" s="88" t="n"/>
      <c r="G71" s="88" t="n"/>
      <c r="H71" s="88" t="n"/>
      <c r="I71" s="89" t="n"/>
    </row>
    <row r="72" ht="22.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25" customFormat="1" customHeight="1" s="6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 thickBot="1">
      <c r="A109" s="155" t="n"/>
      <c r="B109" s="156" t="n"/>
      <c r="C109" s="156" t="n"/>
      <c r="D109" s="156" t="n"/>
      <c r="E109" s="156" t="n"/>
      <c r="F109" s="156" t="n"/>
      <c r="G109" s="156" t="n"/>
      <c r="H109" s="156" t="n"/>
      <c r="I109" s="15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2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8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 thickBo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  <c r="J134" s="78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6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30.75" customHeight="1">
      <c r="A142" s="255" t="n"/>
      <c r="E142" s="256" t="n"/>
      <c r="I142" s="320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 ht="15" customHeight="1" thickBot="1">
      <c r="A196" s="144" t="n"/>
      <c r="B196" s="145" t="n"/>
      <c r="C196" s="145" t="n"/>
      <c r="D196" s="145" t="n"/>
      <c r="E196" s="145" t="n"/>
      <c r="F196" s="145" t="n"/>
      <c r="G196" s="145" t="n"/>
      <c r="H196" s="145" t="n"/>
      <c r="I196" s="146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 ht="15" customHeight="1" thickBot="1">
      <c r="A203" s="144" t="n"/>
      <c r="B203" s="145" t="n"/>
      <c r="C203" s="145" t="n"/>
      <c r="D203" s="145" t="n"/>
      <c r="E203" s="145" t="n"/>
      <c r="F203" s="145" t="n"/>
      <c r="G203" s="145" t="n"/>
      <c r="H203" s="145" t="n"/>
      <c r="I203" s="146" t="n"/>
    </row>
  </sheetData>
  <mergeCells count="40">
    <mergeCell ref="D13:F13"/>
    <mergeCell ref="G13:I13"/>
    <mergeCell ref="B8:D8"/>
    <mergeCell ref="D41:I41"/>
    <mergeCell ref="A56:I56"/>
    <mergeCell ref="E142:I142"/>
    <mergeCell ref="A50:I50"/>
    <mergeCell ref="A12:I12"/>
    <mergeCell ref="C57:I57"/>
    <mergeCell ref="C53:I53"/>
    <mergeCell ref="D43:I43"/>
    <mergeCell ref="B52:I52"/>
    <mergeCell ref="A5:I5"/>
    <mergeCell ref="B42:C42"/>
    <mergeCell ref="B9:D9"/>
    <mergeCell ref="A142:D142"/>
    <mergeCell ref="A62:I62"/>
    <mergeCell ref="B6:D6"/>
    <mergeCell ref="C58:I58"/>
    <mergeCell ref="A13:C13"/>
    <mergeCell ref="D42:I42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70:I70"/>
    <mergeCell ref="A46:I49"/>
    <mergeCell ref="A61:I61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9" min="0" max="8" man="1"/>
  </rowBreaks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10" zoomScale="40" zoomScaleNormal="100" zoomScaleSheetLayoutView="40" workbookViewId="0">
      <selection activeCell="A63" sqref="A63:I6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22 degrees    Wind: 56 km/h WSW  Precip: 16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10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/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10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n"/>
      <c r="B38" s="112" t="n"/>
      <c r="C38" s="111" t="n"/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Import Fill to verges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>Commence Caisson at Forrest Street End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Startup Meeting Took Place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zoomScale="40" zoomScaleNormal="100" zoomScaleSheetLayoutView="40" workbookViewId="0">
      <selection activeCell="H25" sqref="H25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43 km/h SSW  Precip: 2.4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9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9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9" t="n"/>
      <c r="H21" s="111" t="n"/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>
        <v>5</v>
      </c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5</v>
      </c>
      <c r="D30" s="112" t="inlineStr">
        <is>
          <t>6 Wheel Tipper</t>
        </is>
      </c>
      <c r="E30" s="112" t="inlineStr">
        <is>
          <t>AMG04</t>
        </is>
      </c>
      <c r="F30" s="112" t="n">
        <v>1</v>
      </c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5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>
        <v>5</v>
      </c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>
        <v>3</v>
      </c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10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Manual Handling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47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TGS MB1119-01 Implemented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inlineStr">
        <is>
          <t>Rain Affected Day</t>
        </is>
      </c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Trimming of Batters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Ongoing Underground Excavation and Pipe Backfill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inlineStr">
        <is>
          <t xml:space="preserve">Completion of Caisson Works Forrest Street </t>
        </is>
      </c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inlineStr">
        <is>
          <t>Gas Materials and Irrigation Sleeves onsite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A50:I50"/>
    <mergeCell ref="E141:I141"/>
    <mergeCell ref="A12:I12"/>
    <mergeCell ref="C57:I57"/>
    <mergeCell ref="C53:I53"/>
    <mergeCell ref="D43:I43"/>
    <mergeCell ref="B52:I52"/>
    <mergeCell ref="A5:I5"/>
    <mergeCell ref="B42:C42"/>
    <mergeCell ref="B9:D9"/>
    <mergeCell ref="A62:I62"/>
    <mergeCell ref="B6:D6"/>
    <mergeCell ref="C58:I58"/>
    <mergeCell ref="A13:C13"/>
    <mergeCell ref="D42:I42"/>
    <mergeCell ref="A63:I63"/>
    <mergeCell ref="A10:I10"/>
    <mergeCell ref="A1:I4"/>
    <mergeCell ref="B41:C41"/>
    <mergeCell ref="A44:I44"/>
    <mergeCell ref="C54:I54"/>
    <mergeCell ref="B40:C40"/>
    <mergeCell ref="B7:D7"/>
    <mergeCell ref="A64:I64"/>
    <mergeCell ref="A11:I11"/>
    <mergeCell ref="A43:B43"/>
    <mergeCell ref="B55:I55"/>
    <mergeCell ref="D40:I40"/>
    <mergeCell ref="B51:I51"/>
    <mergeCell ref="C59:I59"/>
    <mergeCell ref="A46:I49"/>
    <mergeCell ref="A61:I61"/>
    <mergeCell ref="C60:I60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S202"/>
  <sheetViews>
    <sheetView view="pageBreakPreview" topLeftCell="A8" zoomScale="40" zoomScaleNormal="100" zoomScaleSheetLayoutView="40" workbookViewId="0">
      <selection activeCell="E23" sqref="E2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69 km/h WSW  Precip: 8.6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9" t="n"/>
      <c r="H22" s="111" t="n"/>
      <c r="I22" s="113" t="n"/>
    </row>
    <row r="23" ht="23" customHeight="1">
      <c r="A23" s="90" t="inlineStr">
        <is>
          <t xml:space="preserve">Total Indirect Personnel onsite: </t>
        </is>
      </c>
      <c r="B23" s="130">
        <f>COUNTIF(C15:C22,"&gt;0")</f>
        <v/>
      </c>
      <c r="C23" s="126" t="n"/>
      <c r="D23" s="126" t="n"/>
      <c r="E23" s="126" t="n"/>
      <c r="F23" s="111" t="n"/>
      <c r="G23" s="283" t="inlineStr">
        <is>
          <t>Total Subcontractor on-site:</t>
        </is>
      </c>
      <c r="H23" s="131">
        <f>COUNTIF(I15:I22,"&gt;0")</f>
        <v/>
      </c>
      <c r="I23" s="113" t="n"/>
    </row>
    <row r="24" ht="23" customHeight="1">
      <c r="A24" s="90" t="inlineStr">
        <is>
          <t xml:space="preserve">Total Indirect Personnel hours: </t>
        </is>
      </c>
      <c r="B24" s="130">
        <f>SUM(C15:C22)</f>
        <v/>
      </c>
      <c r="C24" s="112" t="n"/>
      <c r="D24" s="126" t="n"/>
      <c r="E24" s="126" t="n"/>
      <c r="F24" s="111" t="n"/>
      <c r="G24" s="283" t="inlineStr">
        <is>
          <t>Total Subcontractor hours:</t>
        </is>
      </c>
      <c r="H24" s="131">
        <f>SUM(I15:I22)</f>
        <v/>
      </c>
      <c r="I24" s="113" t="n"/>
    </row>
    <row r="25" ht="23" customHeight="1">
      <c r="A25" s="90" t="inlineStr">
        <is>
          <t xml:space="preserve">Total Direct Personnel onsite:  </t>
        </is>
      </c>
      <c r="B25" s="130">
        <f>COUNTIF(F15:F26,"&gt;0")</f>
        <v/>
      </c>
      <c r="C25" s="130" t="n"/>
      <c r="D25" s="126" t="n"/>
      <c r="E25" s="126" t="n"/>
      <c r="F25" s="132" t="n"/>
      <c r="G25" s="283" t="n"/>
      <c r="H25" s="131" t="n"/>
      <c r="I25" s="133" t="n"/>
    </row>
    <row r="26" ht="23" customHeight="1">
      <c r="A26" s="90" t="inlineStr">
        <is>
          <t xml:space="preserve">Total Direct Personnel hours: </t>
        </is>
      </c>
      <c r="B26" s="130">
        <f>SUM(F15:F26)</f>
        <v/>
      </c>
      <c r="C26" s="130" t="n"/>
      <c r="D26" s="130" t="n"/>
      <c r="E26" s="130" t="n"/>
      <c r="F26" s="130" t="n"/>
      <c r="G26" s="130" t="n"/>
      <c r="H26" s="130" t="n"/>
      <c r="I26" s="133" t="n"/>
    </row>
    <row r="27" ht="25" customHeight="1">
      <c r="A27" s="91" t="inlineStr">
        <is>
          <t>PLANT &amp; EQUIPMENT</t>
        </is>
      </c>
      <c r="B27" s="10" t="n"/>
      <c r="C27" s="10" t="n"/>
      <c r="D27" s="10" t="n"/>
      <c r="E27" s="10" t="n"/>
      <c r="F27" s="10" t="n"/>
      <c r="G27" s="10" t="n"/>
      <c r="H27" s="10" t="n"/>
      <c r="I27" s="11" t="n"/>
    </row>
    <row r="28" ht="23" customHeight="1">
      <c r="A28" s="273" t="inlineStr">
        <is>
          <t>Plant</t>
        </is>
      </c>
      <c r="B28" s="274" t="inlineStr">
        <is>
          <t>ID</t>
        </is>
      </c>
      <c r="C28" s="274" t="inlineStr">
        <is>
          <t>Hours</t>
        </is>
      </c>
      <c r="D28" s="274" t="inlineStr">
        <is>
          <t xml:space="preserve"> Vehicles</t>
        </is>
      </c>
      <c r="E28" s="274" t="inlineStr">
        <is>
          <t>ID</t>
        </is>
      </c>
      <c r="F28" s="274" t="inlineStr">
        <is>
          <t>QTY</t>
        </is>
      </c>
      <c r="G28" s="108" t="inlineStr">
        <is>
          <t>Site Facilities</t>
        </is>
      </c>
      <c r="H28" s="108" t="inlineStr">
        <is>
          <t>ID</t>
        </is>
      </c>
      <c r="I28" s="109" t="inlineStr">
        <is>
          <t>Qty</t>
        </is>
      </c>
    </row>
    <row r="29" ht="22.5" customHeight="1">
      <c r="A29" s="110" t="inlineStr">
        <is>
          <t>Komatsu WA320</t>
        </is>
      </c>
      <c r="B29" s="111" t="inlineStr">
        <is>
          <t>FWL18</t>
        </is>
      </c>
      <c r="C29" s="111" t="n"/>
      <c r="D29" s="112" t="inlineStr">
        <is>
          <t>Hilux</t>
        </is>
      </c>
      <c r="E29" s="112" t="inlineStr">
        <is>
          <t>DLV90</t>
        </is>
      </c>
      <c r="F29" s="112" t="n">
        <v>1</v>
      </c>
      <c r="G29" s="112" t="inlineStr">
        <is>
          <t>Office 40ft</t>
        </is>
      </c>
      <c r="H29" s="112" t="n">
        <v>9255540</v>
      </c>
      <c r="I29" s="113" t="n">
        <v>1</v>
      </c>
    </row>
    <row r="30" ht="22.5" customHeight="1">
      <c r="A30" s="110" t="inlineStr">
        <is>
          <t>Wacker Neuson DPU</t>
        </is>
      </c>
      <c r="B30" s="111" t="inlineStr">
        <is>
          <t>DPC15</t>
        </is>
      </c>
      <c r="C30" s="111" t="n">
        <v>10</v>
      </c>
      <c r="D30" s="112" t="inlineStr">
        <is>
          <t>6 Wheel Tipper</t>
        </is>
      </c>
      <c r="E30" s="112" t="inlineStr">
        <is>
          <t>AMG04</t>
        </is>
      </c>
      <c r="F30" s="112" t="n"/>
      <c r="G30" s="112" t="inlineStr">
        <is>
          <t>Sea Container 20ft</t>
        </is>
      </c>
      <c r="H30" s="111" t="n">
        <v>951200</v>
      </c>
      <c r="I30" s="113" t="n">
        <v>1</v>
      </c>
    </row>
    <row r="31" ht="22.5" customHeight="1">
      <c r="A31" s="114" t="inlineStr">
        <is>
          <t>Positrak</t>
        </is>
      </c>
      <c r="B31" s="112" t="inlineStr">
        <is>
          <t>AMG 025</t>
        </is>
      </c>
      <c r="C31" s="111" t="n">
        <v>3</v>
      </c>
      <c r="D31" s="112" t="n"/>
      <c r="E31" s="111" t="n"/>
      <c r="F31" s="112" t="n"/>
      <c r="G31" s="112" t="inlineStr">
        <is>
          <t>Site Sentry Tower</t>
        </is>
      </c>
      <c r="H31" s="112" t="n"/>
      <c r="I31" s="113" t="n">
        <v>2</v>
      </c>
    </row>
    <row r="32" ht="22.5" customHeight="1">
      <c r="A32" s="114" t="inlineStr">
        <is>
          <t>Watercart</t>
        </is>
      </c>
      <c r="B32" s="112" t="inlineStr">
        <is>
          <t>WC04</t>
        </is>
      </c>
      <c r="C32" s="111" t="n"/>
      <c r="D32" s="112" t="n"/>
      <c r="E32" s="112" t="n"/>
      <c r="F32" s="112" t="n"/>
      <c r="G32" s="112" t="inlineStr">
        <is>
          <t>Skip Bin</t>
        </is>
      </c>
      <c r="H32" s="112" t="n"/>
      <c r="I32" s="113" t="n">
        <v>1</v>
      </c>
    </row>
    <row r="33" ht="22.5" customHeight="1">
      <c r="A33" s="114" t="inlineStr">
        <is>
          <t>8T Excavator</t>
        </is>
      </c>
      <c r="B33" s="115" t="inlineStr">
        <is>
          <t>AMG 014</t>
        </is>
      </c>
      <c r="C33" s="111" t="n">
        <v>10</v>
      </c>
      <c r="D33" s="112" t="n"/>
      <c r="E33" s="112" t="n"/>
      <c r="F33" s="112" t="n"/>
      <c r="G33" s="112" t="inlineStr">
        <is>
          <t>Hydrocarbon Bund</t>
        </is>
      </c>
      <c r="H33" s="112" t="n"/>
      <c r="I33" s="113" t="n">
        <v>1</v>
      </c>
    </row>
    <row r="34" ht="22.5" customHeight="1">
      <c r="A34" s="112" t="inlineStr">
        <is>
          <t>6 Wheel Tipper</t>
        </is>
      </c>
      <c r="B34" s="112" t="inlineStr">
        <is>
          <t>AMG 008</t>
        </is>
      </c>
      <c r="C34" s="112" t="n"/>
      <c r="D34" s="112" t="n"/>
      <c r="E34" s="112" t="n"/>
      <c r="F34" s="112" t="n"/>
      <c r="G34" s="112" t="inlineStr">
        <is>
          <t>Temp Fence</t>
        </is>
      </c>
      <c r="H34" s="111" t="n"/>
      <c r="I34" s="113" t="n">
        <v>1</v>
      </c>
    </row>
    <row r="35" ht="23.5" customHeight="1">
      <c r="A35" s="114" t="inlineStr">
        <is>
          <t>Padfoot/ Smooth Drum Roller</t>
        </is>
      </c>
      <c r="B35" s="112" t="inlineStr">
        <is>
          <t>RR 03</t>
        </is>
      </c>
      <c r="C35" s="111" t="n"/>
      <c r="D35" s="112" t="n"/>
      <c r="E35" s="112" t="n"/>
      <c r="F35" s="112" t="n"/>
      <c r="G35" s="116" t="n"/>
      <c r="H35" s="116" t="n"/>
      <c r="I35" s="117" t="n"/>
    </row>
    <row r="36" ht="23.5" customHeight="1">
      <c r="A36" s="114" t="inlineStr">
        <is>
          <t>Positrak SSL</t>
        </is>
      </c>
      <c r="B36" s="112" t="inlineStr">
        <is>
          <t>SSL08</t>
        </is>
      </c>
      <c r="C36" s="111" t="n">
        <v>2</v>
      </c>
      <c r="D36" s="112" t="n"/>
      <c r="E36" s="112" t="n"/>
      <c r="F36" s="112" t="n"/>
      <c r="G36" s="116" t="n"/>
      <c r="H36" s="116" t="n"/>
      <c r="I36" s="117" t="n"/>
    </row>
    <row r="37" ht="22.5" customHeight="1">
      <c r="A37" s="114" t="inlineStr">
        <is>
          <t>Grader</t>
        </is>
      </c>
      <c r="B37" s="112" t="inlineStr">
        <is>
          <t>SLS01</t>
        </is>
      </c>
      <c r="C37" s="111" t="n"/>
      <c r="D37" s="112" t="n"/>
      <c r="E37" s="112" t="n"/>
      <c r="F37" s="112" t="n"/>
      <c r="G37" s="112" t="n"/>
      <c r="H37" s="111" t="n"/>
      <c r="I37" s="113" t="n"/>
    </row>
    <row r="38" ht="22.5" customHeight="1">
      <c r="A38" s="114" t="inlineStr">
        <is>
          <t>1.5 Excavator</t>
        </is>
      </c>
      <c r="B38" s="112" t="inlineStr">
        <is>
          <t>AMG 009</t>
        </is>
      </c>
      <c r="C38" s="111" t="n">
        <v>10</v>
      </c>
      <c r="D38" s="112" t="n"/>
      <c r="E38" s="112" t="n"/>
      <c r="F38" s="112" t="n"/>
      <c r="G38" s="112" t="n"/>
      <c r="H38" s="111" t="n"/>
      <c r="I38" s="113" t="n"/>
    </row>
    <row r="39" ht="23.5" customHeight="1">
      <c r="A39" s="114" t="n"/>
      <c r="B39" s="112" t="n"/>
      <c r="C39" s="111" t="n"/>
      <c r="D39" s="116" t="n"/>
      <c r="E39" s="116" t="n"/>
      <c r="F39" s="116" t="n"/>
      <c r="G39" s="116" t="n"/>
      <c r="H39" s="116" t="n"/>
      <c r="I39" s="117" t="n"/>
    </row>
    <row r="40" ht="18" customHeight="1">
      <c r="A40" s="118" t="n">
        <v>0</v>
      </c>
      <c r="B40" s="278" t="inlineStr">
        <is>
          <t xml:space="preserve">Repairs Required </t>
        </is>
      </c>
      <c r="C40" s="325" t="n"/>
      <c r="D40" s="355" t="inlineStr">
        <is>
          <t>N/A</t>
        </is>
      </c>
      <c r="E40" s="324" t="n"/>
      <c r="F40" s="324" t="n"/>
      <c r="G40" s="324" t="n"/>
      <c r="H40" s="324" t="n"/>
      <c r="I40" s="327" t="n"/>
    </row>
    <row r="41" ht="18" customHeight="1">
      <c r="A41" s="119" t="n">
        <v>0</v>
      </c>
      <c r="B41" s="278" t="inlineStr">
        <is>
          <t>Scheduled Service</t>
        </is>
      </c>
      <c r="C41" s="325" t="n"/>
      <c r="D41" s="355" t="inlineStr">
        <is>
          <t>N/A</t>
        </is>
      </c>
      <c r="E41" s="324" t="n"/>
      <c r="F41" s="324" t="n"/>
      <c r="G41" s="324" t="n"/>
      <c r="H41" s="324" t="n"/>
      <c r="I41" s="327" t="n"/>
    </row>
    <row r="42" ht="18" customHeight="1">
      <c r="A42" s="120" t="n">
        <v>0</v>
      </c>
      <c r="B42" s="278" t="inlineStr">
        <is>
          <t>Repairs required but operable</t>
        </is>
      </c>
      <c r="C42" s="325" t="n"/>
      <c r="D42" s="355" t="inlineStr">
        <is>
          <t>N/A</t>
        </is>
      </c>
      <c r="E42" s="324" t="n"/>
      <c r="F42" s="324" t="n"/>
      <c r="G42" s="324" t="n"/>
      <c r="H42" s="324" t="n"/>
      <c r="I42" s="327" t="n"/>
    </row>
    <row r="43" ht="23" customHeight="1">
      <c r="A43" s="90" t="inlineStr">
        <is>
          <t xml:space="preserve">Total Plant and Equipment Hours: </t>
        </is>
      </c>
      <c r="B43" s="325" t="n"/>
      <c r="C43" s="284">
        <f>SUM(C29:C39)</f>
        <v/>
      </c>
      <c r="D43" s="275" t="n"/>
      <c r="E43" s="324" t="n"/>
      <c r="F43" s="324" t="n"/>
      <c r="G43" s="324" t="n"/>
      <c r="H43" s="324" t="n"/>
      <c r="I43" s="327" t="n"/>
    </row>
    <row r="44" ht="25" customHeight="1">
      <c r="A44" s="352" t="inlineStr">
        <is>
          <t>DELAYS-OPPORTUNITY</t>
        </is>
      </c>
      <c r="B44" s="324" t="n"/>
      <c r="C44" s="324" t="n"/>
      <c r="D44" s="324" t="n"/>
      <c r="E44" s="324" t="n"/>
      <c r="F44" s="324" t="n"/>
      <c r="G44" s="324" t="n"/>
      <c r="H44" s="324" t="n"/>
      <c r="I44" s="327" t="n"/>
    </row>
    <row r="45" ht="20" customHeight="1">
      <c r="A45" s="233" t="n"/>
      <c r="B45" s="234" t="n"/>
      <c r="C45" s="234" t="n"/>
      <c r="D45" s="234" t="n"/>
      <c r="E45" s="234" t="n"/>
      <c r="F45" s="234" t="n"/>
      <c r="G45" s="234" t="n"/>
      <c r="H45" s="234" t="n"/>
      <c r="I45" s="235" t="n"/>
    </row>
    <row r="46">
      <c r="A46" s="334" t="inlineStr">
        <is>
          <t>Watercorp unable to provide pressure main shut down 5/7/25</t>
        </is>
      </c>
      <c r="B46" s="330" t="n"/>
      <c r="C46" s="330" t="n"/>
      <c r="D46" s="330" t="n"/>
      <c r="E46" s="330" t="n"/>
      <c r="F46" s="330" t="n"/>
      <c r="G46" s="330" t="n"/>
      <c r="H46" s="330" t="n"/>
      <c r="I46" s="331" t="n"/>
    </row>
    <row r="47">
      <c r="A47" s="86" t="n"/>
      <c r="I47" s="320" t="n"/>
    </row>
    <row r="48">
      <c r="A48" s="86" t="n"/>
      <c r="I48" s="320" t="n"/>
    </row>
    <row r="49" ht="13.5" customHeight="1" thickBot="1">
      <c r="A49" s="335" t="n"/>
      <c r="B49" s="336" t="n"/>
      <c r="C49" s="336" t="n"/>
      <c r="D49" s="336" t="n"/>
      <c r="E49" s="336" t="n"/>
      <c r="F49" s="336" t="n"/>
      <c r="G49" s="336" t="n"/>
      <c r="H49" s="336" t="n"/>
      <c r="I49" s="337" t="n"/>
    </row>
    <row r="50" ht="25" customHeight="1">
      <c r="A50" s="356" t="inlineStr">
        <is>
          <t>HSEQ MESSAGES</t>
        </is>
      </c>
      <c r="B50" s="339" t="n"/>
      <c r="C50" s="339" t="n"/>
      <c r="D50" s="339" t="n"/>
      <c r="E50" s="339" t="n"/>
      <c r="F50" s="339" t="n"/>
      <c r="G50" s="339" t="n"/>
      <c r="H50" s="339" t="n"/>
      <c r="I50" s="340" t="n"/>
    </row>
    <row r="51" ht="18" customHeight="1">
      <c r="A51" s="103" t="inlineStr">
        <is>
          <t>TCD - Monthly Safety Focus:</t>
        </is>
      </c>
      <c r="B51" s="276" t="inlineStr">
        <is>
          <t>Return to Work</t>
        </is>
      </c>
      <c r="C51" s="324" t="n"/>
      <c r="D51" s="324" t="n"/>
      <c r="E51" s="324" t="n"/>
      <c r="F51" s="324" t="n"/>
      <c r="G51" s="324" t="n"/>
      <c r="H51" s="324" t="n"/>
      <c r="I51" s="325" t="n"/>
    </row>
    <row r="52" ht="23" customHeight="1">
      <c r="A52" s="103" t="inlineStr">
        <is>
          <t>TCD - Daily Safety Focus:</t>
        </is>
      </c>
      <c r="B52" s="277" t="inlineStr">
        <is>
          <t>Plant on Plant Interaction</t>
        </is>
      </c>
      <c r="C52" s="324" t="n"/>
      <c r="D52" s="324" t="n"/>
      <c r="E52" s="324" t="n"/>
      <c r="F52" s="324" t="n"/>
      <c r="G52" s="324" t="n"/>
      <c r="H52" s="324" t="n"/>
      <c r="I52" s="327" t="n"/>
    </row>
    <row r="53" ht="18" customHeight="1">
      <c r="A53" s="104" t="inlineStr">
        <is>
          <t xml:space="preserve">Hazards Reported: </t>
        </is>
      </c>
      <c r="B53" s="105" t="inlineStr">
        <is>
          <t>Nil</t>
        </is>
      </c>
      <c r="C53" s="277" t="n"/>
      <c r="D53" s="324" t="n"/>
      <c r="E53" s="324" t="n"/>
      <c r="F53" s="324" t="n"/>
      <c r="G53" s="324" t="n"/>
      <c r="H53" s="324" t="n"/>
      <c r="I53" s="327" t="n"/>
    </row>
    <row r="54" ht="18" customHeight="1">
      <c r="A54" s="104" t="inlineStr">
        <is>
          <t>Incident Free Days</t>
        </is>
      </c>
      <c r="B54" s="105" t="n">
        <v>49</v>
      </c>
      <c r="C54" s="276" t="n"/>
      <c r="D54" s="324" t="n"/>
      <c r="E54" s="324" t="n"/>
      <c r="F54" s="324" t="n"/>
      <c r="G54" s="324" t="n"/>
      <c r="H54" s="324" t="n"/>
      <c r="I54" s="325" t="n"/>
    </row>
    <row r="55" ht="18" customHeight="1">
      <c r="A55" s="106" t="inlineStr">
        <is>
          <t>Other Notes</t>
        </is>
      </c>
      <c r="B55" s="357" t="n"/>
      <c r="C55" s="330" t="n"/>
      <c r="D55" s="330" t="n"/>
      <c r="E55" s="330" t="n"/>
      <c r="F55" s="330" t="n"/>
      <c r="G55" s="330" t="n"/>
      <c r="H55" s="330" t="n"/>
      <c r="I55" s="331" t="n"/>
    </row>
    <row r="56" ht="20.25" customHeight="1">
      <c r="A56" s="352" t="inlineStr">
        <is>
          <t xml:space="preserve">INCIDENTS &amp; REPORTS </t>
        </is>
      </c>
      <c r="B56" s="324" t="n"/>
      <c r="C56" s="324" t="n"/>
      <c r="D56" s="324" t="n"/>
      <c r="E56" s="324" t="n"/>
      <c r="F56" s="324" t="n"/>
      <c r="G56" s="324" t="n"/>
      <c r="H56" s="324" t="n"/>
      <c r="I56" s="327" t="n"/>
    </row>
    <row r="57" ht="25" customHeight="1">
      <c r="A57" s="96" t="n"/>
      <c r="B57" s="274" t="inlineStr">
        <is>
          <t>QTY</t>
        </is>
      </c>
      <c r="C57" s="133" t="inlineStr">
        <is>
          <t>Comments</t>
        </is>
      </c>
      <c r="D57" s="324" t="n"/>
      <c r="E57" s="324" t="n"/>
      <c r="F57" s="324" t="n"/>
      <c r="G57" s="324" t="n"/>
      <c r="H57" s="324" t="n"/>
      <c r="I57" s="327" t="n"/>
    </row>
    <row r="58" ht="25" customHeight="1">
      <c r="A58" s="98" t="inlineStr">
        <is>
          <t>INCIDENT</t>
        </is>
      </c>
      <c r="B58" s="274" t="n">
        <v>0</v>
      </c>
      <c r="C58" s="355" t="inlineStr">
        <is>
          <t>NA</t>
        </is>
      </c>
      <c r="D58" s="324" t="n"/>
      <c r="E58" s="324" t="n"/>
      <c r="F58" s="324" t="n"/>
      <c r="G58" s="324" t="n"/>
      <c r="H58" s="324" t="n"/>
      <c r="I58" s="327" t="n"/>
    </row>
    <row r="59" ht="25" customHeight="1">
      <c r="A59" s="99" t="inlineStr">
        <is>
          <t>IR</t>
        </is>
      </c>
      <c r="B59" s="100" t="n">
        <v>0</v>
      </c>
      <c r="C59" s="358" t="inlineStr">
        <is>
          <t>NA</t>
        </is>
      </c>
      <c r="D59" s="330" t="n"/>
      <c r="E59" s="330" t="n"/>
      <c r="F59" s="330" t="n"/>
      <c r="G59" s="330" t="n"/>
      <c r="H59" s="330" t="n"/>
      <c r="I59" s="331" t="n"/>
    </row>
    <row r="60" ht="25" customHeight="1" thickBot="1">
      <c r="A60" s="101" t="inlineStr">
        <is>
          <t>NCR</t>
        </is>
      </c>
      <c r="B60" s="102" t="n">
        <v>0</v>
      </c>
      <c r="C60" s="359" t="inlineStr">
        <is>
          <t>NA</t>
        </is>
      </c>
      <c r="D60" s="345" t="n"/>
      <c r="E60" s="345" t="n"/>
      <c r="F60" s="345" t="n"/>
      <c r="G60" s="345" t="n"/>
      <c r="H60" s="345" t="n"/>
      <c r="I60" s="346" t="n"/>
    </row>
    <row r="61" ht="20.25" customHeight="1">
      <c r="A61" s="356" t="inlineStr">
        <is>
          <t>COMMUNICATIONS</t>
        </is>
      </c>
      <c r="B61" s="339" t="n"/>
      <c r="C61" s="339" t="n"/>
      <c r="D61" s="339" t="n"/>
      <c r="E61" s="339" t="n"/>
      <c r="F61" s="339" t="n"/>
      <c r="G61" s="339" t="n"/>
      <c r="H61" s="339" t="n"/>
      <c r="I61" s="340" t="n"/>
    </row>
    <row r="62" ht="25" customHeight="1">
      <c r="A62" s="347" t="inlineStr">
        <is>
          <t>Rain Affected Day</t>
        </is>
      </c>
      <c r="B62" s="324" t="n"/>
      <c r="C62" s="324" t="n"/>
      <c r="D62" s="324" t="n"/>
      <c r="E62" s="324" t="n"/>
      <c r="F62" s="324" t="n"/>
      <c r="G62" s="324" t="n"/>
      <c r="H62" s="324" t="n"/>
      <c r="I62" s="327" t="n"/>
    </row>
    <row r="63" ht="25" customHeight="1">
      <c r="A63" s="347" t="n"/>
      <c r="B63" s="324" t="n"/>
      <c r="C63" s="324" t="n"/>
      <c r="D63" s="324" t="n"/>
      <c r="E63" s="324" t="n"/>
      <c r="F63" s="324" t="n"/>
      <c r="G63" s="324" t="n"/>
      <c r="H63" s="324" t="n"/>
      <c r="I63" s="327" t="n"/>
    </row>
    <row r="64" ht="25" customHeight="1">
      <c r="A64" s="352" t="inlineStr">
        <is>
          <t>PRODUCTION (CONSTRUCTION STATUS &amp; PROGRESS)</t>
        </is>
      </c>
      <c r="B64" s="324" t="n"/>
      <c r="C64" s="324" t="n"/>
      <c r="D64" s="324" t="n"/>
      <c r="E64" s="324" t="n"/>
      <c r="F64" s="324" t="n"/>
      <c r="G64" s="324" t="n"/>
      <c r="H64" s="324" t="n"/>
      <c r="I64" s="327" t="n"/>
    </row>
    <row r="65" ht="25" customHeight="1">
      <c r="A65" s="154" t="inlineStr">
        <is>
          <t>Ongoing Underground Excavation and Pipe Backfill</t>
        </is>
      </c>
      <c r="B65" s="150" t="n"/>
      <c r="C65" s="150" t="n"/>
      <c r="D65" s="150" t="n"/>
      <c r="E65" s="150" t="n"/>
      <c r="F65" s="150" t="n"/>
      <c r="G65" s="150" t="n"/>
      <c r="H65" s="150" t="n"/>
      <c r="I65" s="151" t="n"/>
    </row>
    <row r="66" ht="25" customHeight="1">
      <c r="A66" s="154" t="inlineStr">
        <is>
          <t>Backfill Restricted due to rain</t>
        </is>
      </c>
      <c r="B66" s="150" t="n"/>
      <c r="C66" s="150" t="n"/>
      <c r="D66" s="150" t="n"/>
      <c r="E66" s="150" t="n"/>
      <c r="F66" s="150" t="n"/>
      <c r="G66" s="150" t="n"/>
      <c r="H66" s="150" t="n"/>
      <c r="I66" s="151" t="n"/>
    </row>
    <row r="67" ht="25" customHeight="1">
      <c r="A67" s="154" t="n"/>
      <c r="B67" s="150" t="n"/>
      <c r="C67" s="150" t="n"/>
      <c r="D67" s="150" t="n"/>
      <c r="E67" s="150" t="n"/>
      <c r="F67" s="150" t="n"/>
      <c r="G67" s="150" t="n"/>
      <c r="H67" s="150" t="n"/>
      <c r="I67" s="151" t="n"/>
    </row>
    <row r="68" ht="25" customHeight="1">
      <c r="A68" s="154" t="n"/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.5" customHeight="1" thickBot="1">
      <c r="A69" s="354" t="inlineStr">
        <is>
          <t>PHOTOS</t>
        </is>
      </c>
      <c r="B69" s="330" t="n"/>
      <c r="C69" s="330" t="n"/>
      <c r="D69" s="330" t="n"/>
      <c r="E69" s="330" t="n"/>
      <c r="F69" s="330" t="n"/>
      <c r="G69" s="330" t="n"/>
      <c r="H69" s="330" t="n"/>
      <c r="I69" s="331" t="n"/>
    </row>
    <row r="70" ht="22.5" customHeight="1">
      <c r="A70" s="87" t="n"/>
      <c r="B70" s="88" t="n"/>
      <c r="C70" s="88" t="n"/>
      <c r="D70" s="88" t="n"/>
      <c r="E70" s="88" t="n"/>
      <c r="F70" s="88" t="n"/>
      <c r="G70" s="88" t="n"/>
      <c r="H70" s="88" t="n"/>
      <c r="I70" s="89" t="n"/>
    </row>
    <row r="71" ht="22.5" customHeight="1">
      <c r="A71" s="65" t="n"/>
      <c r="B71" s="66" t="n"/>
      <c r="C71" s="66" t="n"/>
      <c r="D71" s="66" t="n"/>
      <c r="E71" s="66" t="n"/>
      <c r="F71" s="66" t="n"/>
      <c r="G71" s="66" t="n"/>
      <c r="H71" s="66" t="n"/>
      <c r="I71" s="67" t="n"/>
    </row>
    <row r="72" ht="15" customHeight="1">
      <c r="A72" s="65" t="n"/>
      <c r="B72" s="66" t="n"/>
      <c r="C72" s="66" t="n"/>
      <c r="D72" s="66" t="n"/>
      <c r="E72" s="66" t="n"/>
      <c r="F72" s="66" t="n"/>
      <c r="G72" s="66" t="n"/>
      <c r="H72" s="66" t="n"/>
      <c r="I72" s="67" t="n"/>
    </row>
    <row r="73" ht="15" customHeight="1">
      <c r="A73" s="65" t="n"/>
      <c r="B73" s="66" t="n"/>
      <c r="C73" s="66" t="n"/>
      <c r="D73" s="66" t="n"/>
      <c r="E73" s="66" t="n"/>
      <c r="F73" s="66" t="n"/>
      <c r="G73" s="66" t="n"/>
      <c r="H73" s="66" t="n"/>
      <c r="I73" s="67" t="n"/>
    </row>
    <row r="74" ht="1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H92" s="66" t="n"/>
      <c r="I92" s="67" t="n"/>
    </row>
    <row r="93" ht="25" customFormat="1" customHeight="1" s="6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 thickBot="1">
      <c r="A108" s="155" t="n"/>
      <c r="B108" s="156" t="n"/>
      <c r="C108" s="156" t="n"/>
      <c r="D108" s="156" t="n"/>
      <c r="E108" s="156" t="n"/>
      <c r="F108" s="156" t="n"/>
      <c r="G108" s="156" t="n"/>
      <c r="H108" s="156" t="n"/>
      <c r="I108" s="15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2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8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 thickBo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  <c r="J133" s="78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6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30.75" customHeight="1">
      <c r="A141" s="255" t="n"/>
      <c r="E141" s="256" t="n"/>
      <c r="I141" s="320" t="n"/>
    </row>
    <row r="142">
      <c r="A142" s="152" t="n"/>
      <c r="I142" s="153" t="n"/>
    </row>
    <row r="143">
      <c r="A143" s="152" t="n"/>
      <c r="I143" s="153" t="n"/>
    </row>
    <row r="144">
      <c r="A144" s="152" t="n"/>
      <c r="I144" s="153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 ht="15" customHeight="1" thickBot="1">
      <c r="A195" s="144" t="n"/>
      <c r="B195" s="145" t="n"/>
      <c r="C195" s="145" t="n"/>
      <c r="D195" s="145" t="n"/>
      <c r="E195" s="145" t="n"/>
      <c r="F195" s="145" t="n"/>
      <c r="G195" s="145" t="n"/>
      <c r="H195" s="145" t="n"/>
      <c r="I195" s="146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 ht="15" customHeight="1" thickBot="1">
      <c r="A202" s="144" t="n"/>
      <c r="B202" s="145" t="n"/>
      <c r="C202" s="145" t="n"/>
      <c r="D202" s="145" t="n"/>
      <c r="E202" s="145" t="n"/>
      <c r="F202" s="145" t="n"/>
      <c r="G202" s="145" t="n"/>
      <c r="H202" s="145" t="n"/>
      <c r="I202" s="146" t="n"/>
    </row>
  </sheetData>
  <mergeCells count="40">
    <mergeCell ref="D13:F13"/>
    <mergeCell ref="A141:D141"/>
    <mergeCell ref="G13:I13"/>
    <mergeCell ref="B8:D8"/>
    <mergeCell ref="D41:I41"/>
    <mergeCell ref="A56:I56"/>
    <mergeCell ref="E141:I141"/>
    <mergeCell ref="A12:I12"/>
    <mergeCell ref="A50:I50"/>
    <mergeCell ref="C57:I57"/>
    <mergeCell ref="C53:I53"/>
    <mergeCell ref="D43:I43"/>
    <mergeCell ref="A69:I69"/>
    <mergeCell ref="B52:I52"/>
    <mergeCell ref="A5:I5"/>
    <mergeCell ref="B42:C42"/>
    <mergeCell ref="B9:D9"/>
    <mergeCell ref="B6:D6"/>
    <mergeCell ref="A62:I62"/>
    <mergeCell ref="C58:I58"/>
    <mergeCell ref="D42:I42"/>
    <mergeCell ref="A13:C13"/>
    <mergeCell ref="A63:I63"/>
    <mergeCell ref="A10:I10"/>
    <mergeCell ref="A1:I4"/>
    <mergeCell ref="A44:I44"/>
    <mergeCell ref="C54:I54"/>
    <mergeCell ref="B40:C40"/>
    <mergeCell ref="B7:D7"/>
    <mergeCell ref="A64:I64"/>
    <mergeCell ref="A11:I11"/>
    <mergeCell ref="A43:B43"/>
    <mergeCell ref="B55:I55"/>
    <mergeCell ref="B51:I51"/>
    <mergeCell ref="D40:I40"/>
    <mergeCell ref="C59:I59"/>
    <mergeCell ref="A61:I61"/>
    <mergeCell ref="A46:I49"/>
    <mergeCell ref="C60:I60"/>
    <mergeCell ref="B41:C4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1" manualBreakCount="1">
    <brk id="68" min="0" max="8" man="1"/>
  </rowBreaks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I22" sqref="I2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28 km/h ENE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9.5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9.5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8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8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 Interaction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50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Ongoing Underground Excavation and Pipe Backfill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Fencing of Foreshore Drive for museum place intersection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Gas Laying Commenced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topLeftCell="A48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49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Wind: 39 km/h ESE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Manual Handling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51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n"/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54:I54"/>
    <mergeCell ref="A66:I66"/>
    <mergeCell ref="B8:D8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205"/>
  <sheetViews>
    <sheetView view="pageBreakPreview" zoomScale="40" zoomScaleNormal="100" zoomScaleSheetLayoutView="40" workbookViewId="0">
      <selection activeCell="R83" sqref="R83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35 km/h 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1.5 Excavator</t>
        </is>
      </c>
      <c r="B41" s="112" t="inlineStr">
        <is>
          <t>AMG 009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3.5" customHeight="1">
      <c r="A42" s="114" t="n"/>
      <c r="B42" s="112" t="n"/>
      <c r="C42" s="111" t="n"/>
      <c r="D42" s="116" t="n"/>
      <c r="E42" s="116" t="n"/>
      <c r="F42" s="116" t="n"/>
      <c r="G42" s="116" t="n"/>
      <c r="H42" s="116" t="n"/>
      <c r="I42" s="117" t="n"/>
    </row>
    <row r="43" ht="18" customHeight="1">
      <c r="A43" s="118" t="n">
        <v>0</v>
      </c>
      <c r="B43" s="278" t="inlineStr">
        <is>
          <t xml:space="preserve">Repairs Required </t>
        </is>
      </c>
      <c r="C43" s="325" t="n"/>
      <c r="D43" s="355" t="inlineStr">
        <is>
          <t>N/A</t>
        </is>
      </c>
      <c r="E43" s="324" t="n"/>
      <c r="F43" s="324" t="n"/>
      <c r="G43" s="324" t="n"/>
      <c r="H43" s="324" t="n"/>
      <c r="I43" s="327" t="n"/>
    </row>
    <row r="44" ht="18" customHeight="1">
      <c r="A44" s="119" t="n">
        <v>0</v>
      </c>
      <c r="B44" s="278" t="inlineStr">
        <is>
          <t>Scheduled Service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20" t="n">
        <v>0</v>
      </c>
      <c r="B45" s="278" t="inlineStr">
        <is>
          <t>Repairs required but operable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23" customHeight="1">
      <c r="A46" s="90" t="inlineStr">
        <is>
          <t xml:space="preserve">Total Plant and Equipment Hours: </t>
        </is>
      </c>
      <c r="B46" s="325" t="n"/>
      <c r="C46" s="284">
        <f>SUM(C32:C42)</f>
        <v/>
      </c>
      <c r="D46" s="275" t="n"/>
      <c r="E46" s="324" t="n"/>
      <c r="F46" s="324" t="n"/>
      <c r="G46" s="324" t="n"/>
      <c r="H46" s="324" t="n"/>
      <c r="I46" s="327" t="n"/>
    </row>
    <row r="47" ht="25" customHeight="1">
      <c r="A47" s="352" t="inlineStr">
        <is>
          <t>DELAYS-OPPORTUNITY</t>
        </is>
      </c>
      <c r="B47" s="324" t="n"/>
      <c r="C47" s="324" t="n"/>
      <c r="D47" s="324" t="n"/>
      <c r="E47" s="324" t="n"/>
      <c r="F47" s="324" t="n"/>
      <c r="G47" s="324" t="n"/>
      <c r="H47" s="324" t="n"/>
      <c r="I47" s="327" t="n"/>
    </row>
    <row r="48" ht="20" customHeight="1">
      <c r="A48" s="233" t="n"/>
      <c r="B48" s="234" t="n"/>
      <c r="C48" s="234" t="n"/>
      <c r="D48" s="234" t="n"/>
      <c r="E48" s="234" t="n"/>
      <c r="F48" s="234" t="n"/>
      <c r="G48" s="234" t="n"/>
      <c r="H48" s="234" t="n"/>
      <c r="I48" s="235" t="n"/>
    </row>
    <row r="49">
      <c r="A49" s="334" t="inlineStr">
        <is>
          <t>Watercorp unable to provide pressure main shut down 5/7/25</t>
        </is>
      </c>
      <c r="B49" s="330" t="n"/>
      <c r="C49" s="330" t="n"/>
      <c r="D49" s="330" t="n"/>
      <c r="E49" s="330" t="n"/>
      <c r="F49" s="330" t="n"/>
      <c r="G49" s="330" t="n"/>
      <c r="H49" s="330" t="n"/>
      <c r="I49" s="331" t="n"/>
    </row>
    <row r="50">
      <c r="A50" s="86" t="n"/>
      <c r="I50" s="320" t="n"/>
    </row>
    <row r="51">
      <c r="A51" s="86" t="n"/>
      <c r="I51" s="320" t="n"/>
    </row>
    <row r="52" ht="13.5" customHeight="1" thickBot="1">
      <c r="A52" s="335" t="n"/>
      <c r="B52" s="336" t="n"/>
      <c r="C52" s="336" t="n"/>
      <c r="D52" s="336" t="n"/>
      <c r="E52" s="336" t="n"/>
      <c r="F52" s="336" t="n"/>
      <c r="G52" s="336" t="n"/>
      <c r="H52" s="336" t="n"/>
      <c r="I52" s="337" t="n"/>
    </row>
    <row r="53" ht="25" customHeight="1">
      <c r="A53" s="356" t="inlineStr">
        <is>
          <t>HSEQ MESSAGES</t>
        </is>
      </c>
      <c r="B53" s="339" t="n"/>
      <c r="C53" s="339" t="n"/>
      <c r="D53" s="339" t="n"/>
      <c r="E53" s="339" t="n"/>
      <c r="F53" s="339" t="n"/>
      <c r="G53" s="339" t="n"/>
      <c r="H53" s="339" t="n"/>
      <c r="I53" s="340" t="n"/>
    </row>
    <row r="54" ht="18" customHeight="1">
      <c r="A54" s="103" t="inlineStr">
        <is>
          <t>TCD - Monthly Safety Focus:</t>
        </is>
      </c>
      <c r="B54" s="276" t="inlineStr">
        <is>
          <t>Return to Work</t>
        </is>
      </c>
      <c r="C54" s="324" t="n"/>
      <c r="D54" s="324" t="n"/>
      <c r="E54" s="324" t="n"/>
      <c r="F54" s="324" t="n"/>
      <c r="G54" s="324" t="n"/>
      <c r="H54" s="324" t="n"/>
      <c r="I54" s="325" t="n"/>
    </row>
    <row r="55" ht="23" customHeight="1">
      <c r="A55" s="103" t="inlineStr">
        <is>
          <t>TCD - Daily Safety Focus:</t>
        </is>
      </c>
      <c r="B55" s="277" t="inlineStr">
        <is>
          <t>Plant on Plant</t>
        </is>
      </c>
      <c r="C55" s="324" t="n"/>
      <c r="D55" s="324" t="n"/>
      <c r="E55" s="324" t="n"/>
      <c r="F55" s="324" t="n"/>
      <c r="G55" s="324" t="n"/>
      <c r="H55" s="324" t="n"/>
      <c r="I55" s="327" t="n"/>
    </row>
    <row r="56" ht="18" customHeight="1">
      <c r="A56" s="104" t="inlineStr">
        <is>
          <t xml:space="preserve">Hazards Reported: </t>
        </is>
      </c>
      <c r="B56" s="105" t="inlineStr">
        <is>
          <t>Nil</t>
        </is>
      </c>
      <c r="C56" s="277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>Incident Free Days</t>
        </is>
      </c>
      <c r="B57" s="105" t="n">
        <v>52</v>
      </c>
      <c r="C57" s="276" t="n"/>
      <c r="D57" s="324" t="n"/>
      <c r="E57" s="324" t="n"/>
      <c r="F57" s="324" t="n"/>
      <c r="G57" s="324" t="n"/>
      <c r="H57" s="324" t="n"/>
      <c r="I57" s="325" t="n"/>
    </row>
    <row r="58" ht="18" customHeight="1">
      <c r="A58" s="106" t="inlineStr">
        <is>
          <t>Other Notes</t>
        </is>
      </c>
      <c r="B58" s="357" t="n"/>
      <c r="C58" s="330" t="n"/>
      <c r="D58" s="330" t="n"/>
      <c r="E58" s="330" t="n"/>
      <c r="F58" s="330" t="n"/>
      <c r="G58" s="330" t="n"/>
      <c r="H58" s="330" t="n"/>
      <c r="I58" s="331" t="n"/>
    </row>
    <row r="59" ht="20.25" customHeight="1">
      <c r="A59" s="352" t="inlineStr">
        <is>
          <t xml:space="preserve">INCIDENTS &amp; REPORTS </t>
        </is>
      </c>
      <c r="B59" s="324" t="n"/>
      <c r="C59" s="324" t="n"/>
      <c r="D59" s="324" t="n"/>
      <c r="E59" s="324" t="n"/>
      <c r="F59" s="324" t="n"/>
      <c r="G59" s="324" t="n"/>
      <c r="H59" s="324" t="n"/>
      <c r="I59" s="327" t="n"/>
    </row>
    <row r="60" ht="25" customHeight="1">
      <c r="A60" s="96" t="n"/>
      <c r="B60" s="274" t="inlineStr">
        <is>
          <t>QTY</t>
        </is>
      </c>
      <c r="C60" s="133" t="inlineStr">
        <is>
          <t>Comments</t>
        </is>
      </c>
      <c r="D60" s="324" t="n"/>
      <c r="E60" s="324" t="n"/>
      <c r="F60" s="324" t="n"/>
      <c r="G60" s="324" t="n"/>
      <c r="H60" s="324" t="n"/>
      <c r="I60" s="327" t="n"/>
    </row>
    <row r="61" ht="25" customHeight="1">
      <c r="A61" s="98" t="inlineStr">
        <is>
          <t>INCIDENT</t>
        </is>
      </c>
      <c r="B61" s="274" t="n">
        <v>0</v>
      </c>
      <c r="C61" s="355" t="inlineStr">
        <is>
          <t>NA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9" t="inlineStr">
        <is>
          <t>IR</t>
        </is>
      </c>
      <c r="B62" s="100" t="n">
        <v>0</v>
      </c>
      <c r="C62" s="358" t="inlineStr">
        <is>
          <t>NA</t>
        </is>
      </c>
      <c r="D62" s="330" t="n"/>
      <c r="E62" s="330" t="n"/>
      <c r="F62" s="330" t="n"/>
      <c r="G62" s="330" t="n"/>
      <c r="H62" s="330" t="n"/>
      <c r="I62" s="331" t="n"/>
    </row>
    <row r="63" ht="25" customHeight="1" thickBot="1">
      <c r="A63" s="101" t="inlineStr">
        <is>
          <t>NCR</t>
        </is>
      </c>
      <c r="B63" s="102" t="n">
        <v>0</v>
      </c>
      <c r="C63" s="359" t="inlineStr">
        <is>
          <t>NA</t>
        </is>
      </c>
      <c r="D63" s="345" t="n"/>
      <c r="E63" s="345" t="n"/>
      <c r="F63" s="345" t="n"/>
      <c r="G63" s="345" t="n"/>
      <c r="H63" s="345" t="n"/>
      <c r="I63" s="346" t="n"/>
    </row>
    <row r="64" ht="20.25" customHeight="1">
      <c r="A64" s="356" t="inlineStr">
        <is>
          <t>COMMUNICATIONS</t>
        </is>
      </c>
      <c r="B64" s="339" t="n"/>
      <c r="C64" s="339" t="n"/>
      <c r="D64" s="339" t="n"/>
      <c r="E64" s="339" t="n"/>
      <c r="F64" s="339" t="n"/>
      <c r="G64" s="339" t="n"/>
      <c r="H64" s="339" t="n"/>
      <c r="I64" s="340" t="n"/>
    </row>
    <row r="65" ht="25" customHeight="1">
      <c r="A65" s="347" t="inlineStr">
        <is>
          <t>TGS MB1119-05 Scheme D impletmented</t>
        </is>
      </c>
      <c r="B65" s="324" t="n"/>
      <c r="C65" s="324" t="n"/>
      <c r="D65" s="324" t="n"/>
      <c r="E65" s="324" t="n"/>
      <c r="F65" s="324" t="n"/>
      <c r="G65" s="324" t="n"/>
      <c r="H65" s="324" t="n"/>
      <c r="I65" s="327" t="n"/>
    </row>
    <row r="66" ht="25" customHeight="1">
      <c r="A66" s="347" t="n"/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52" t="inlineStr">
        <is>
          <t>PRODUCTION (CONSTRUCTION STATUS &amp; PROGRESS)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154" t="inlineStr">
        <is>
          <t>Installed temp fencing to foreshire drive footpath</t>
        </is>
      </c>
      <c r="B68" s="150" t="n"/>
      <c r="C68" s="150" t="n"/>
      <c r="D68" s="150" t="n"/>
      <c r="E68" s="150" t="n"/>
      <c r="F68" s="150" t="n"/>
      <c r="G68" s="150" t="n"/>
      <c r="H68" s="150" t="n"/>
      <c r="I68" s="151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Commenced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.5" customHeight="1" thickBot="1">
      <c r="A72" s="354" t="inlineStr">
        <is>
          <t>PHOTOS</t>
        </is>
      </c>
      <c r="B72" s="330" t="n"/>
      <c r="C72" s="330" t="n"/>
      <c r="D72" s="330" t="n"/>
      <c r="E72" s="330" t="n"/>
      <c r="F72" s="330" t="n"/>
      <c r="G72" s="330" t="n"/>
      <c r="H72" s="330" t="n"/>
      <c r="I72" s="331" t="n"/>
    </row>
    <row r="73" ht="22.5" customHeight="1">
      <c r="A73" s="87" t="n"/>
      <c r="B73" s="88" t="n"/>
      <c r="C73" s="88" t="n"/>
      <c r="D73" s="88" t="n"/>
      <c r="E73" s="88" t="n"/>
      <c r="F73" s="88" t="n"/>
      <c r="G73" s="88" t="n"/>
      <c r="H73" s="88" t="n"/>
      <c r="I73" s="89" t="n"/>
    </row>
    <row r="74" ht="22.5" customHeight="1">
      <c r="A74" s="65" t="n"/>
      <c r="B74" s="66" t="n"/>
      <c r="C74" s="66" t="n"/>
      <c r="D74" s="66" t="n"/>
      <c r="E74" s="66" t="n"/>
      <c r="F74" s="66" t="n"/>
      <c r="G74" s="66" t="n"/>
      <c r="H74" s="66" t="n"/>
      <c r="I74" s="67" t="n"/>
    </row>
    <row r="75" ht="1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H95" s="66" t="n"/>
      <c r="I95" s="67" t="n"/>
    </row>
    <row r="96" ht="25" customFormat="1" customHeight="1" s="6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 thickBot="1">
      <c r="A111" s="155" t="n"/>
      <c r="B111" s="156" t="n"/>
      <c r="C111" s="156" t="n"/>
      <c r="D111" s="156" t="n"/>
      <c r="E111" s="156" t="n"/>
      <c r="F111" s="156" t="n"/>
      <c r="G111" s="156" t="n"/>
      <c r="H111" s="156" t="n"/>
      <c r="I111" s="15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2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8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 thickBo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  <c r="J136" s="78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6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30.75" customHeight="1">
      <c r="A144" s="255" t="n"/>
      <c r="E144" s="256" t="n"/>
      <c r="I144" s="320" t="n"/>
    </row>
    <row r="145">
      <c r="A145" s="152" t="n"/>
      <c r="I145" s="153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 ht="15" customHeight="1" thickBot="1">
      <c r="A198" s="144" t="n"/>
      <c r="B198" s="145" t="n"/>
      <c r="C198" s="145" t="n"/>
      <c r="D198" s="145" t="n"/>
      <c r="E198" s="145" t="n"/>
      <c r="F198" s="145" t="n"/>
      <c r="G198" s="145" t="n"/>
      <c r="H198" s="145" t="n"/>
      <c r="I198" s="146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 ht="15" customHeight="1" thickBot="1">
      <c r="A205" s="144" t="n"/>
      <c r="B205" s="145" t="n"/>
      <c r="C205" s="145" t="n"/>
      <c r="D205" s="145" t="n"/>
      <c r="E205" s="145" t="n"/>
      <c r="F205" s="145" t="n"/>
      <c r="G205" s="145" t="n"/>
      <c r="H205" s="145" t="n"/>
      <c r="I205" s="146" t="n"/>
    </row>
  </sheetData>
  <mergeCells count="40">
    <mergeCell ref="C61:I61"/>
    <mergeCell ref="A65:I65"/>
    <mergeCell ref="D13:F13"/>
    <mergeCell ref="A144:D144"/>
    <mergeCell ref="G13:I13"/>
    <mergeCell ref="B8:D8"/>
    <mergeCell ref="B54:I54"/>
    <mergeCell ref="A66:I66"/>
    <mergeCell ref="A12:I12"/>
    <mergeCell ref="C57:I57"/>
    <mergeCell ref="B43:C43"/>
    <mergeCell ref="B58:I58"/>
    <mergeCell ref="D43:I43"/>
    <mergeCell ref="A47:I47"/>
    <mergeCell ref="A5:I5"/>
    <mergeCell ref="A49:I52"/>
    <mergeCell ref="A46:B46"/>
    <mergeCell ref="B9:D9"/>
    <mergeCell ref="C62:I62"/>
    <mergeCell ref="A53:I53"/>
    <mergeCell ref="B6:D6"/>
    <mergeCell ref="A72:I72"/>
    <mergeCell ref="B44:C44"/>
    <mergeCell ref="A13:C13"/>
    <mergeCell ref="A10:I10"/>
    <mergeCell ref="A1:I4"/>
    <mergeCell ref="A67:I67"/>
    <mergeCell ref="D44:I44"/>
    <mergeCell ref="B7:D7"/>
    <mergeCell ref="C63:I63"/>
    <mergeCell ref="A64:I64"/>
    <mergeCell ref="A59:I59"/>
    <mergeCell ref="E144:I144"/>
    <mergeCell ref="A11:I11"/>
    <mergeCell ref="D46:I46"/>
    <mergeCell ref="B55:I55"/>
    <mergeCell ref="C56:I56"/>
    <mergeCell ref="B45:C45"/>
    <mergeCell ref="D45:I45"/>
    <mergeCell ref="C60:I60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1" min="0" max="8" man="1"/>
    <brk id="209" min="0" max="8" man="1"/>
  </rowBreaks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topLeftCell="A73" zoomScale="40" zoomScaleNormal="100" zoomScaleSheetLayoutView="40" workbookViewId="0">
      <selection activeCell="M170" sqref="M17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45849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33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5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5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New irrigation design received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Working in Trenches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53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Ongoing Drainage to 525 Line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Preparation to watercorp shut down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19" sqref="D19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Wind: 28 km/h SW Precip: 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8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8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/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7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APRA Works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54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Passed 525 and 600 Pipe Beneath sewer pressure main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S206"/>
  <sheetViews>
    <sheetView view="pageBreakPreview" zoomScale="40" zoomScaleNormal="100" zoomScaleSheetLayoutView="40" workbookViewId="0">
      <selection activeCell="D40" sqref="D4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Wind: 61 km/h SW Precip: 2.8 (6.4mm Sunday)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10</v>
      </c>
      <c r="D42" s="112" t="n"/>
      <c r="E42" s="112" t="n"/>
      <c r="F42" s="112" t="n"/>
      <c r="G42" s="112" t="n"/>
      <c r="H42" s="111" t="n"/>
      <c r="I42" s="113" t="n"/>
    </row>
    <row r="43" ht="23.5" customHeight="1">
      <c r="A43" s="114" t="n"/>
      <c r="B43" s="112" t="n"/>
      <c r="C43" s="111" t="n"/>
      <c r="D43" s="116" t="n"/>
      <c r="E43" s="116" t="n"/>
      <c r="F43" s="116" t="n"/>
      <c r="G43" s="116" t="n"/>
      <c r="H43" s="116" t="n"/>
      <c r="I43" s="117" t="n"/>
    </row>
    <row r="44" ht="18" customHeight="1">
      <c r="A44" s="118" t="n">
        <v>0</v>
      </c>
      <c r="B44" s="278" t="inlineStr">
        <is>
          <t xml:space="preserve">Repairs Required </t>
        </is>
      </c>
      <c r="C44" s="325" t="n"/>
      <c r="D44" s="355" t="inlineStr">
        <is>
          <t>N/A</t>
        </is>
      </c>
      <c r="E44" s="324" t="n"/>
      <c r="F44" s="324" t="n"/>
      <c r="G44" s="324" t="n"/>
      <c r="H44" s="324" t="n"/>
      <c r="I44" s="327" t="n"/>
    </row>
    <row r="45" ht="18" customHeight="1">
      <c r="A45" s="119" t="n">
        <v>0</v>
      </c>
      <c r="B45" s="278" t="inlineStr">
        <is>
          <t>Scheduled Service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20" t="n">
        <v>0</v>
      </c>
      <c r="B46" s="278" t="inlineStr">
        <is>
          <t>Repairs required but operable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23" customHeight="1">
      <c r="A47" s="90" t="inlineStr">
        <is>
          <t xml:space="preserve">Total Plant and Equipment Hours: </t>
        </is>
      </c>
      <c r="B47" s="325" t="n"/>
      <c r="C47" s="284">
        <f>SUM(C32:C43)</f>
        <v/>
      </c>
      <c r="D47" s="275" t="n"/>
      <c r="E47" s="324" t="n"/>
      <c r="F47" s="324" t="n"/>
      <c r="G47" s="324" t="n"/>
      <c r="H47" s="324" t="n"/>
      <c r="I47" s="327" t="n"/>
    </row>
    <row r="48" ht="25" customHeight="1">
      <c r="A48" s="352" t="inlineStr">
        <is>
          <t>DELAYS-OPPORTUNITY</t>
        </is>
      </c>
      <c r="B48" s="324" t="n"/>
      <c r="C48" s="324" t="n"/>
      <c r="D48" s="324" t="n"/>
      <c r="E48" s="324" t="n"/>
      <c r="F48" s="324" t="n"/>
      <c r="G48" s="324" t="n"/>
      <c r="H48" s="324" t="n"/>
      <c r="I48" s="327" t="n"/>
    </row>
    <row r="49" ht="20" customHeight="1">
      <c r="A49" s="233" t="n"/>
      <c r="B49" s="234" t="n"/>
      <c r="C49" s="234" t="n"/>
      <c r="D49" s="234" t="n"/>
      <c r="E49" s="234" t="n"/>
      <c r="F49" s="234" t="n"/>
      <c r="G49" s="234" t="n"/>
      <c r="H49" s="234" t="n"/>
      <c r="I49" s="235" t="n"/>
    </row>
    <row r="50">
      <c r="A50" s="334" t="inlineStr">
        <is>
          <t>APRA Shutdown</t>
        </is>
      </c>
      <c r="B50" s="330" t="n"/>
      <c r="C50" s="330" t="n"/>
      <c r="D50" s="330" t="n"/>
      <c r="E50" s="330" t="n"/>
      <c r="F50" s="330" t="n"/>
      <c r="G50" s="330" t="n"/>
      <c r="H50" s="330" t="n"/>
      <c r="I50" s="331" t="n"/>
    </row>
    <row r="51">
      <c r="A51" s="86" t="n"/>
      <c r="I51" s="320" t="n"/>
    </row>
    <row r="52">
      <c r="A52" s="86" t="n"/>
      <c r="I52" s="320" t="n"/>
    </row>
    <row r="53" ht="13.5" customHeight="1" thickBot="1">
      <c r="A53" s="335" t="n"/>
      <c r="B53" s="336" t="n"/>
      <c r="C53" s="336" t="n"/>
      <c r="D53" s="336" t="n"/>
      <c r="E53" s="336" t="n"/>
      <c r="F53" s="336" t="n"/>
      <c r="G53" s="336" t="n"/>
      <c r="H53" s="336" t="n"/>
      <c r="I53" s="337" t="n"/>
    </row>
    <row r="54" ht="25" customHeight="1">
      <c r="A54" s="356" t="inlineStr">
        <is>
          <t>HSEQ MESSAGES</t>
        </is>
      </c>
      <c r="B54" s="339" t="n"/>
      <c r="C54" s="339" t="n"/>
      <c r="D54" s="339" t="n"/>
      <c r="E54" s="339" t="n"/>
      <c r="F54" s="339" t="n"/>
      <c r="G54" s="339" t="n"/>
      <c r="H54" s="339" t="n"/>
      <c r="I54" s="340" t="n"/>
    </row>
    <row r="55" ht="18" customHeight="1">
      <c r="A55" s="103" t="inlineStr">
        <is>
          <t>TCD - Monthly Safety Focus:</t>
        </is>
      </c>
      <c r="B55" s="276" t="inlineStr">
        <is>
          <t>Return to Work</t>
        </is>
      </c>
      <c r="C55" s="324" t="n"/>
      <c r="D55" s="324" t="n"/>
      <c r="E55" s="324" t="n"/>
      <c r="F55" s="324" t="n"/>
      <c r="G55" s="324" t="n"/>
      <c r="H55" s="324" t="n"/>
      <c r="I55" s="325" t="n"/>
    </row>
    <row r="56" ht="23" customHeight="1">
      <c r="A56" s="103" t="inlineStr">
        <is>
          <t>TCD - Daily Safety Focus:</t>
        </is>
      </c>
      <c r="B56" s="277" t="inlineStr">
        <is>
          <t>Simops</t>
        </is>
      </c>
      <c r="C56" s="324" t="n"/>
      <c r="D56" s="324" t="n"/>
      <c r="E56" s="324" t="n"/>
      <c r="F56" s="324" t="n"/>
      <c r="G56" s="324" t="n"/>
      <c r="H56" s="324" t="n"/>
      <c r="I56" s="327" t="n"/>
    </row>
    <row r="57" ht="18" customHeight="1">
      <c r="A57" s="104" t="inlineStr">
        <is>
          <t xml:space="preserve">Hazards Reported: </t>
        </is>
      </c>
      <c r="B57" s="105" t="inlineStr">
        <is>
          <t>Nil</t>
        </is>
      </c>
      <c r="C57" s="277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>Incident Free Days</t>
        </is>
      </c>
      <c r="B58" s="105" t="n">
        <v>55</v>
      </c>
      <c r="C58" s="276" t="n"/>
      <c r="D58" s="324" t="n"/>
      <c r="E58" s="324" t="n"/>
      <c r="F58" s="324" t="n"/>
      <c r="G58" s="324" t="n"/>
      <c r="H58" s="324" t="n"/>
      <c r="I58" s="325" t="n"/>
    </row>
    <row r="59" ht="18" customHeight="1">
      <c r="A59" s="106" t="inlineStr">
        <is>
          <t>Other Notes</t>
        </is>
      </c>
      <c r="B59" s="357" t="n"/>
      <c r="C59" s="330" t="n"/>
      <c r="D59" s="330" t="n"/>
      <c r="E59" s="330" t="n"/>
      <c r="F59" s="330" t="n"/>
      <c r="G59" s="330" t="n"/>
      <c r="H59" s="330" t="n"/>
      <c r="I59" s="331" t="n"/>
    </row>
    <row r="60" ht="20.25" customHeight="1">
      <c r="A60" s="352" t="inlineStr">
        <is>
          <t xml:space="preserve">INCIDENTS &amp; REPORTS </t>
        </is>
      </c>
      <c r="B60" s="324" t="n"/>
      <c r="C60" s="324" t="n"/>
      <c r="D60" s="324" t="n"/>
      <c r="E60" s="324" t="n"/>
      <c r="F60" s="324" t="n"/>
      <c r="G60" s="324" t="n"/>
      <c r="H60" s="324" t="n"/>
      <c r="I60" s="327" t="n"/>
    </row>
    <row r="61" ht="25" customHeight="1">
      <c r="A61" s="96" t="n"/>
      <c r="B61" s="274" t="inlineStr">
        <is>
          <t>QTY</t>
        </is>
      </c>
      <c r="C61" s="133" t="inlineStr">
        <is>
          <t>Comments</t>
        </is>
      </c>
      <c r="D61" s="324" t="n"/>
      <c r="E61" s="324" t="n"/>
      <c r="F61" s="324" t="n"/>
      <c r="G61" s="324" t="n"/>
      <c r="H61" s="324" t="n"/>
      <c r="I61" s="327" t="n"/>
    </row>
    <row r="62" ht="25" customHeight="1">
      <c r="A62" s="98" t="inlineStr">
        <is>
          <t>INCIDENT</t>
        </is>
      </c>
      <c r="B62" s="274" t="n">
        <v>0</v>
      </c>
      <c r="C62" s="355" t="inlineStr">
        <is>
          <t>NA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9" t="inlineStr">
        <is>
          <t>IR</t>
        </is>
      </c>
      <c r="B63" s="100" t="n">
        <v>0</v>
      </c>
      <c r="C63" s="358" t="inlineStr">
        <is>
          <t>NA</t>
        </is>
      </c>
      <c r="D63" s="330" t="n"/>
      <c r="E63" s="330" t="n"/>
      <c r="F63" s="330" t="n"/>
      <c r="G63" s="330" t="n"/>
      <c r="H63" s="330" t="n"/>
      <c r="I63" s="331" t="n"/>
    </row>
    <row r="64" ht="25" customHeight="1" thickBot="1">
      <c r="A64" s="101" t="inlineStr">
        <is>
          <t>NCR</t>
        </is>
      </c>
      <c r="B64" s="102" t="n">
        <v>0</v>
      </c>
      <c r="C64" s="359" t="inlineStr">
        <is>
          <t>NA</t>
        </is>
      </c>
      <c r="D64" s="345" t="n"/>
      <c r="E64" s="345" t="n"/>
      <c r="F64" s="345" t="n"/>
      <c r="G64" s="345" t="n"/>
      <c r="H64" s="345" t="n"/>
      <c r="I64" s="346" t="n"/>
    </row>
    <row r="65" ht="20.25" customHeight="1">
      <c r="A65" s="356" t="inlineStr">
        <is>
          <t>COMMUNICATIONS</t>
        </is>
      </c>
      <c r="B65" s="339" t="n"/>
      <c r="C65" s="339" t="n"/>
      <c r="D65" s="339" t="n"/>
      <c r="E65" s="339" t="n"/>
      <c r="F65" s="339" t="n"/>
      <c r="G65" s="339" t="n"/>
      <c r="H65" s="339" t="n"/>
      <c r="I65" s="340" t="n"/>
    </row>
    <row r="66" ht="25" customHeight="1">
      <c r="A66" s="347" t="inlineStr">
        <is>
          <t>TGS MB1119-05 Scheme D impletmented</t>
        </is>
      </c>
      <c r="B66" s="324" t="n"/>
      <c r="C66" s="324" t="n"/>
      <c r="D66" s="324" t="n"/>
      <c r="E66" s="324" t="n"/>
      <c r="F66" s="324" t="n"/>
      <c r="G66" s="324" t="n"/>
      <c r="H66" s="324" t="n"/>
      <c r="I66" s="327" t="n"/>
    </row>
    <row r="67" ht="25" customHeight="1">
      <c r="A67" s="347" t="n"/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52" t="inlineStr">
        <is>
          <t>PRODUCTION (CONSTRUCTION STATUS &amp; PROGRESS)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54" t="inlineStr">
        <is>
          <t>Ongoing underground services</t>
        </is>
      </c>
      <c r="B69" s="150" t="n"/>
      <c r="C69" s="150" t="n"/>
      <c r="D69" s="150" t="n"/>
      <c r="E69" s="150" t="n"/>
      <c r="F69" s="150" t="n"/>
      <c r="G69" s="150" t="n"/>
      <c r="H69" s="150" t="n"/>
      <c r="I69" s="151" t="n"/>
    </row>
    <row r="70" ht="25" customHeight="1">
      <c r="A70" s="154" t="inlineStr">
        <is>
          <t>Complete 525 Culvert (Extend into Future Area)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n"/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.5" customHeight="1" thickBot="1">
      <c r="A73" s="354" t="inlineStr">
        <is>
          <t>PHOTOS</t>
        </is>
      </c>
      <c r="B73" s="330" t="n"/>
      <c r="C73" s="330" t="n"/>
      <c r="D73" s="330" t="n"/>
      <c r="E73" s="330" t="n"/>
      <c r="F73" s="330" t="n"/>
      <c r="G73" s="330" t="n"/>
      <c r="H73" s="330" t="n"/>
      <c r="I73" s="331" t="n"/>
    </row>
    <row r="74" ht="22.5" customHeight="1">
      <c r="A74" s="87" t="n"/>
      <c r="B74" s="88" t="n"/>
      <c r="C74" s="88" t="n"/>
      <c r="D74" s="88" t="n"/>
      <c r="E74" s="88" t="n"/>
      <c r="F74" s="88" t="n"/>
      <c r="G74" s="88" t="n"/>
      <c r="H74" s="88" t="n"/>
      <c r="I74" s="89" t="n"/>
    </row>
    <row r="75" ht="22.5" customHeight="1">
      <c r="A75" s="65" t="n"/>
      <c r="B75" s="66" t="n"/>
      <c r="C75" s="66" t="n"/>
      <c r="D75" s="66" t="n"/>
      <c r="E75" s="66" t="n"/>
      <c r="F75" s="66" t="n"/>
      <c r="G75" s="66" t="n"/>
      <c r="H75" s="66" t="n"/>
      <c r="I75" s="67" t="n"/>
    </row>
    <row r="76" ht="1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H96" s="66" t="n"/>
      <c r="I96" s="67" t="n"/>
    </row>
    <row r="97" ht="25" customFormat="1" customHeight="1" s="6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 thickBot="1">
      <c r="A112" s="155" t="n"/>
      <c r="B112" s="156" t="n"/>
      <c r="C112" s="156" t="n"/>
      <c r="D112" s="156" t="n"/>
      <c r="E112" s="156" t="n"/>
      <c r="F112" s="156" t="n"/>
      <c r="G112" s="156" t="n"/>
      <c r="H112" s="156" t="n"/>
      <c r="I112" s="15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2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8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 thickBo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  <c r="J137" s="78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6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30.75" customHeight="1">
      <c r="A145" s="255" t="n"/>
      <c r="E145" s="256" t="n"/>
      <c r="I145" s="320" t="n"/>
    </row>
    <row r="146">
      <c r="A146" s="152" t="n"/>
      <c r="I146" s="153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 ht="15" customHeight="1" thickBot="1">
      <c r="A199" s="144" t="n"/>
      <c r="B199" s="145" t="n"/>
      <c r="C199" s="145" t="n"/>
      <c r="D199" s="145" t="n"/>
      <c r="E199" s="145" t="n"/>
      <c r="F199" s="145" t="n"/>
      <c r="G199" s="145" t="n"/>
      <c r="H199" s="145" t="n"/>
      <c r="I199" s="146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 ht="15" customHeight="1" thickBot="1">
      <c r="A206" s="144" t="n"/>
      <c r="B206" s="145" t="n"/>
      <c r="C206" s="145" t="n"/>
      <c r="D206" s="145" t="n"/>
      <c r="E206" s="145" t="n"/>
      <c r="F206" s="145" t="n"/>
      <c r="G206" s="145" t="n"/>
      <c r="H206" s="145" t="n"/>
      <c r="I206" s="146" t="n"/>
    </row>
  </sheetData>
  <mergeCells count="40">
    <mergeCell ref="A65:I65"/>
    <mergeCell ref="C61:I61"/>
    <mergeCell ref="D13:F13"/>
    <mergeCell ref="A54:I54"/>
    <mergeCell ref="G13:I13"/>
    <mergeCell ref="B8:D8"/>
    <mergeCell ref="A66:I66"/>
    <mergeCell ref="B46:C46"/>
    <mergeCell ref="B59:I59"/>
    <mergeCell ref="A12:I12"/>
    <mergeCell ref="C57:I57"/>
    <mergeCell ref="D47:I47"/>
    <mergeCell ref="B56:I56"/>
    <mergeCell ref="A5:I5"/>
    <mergeCell ref="B9:D9"/>
    <mergeCell ref="C62:I62"/>
    <mergeCell ref="B6:D6"/>
    <mergeCell ref="C58:I58"/>
    <mergeCell ref="B44:C44"/>
    <mergeCell ref="A13:C13"/>
    <mergeCell ref="A68:I68"/>
    <mergeCell ref="A10:I10"/>
    <mergeCell ref="C64:I64"/>
    <mergeCell ref="A1:I4"/>
    <mergeCell ref="A47:B47"/>
    <mergeCell ref="A67:I67"/>
    <mergeCell ref="D44:I44"/>
    <mergeCell ref="B7:D7"/>
    <mergeCell ref="C63:I63"/>
    <mergeCell ref="A48:I48"/>
    <mergeCell ref="A50:I53"/>
    <mergeCell ref="A73:I73"/>
    <mergeCell ref="A11:I11"/>
    <mergeCell ref="B55:I55"/>
    <mergeCell ref="A145:D145"/>
    <mergeCell ref="A60:I60"/>
    <mergeCell ref="D46:I46"/>
    <mergeCell ref="B45:C45"/>
    <mergeCell ref="D45:I45"/>
    <mergeCell ref="E145:I145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2" min="0" max="8" man="1"/>
    <brk id="210" min="0" max="8" man="1"/>
  </rowBreaks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S207"/>
  <sheetViews>
    <sheetView view="pageBreakPreview" zoomScale="40" zoomScaleNormal="100" zoomScaleSheetLayoutView="40" workbookViewId="0">
      <selection activeCell="O191" sqref="O19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54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 xml:space="preserve">Commenced digging 600 crossing encountered potential clash with existing deep drainage line 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n"/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 ht="15" customHeight="1" thickBot="1">
      <c r="A200" s="144" t="n"/>
      <c r="B200" s="145" t="n"/>
      <c r="C200" s="145" t="n"/>
      <c r="D200" s="145" t="n"/>
      <c r="E200" s="145" t="n"/>
      <c r="F200" s="145" t="n"/>
      <c r="G200" s="145" t="n"/>
      <c r="H200" s="145" t="n"/>
      <c r="I200" s="146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 ht="15" customHeight="1" thickBot="1">
      <c r="A207" s="144" t="n"/>
      <c r="B207" s="145" t="n"/>
      <c r="C207" s="145" t="n"/>
      <c r="D207" s="145" t="n"/>
      <c r="E207" s="145" t="n"/>
      <c r="F207" s="145" t="n"/>
      <c r="G207" s="145" t="n"/>
      <c r="H207" s="145" t="n"/>
      <c r="I207" s="146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K16" sqref="K16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22 km/h SW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impletmented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352" t="inlineStr">
        <is>
          <t>PRODUCTION (CONSTRUCTION STATUS &amp; PROGRESS)</t>
        </is>
      </c>
      <c r="B69" s="324" t="n"/>
      <c r="C69" s="324" t="n"/>
      <c r="D69" s="324" t="n"/>
      <c r="E69" s="324" t="n"/>
      <c r="F69" s="324" t="n"/>
      <c r="G69" s="324" t="n"/>
      <c r="H69" s="324" t="n"/>
      <c r="I69" s="327" t="n"/>
    </row>
    <row r="70" ht="25" customHeight="1">
      <c r="A70" s="154" t="inlineStr">
        <is>
          <t>Ongoing underground services</t>
        </is>
      </c>
      <c r="B70" s="150" t="n"/>
      <c r="C70" s="150" t="n"/>
      <c r="D70" s="150" t="n"/>
      <c r="E70" s="150" t="n"/>
      <c r="F70" s="150" t="n"/>
      <c r="G70" s="150" t="n"/>
      <c r="H70" s="150" t="n"/>
      <c r="I70" s="151" t="n"/>
    </row>
    <row r="71" ht="25" customHeight="1">
      <c r="A71" s="154" t="inlineStr">
        <is>
          <t>Commenced digging 300 crossing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Surveyed existing deep stormwater to confirm clash Issue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3E onsite for electrical inspection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E146:I146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D45:I45"/>
    <mergeCell ref="A61:I61"/>
    <mergeCell ref="A69:I69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12" zoomScale="40" zoomScaleNormal="100" zoomScaleSheetLayoutView="40" workbookViewId="0">
      <selection activeCell="G20" sqref="G20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19 degrees    Wind 28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Seatbelts and 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58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Meeting with COGG Traffic Manager undertaken 17/7/25 working through solutions for foreshore drive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Laying of Pipework to 300 crossing (COGG Inspected)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Completed digging 600 crossing trench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4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31 km/h S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2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8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8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8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Diriving onsite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59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services-Connections to New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300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Lay Pipes to 600 Crossing Inspected by COGG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81" zoomScale="40" zoomScaleNormal="100" zoomScaleSheetLayoutView="40" workbookViewId="0">
      <selection activeCell="D21" sqref="D21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20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/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8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/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8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8</v>
      </c>
    </row>
    <row r="20" ht="22.5" customHeight="1">
      <c r="A20" s="110" t="n"/>
      <c r="B20" s="111" t="n"/>
      <c r="C20" s="112" t="n"/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5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U32" sqref="U32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45859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59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80 km/h SSW Precip: 9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Rixon, Ian</t>
        </is>
      </c>
      <c r="H20" s="111" t="inlineStr">
        <is>
          <t>Operator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Goodwin, Noah</t>
        </is>
      </c>
      <c r="H21" s="111" t="inlineStr">
        <is>
          <t>Labourer</t>
        </is>
      </c>
      <c r="I21" s="113" t="n">
        <v>10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3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5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>
        <v>10</v>
      </c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in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60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Sewer Connection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600 Drainage Crossing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146:D146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topLeftCell="A6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Slips Trips and Falls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62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n"/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S209"/>
  <sheetViews>
    <sheetView view="pageBreakPreview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45861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18 degrees    Wind 28 km/h NNE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>
        <v>10</v>
      </c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63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Drainge Forrest Street Section Inspected by COGG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Setting of lids to forrest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.5" customHeight="1" thickBot="1">
      <c r="A74" s="354" t="inlineStr">
        <is>
          <t>PHOTOS</t>
        </is>
      </c>
      <c r="B74" s="330" t="n"/>
      <c r="C74" s="330" t="n"/>
      <c r="D74" s="330" t="n"/>
      <c r="E74" s="330" t="n"/>
      <c r="F74" s="330" t="n"/>
      <c r="G74" s="330" t="n"/>
      <c r="H74" s="330" t="n"/>
      <c r="I74" s="331" t="n"/>
    </row>
    <row r="75" ht="22.5" customHeight="1">
      <c r="A75" s="87" t="n"/>
      <c r="B75" s="88" t="n"/>
      <c r="C75" s="88" t="n"/>
      <c r="D75" s="88" t="n"/>
      <c r="E75" s="88" t="n"/>
      <c r="F75" s="88" t="n"/>
      <c r="G75" s="88" t="n"/>
      <c r="H75" s="88" t="n"/>
      <c r="I75" s="89" t="n"/>
    </row>
    <row r="76" ht="22.5" customHeight="1">
      <c r="A76" s="65" t="n"/>
      <c r="B76" s="66" t="n"/>
      <c r="C76" s="66" t="n"/>
      <c r="D76" s="66" t="n"/>
      <c r="E76" s="66" t="n"/>
      <c r="F76" s="66" t="n"/>
      <c r="G76" s="66" t="n"/>
      <c r="H76" s="66" t="n"/>
      <c r="I76" s="67" t="n"/>
    </row>
    <row r="77" ht="1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H97" s="66" t="n"/>
      <c r="I97" s="67" t="n"/>
    </row>
    <row r="98" ht="25" customFormat="1" customHeight="1" s="6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 thickBot="1">
      <c r="A113" s="155" t="n"/>
      <c r="B113" s="156" t="n"/>
      <c r="C113" s="156" t="n"/>
      <c r="D113" s="156" t="n"/>
      <c r="E113" s="156" t="n"/>
      <c r="F113" s="156" t="n"/>
      <c r="G113" s="156" t="n"/>
      <c r="H113" s="156" t="n"/>
      <c r="I113" s="15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2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8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 thickBo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  <c r="J138" s="78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6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30.75" customHeight="1">
      <c r="A146" s="255" t="n"/>
      <c r="E146" s="256" t="n"/>
      <c r="I146" s="320" t="n"/>
    </row>
    <row r="147">
      <c r="A147" s="152" t="n"/>
      <c r="I147" s="153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74:I74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46:D146"/>
    <mergeCell ref="A68:I68"/>
    <mergeCell ref="A13:C13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E146:I146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3" min="0" max="8" man="1"/>
    <brk id="211" min="0" max="8" man="1"/>
  </rowBreaks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1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36.6328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45862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16 degrees    Wind 69 km/h SW  Precip: 38.2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11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>
        <v>5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>
        <v>5</v>
      </c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3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2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2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64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Sink Holes to southern side of site investigated and backfilled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Cutting of pits for lids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31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15 degrees    Wind E  35km/h SW  Precip: 0.4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11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12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1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Driving on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65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Completed backfill of drainage to forrest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Installation of irrigation sleeves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for Lids to drainage pids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22" zoomScale="40" zoomScaleNormal="100" zoomScaleSheetLayoutView="40" workbookViewId="0">
      <selection activeCell="G44" sqref="G4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53" t="inlineStr">
        <is>
          <t xml:space="preserve">Temperature: 17 degrees    Wind 33km/h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9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7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9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>
        <v>9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7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/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3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4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66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Backfilling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Removal of Rubbish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1 irrigation sleeve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X18" sqref="X18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65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78km/h SE  Precip: 22.2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/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Jachai Griffiths</t>
        </is>
      </c>
      <c r="H18" s="111" t="inlineStr">
        <is>
          <t>Operator</t>
        </is>
      </c>
      <c r="I18" s="113" t="n"/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O'Brian, Jamie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Goodwin, Noah</t>
        </is>
      </c>
      <c r="H20" s="111" t="inlineStr">
        <is>
          <t>Labourer</t>
        </is>
      </c>
      <c r="I20" s="113" t="n"/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/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Re-establishing site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 t="n">
        <v>67</v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Rain Affected Day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Repairs to Site Fencing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cutting of Drainage lids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n"/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45867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66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15 degrees    Wind 17km/h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Buecz, Jayden</t>
        </is>
      </c>
      <c r="H19" s="111" t="inlineStr">
        <is>
          <t>Driller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Anderson, Peter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Working Around Trenches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Completed Irrigation Sleeves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Backfill of Underground Services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Ongoing Underground Services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cutting of Drainage pits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Drillers onsite Baily Street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Commenced Irrigation Mainline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A1:I4"/>
    <mergeCell ref="C64:I64"/>
    <mergeCell ref="A67:I67"/>
    <mergeCell ref="A77:I77"/>
    <mergeCell ref="B7:D7"/>
    <mergeCell ref="C63:I63"/>
    <mergeCell ref="C65:I65"/>
    <mergeCell ref="A11:I11"/>
    <mergeCell ref="A49:I49"/>
    <mergeCell ref="A149:D1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G21" sqref="G21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45868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67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28km/h 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8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/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/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Pulling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Site still heavily affected by rain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H39" sqref="H39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45869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68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38km/h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>
        <v>6</v>
      </c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Return to Work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Cutting PE pipe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Backfill of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Ongoing cutting of Drainage pits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Drillers onsite Baily Street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Commenced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45870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69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22 degrees    Wind 52km/h NNE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Buecz, Jayden</t>
        </is>
      </c>
      <c r="H20" s="111" t="inlineStr">
        <is>
          <t>Driller</t>
        </is>
      </c>
      <c r="I20" s="113" t="n">
        <v>8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Anderson, Peter</t>
        </is>
      </c>
      <c r="H21" s="111" t="inlineStr">
        <is>
          <t>Driller</t>
        </is>
      </c>
      <c r="I21" s="113" t="n">
        <v>8</v>
      </c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Chester,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Mounsey, Matt</t>
        </is>
      </c>
      <c r="H23" s="111" t="inlineStr">
        <is>
          <t>Gas Fitter</t>
        </is>
      </c>
      <c r="I23" s="113" t="n">
        <v>8</v>
      </c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inlineStr">
        <is>
          <t>Herring, Levin</t>
        </is>
      </c>
      <c r="H24" s="111" t="inlineStr">
        <is>
          <t>Gas Fitter</t>
        </is>
      </c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/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/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10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/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10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8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Poly Weld Irrigation and construct thrust blocks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B46:C46"/>
    <mergeCell ref="A147:D147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A1:I4"/>
    <mergeCell ref="C64:I64"/>
    <mergeCell ref="A67:I67"/>
    <mergeCell ref="B7:D7"/>
    <mergeCell ref="C63:I63"/>
    <mergeCell ref="C65:I65"/>
    <mergeCell ref="A11:I11"/>
    <mergeCell ref="A49:I49"/>
    <mergeCell ref="D46:I46"/>
    <mergeCell ref="C59:I59"/>
    <mergeCell ref="B45:C45"/>
    <mergeCell ref="D45:I45"/>
    <mergeCell ref="A70:I70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S212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45873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70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18 degrees    Wind 12 km/h WSW  Precip: 0.4mm (15.8mm over the weekend)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11" t="n"/>
      <c r="H24" s="111" t="n"/>
      <c r="I24" s="111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11" t="n"/>
      <c r="H25" s="111" t="n"/>
      <c r="I25" s="111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COUNTIF(I15:I23,"&gt;0")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SUM(I15:I23)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10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10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2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Drillers onsite Baily Street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Rough Set Pits to irrigation mainline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Install headwall in sump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Ongoing Subgrade Prep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.5" customHeight="1" thickBot="1">
      <c r="A77" s="354" t="inlineStr">
        <is>
          <t>Photos</t>
        </is>
      </c>
      <c r="B77" s="330" t="n"/>
      <c r="C77" s="330" t="n"/>
      <c r="D77" s="330" t="n"/>
      <c r="E77" s="330" t="n"/>
      <c r="F77" s="330" t="n"/>
      <c r="G77" s="330" t="n"/>
      <c r="H77" s="330" t="n"/>
      <c r="I77" s="331" t="n"/>
    </row>
    <row r="78" ht="22.5" customHeight="1">
      <c r="A78" s="87" t="n"/>
      <c r="B78" s="88" t="n"/>
      <c r="C78" s="88" t="n"/>
      <c r="D78" s="88" t="n"/>
      <c r="E78" s="88" t="n"/>
      <c r="F78" s="88" t="n"/>
      <c r="G78" s="88" t="n"/>
      <c r="H78" s="88" t="n"/>
      <c r="I78" s="89" t="n"/>
    </row>
    <row r="79" ht="22.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H100" s="66" t="n"/>
      <c r="I100" s="67" t="n"/>
    </row>
    <row r="101" ht="25" customFormat="1" customHeight="1" s="6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 thickBot="1">
      <c r="A116" s="155" t="n"/>
      <c r="B116" s="156" t="n"/>
      <c r="C116" s="156" t="n"/>
      <c r="D116" s="156" t="n"/>
      <c r="E116" s="156" t="n"/>
      <c r="F116" s="156" t="n"/>
      <c r="G116" s="156" t="n"/>
      <c r="H116" s="156" t="n"/>
      <c r="I116" s="15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2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28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 thickBo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  <c r="J141" s="78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6" customHeight="1">
      <c r="A148" s="65" t="n"/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30.75" customHeight="1">
      <c r="A149" s="255" t="n"/>
      <c r="E149" s="256" t="n"/>
      <c r="I149" s="320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E149:I149"/>
    <mergeCell ref="A13:C13"/>
    <mergeCell ref="A68:I68"/>
    <mergeCell ref="A10:I10"/>
    <mergeCell ref="C64:I64"/>
    <mergeCell ref="A1:I4"/>
    <mergeCell ref="A67:I67"/>
    <mergeCell ref="A77:I77"/>
    <mergeCell ref="B7:D7"/>
    <mergeCell ref="C65:I65"/>
    <mergeCell ref="C63:I63"/>
    <mergeCell ref="A49:I49"/>
    <mergeCell ref="A11:I11"/>
    <mergeCell ref="A149:D149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6" min="0" max="8" man="1"/>
    <brk id="214" min="0" max="8" man="1"/>
  </rowBreaks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S213"/>
  <sheetViews>
    <sheetView tabSelected="1" view="pageBreakPreview" zoomScale="75" zoomScaleNormal="100" zoomScaleSheetLayoutView="40" workbookViewId="0">
      <selection activeCell="D20" sqref="D20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45874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71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30km/h NE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/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/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/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9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5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/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5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6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5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/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Lifting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Construction of Trial Pad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Flushing/ Air Valves to Mainline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Pushed Laterals through sleeve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inlineStr">
        <is>
          <t>Rough Set Pits to irrigation mainline</t>
        </is>
      </c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" customHeight="1">
      <c r="A76" s="154" t="inlineStr">
        <is>
          <t>Install headwall in sump</t>
        </is>
      </c>
      <c r="B76" s="150" t="n"/>
      <c r="C76" s="150" t="n"/>
      <c r="D76" s="150" t="n"/>
      <c r="E76" s="150" t="n"/>
      <c r="F76" s="150" t="n"/>
      <c r="G76" s="150" t="n"/>
      <c r="H76" s="150" t="n"/>
      <c r="I76" s="151" t="n"/>
    </row>
    <row r="77" ht="25" customHeight="1">
      <c r="A77" s="154" t="inlineStr">
        <is>
          <t>Ongoing Subgrade Prep</t>
        </is>
      </c>
      <c r="B77" s="150" t="n"/>
      <c r="C77" s="150" t="n"/>
      <c r="D77" s="150" t="n"/>
      <c r="E77" s="150" t="n"/>
      <c r="F77" s="150" t="n"/>
      <c r="G77" s="150" t="n"/>
      <c r="H77" s="150" t="n"/>
      <c r="I77" s="151" t="n"/>
    </row>
    <row r="78" ht="25.5" customHeight="1" thickBot="1">
      <c r="A78" s="354" t="inlineStr">
        <is>
          <t>Photos</t>
        </is>
      </c>
      <c r="B78" s="330" t="n"/>
      <c r="C78" s="330" t="n"/>
      <c r="D78" s="330" t="n"/>
      <c r="E78" s="330" t="n"/>
      <c r="F78" s="330" t="n"/>
      <c r="G78" s="330" t="n"/>
      <c r="H78" s="330" t="n"/>
      <c r="I78" s="331" t="n"/>
    </row>
    <row r="79" ht="22.5" customHeight="1">
      <c r="A79" s="87" t="n"/>
      <c r="B79" s="88" t="n"/>
      <c r="C79" s="88" t="n"/>
      <c r="D79" s="88" t="n"/>
      <c r="E79" s="88" t="n"/>
      <c r="F79" s="88" t="n"/>
      <c r="G79" s="88" t="n"/>
      <c r="H79" s="88" t="n"/>
      <c r="I79" s="89" t="n"/>
    </row>
    <row r="80" ht="22.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H101" s="66" t="n"/>
      <c r="I101" s="67" t="n"/>
    </row>
    <row r="102" ht="25" customFormat="1" customHeight="1" s="6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 thickBot="1">
      <c r="A117" s="155" t="n"/>
      <c r="B117" s="156" t="n"/>
      <c r="C117" s="156" t="n"/>
      <c r="D117" s="156" t="n"/>
      <c r="E117" s="156" t="n"/>
      <c r="F117" s="156" t="n"/>
      <c r="G117" s="156" t="n"/>
      <c r="H117" s="156" t="n"/>
      <c r="I117" s="15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28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 thickBo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  <c r="J142" s="78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5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15" customHeight="1">
      <c r="B148" s="66" t="n"/>
      <c r="C148" s="66" t="n"/>
      <c r="D148" s="66" t="n"/>
      <c r="E148" s="66" t="n"/>
      <c r="F148" s="66" t="n"/>
      <c r="G148" s="66" t="n"/>
      <c r="H148" s="66" t="n"/>
      <c r="I148" s="67" t="n"/>
    </row>
    <row r="149" ht="16" customHeight="1">
      <c r="A149" s="65" t="n"/>
      <c r="B149" s="66" t="n"/>
      <c r="C149" s="66" t="n"/>
      <c r="D149" s="66" t="n"/>
      <c r="E149" s="66" t="n"/>
      <c r="F149" s="66" t="n"/>
      <c r="G149" s="66" t="n"/>
      <c r="H149" s="66" t="n"/>
      <c r="I149" s="67" t="n"/>
    </row>
    <row r="150" ht="30.75" customHeight="1">
      <c r="A150" s="255" t="n"/>
      <c r="E150" s="256" t="n"/>
      <c r="I150" s="320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A183" s="152" t="n"/>
      <c r="I183" s="153" t="n"/>
    </row>
    <row r="184">
      <c r="A184" s="152" t="n"/>
      <c r="I184" s="153" t="n"/>
    </row>
    <row r="185"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  <row r="212">
      <c r="A212" s="152" t="n"/>
      <c r="I212" s="153" t="n"/>
    </row>
    <row r="213">
      <c r="A213" s="152" t="n"/>
      <c r="I213" s="153" t="n"/>
    </row>
  </sheetData>
  <mergeCells count="40">
    <mergeCell ref="A48:B48"/>
    <mergeCell ref="A150:D150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E150:I150"/>
    <mergeCell ref="D47:I47"/>
    <mergeCell ref="B56:I56"/>
    <mergeCell ref="A5:I5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  <mergeCell ref="A78:I78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7" min="0" max="8" man="1"/>
    <brk id="215" min="0" max="8" man="1"/>
  </rowBreaks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S211"/>
  <sheetViews>
    <sheetView view="pageBreakPreview" zoomScale="40" zoomScaleNormal="100" zoomScaleSheetLayoutView="40" workbookViewId="0">
      <selection activeCell="A51" sqref="A51:I54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45875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72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19 degrees    Wind No reading from BOM 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5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/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5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8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5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inlineStr">
        <is>
          <t>Porters advised that City of Greater Geraldton have rejected extension of Forrest Street Paving Area to accommodate additional services</t>
        </is>
      </c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Plant on Plant Interaction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inlineStr">
        <is>
          <t>Progress Meeting</t>
        </is>
      </c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underground Services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Rebuilding of verges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Placed material for laneway road widening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" customHeight="1">
      <c r="A75" s="154" t="n"/>
      <c r="B75" s="150" t="n"/>
      <c r="C75" s="150" t="n"/>
      <c r="D75" s="150" t="n"/>
      <c r="E75" s="150" t="n"/>
      <c r="F75" s="150" t="n"/>
      <c r="G75" s="150" t="n"/>
      <c r="H75" s="150" t="n"/>
      <c r="I75" s="151" t="n"/>
    </row>
    <row r="76" ht="25.5" customHeight="1" thickBot="1">
      <c r="A76" s="354" t="inlineStr">
        <is>
          <t>Photos</t>
        </is>
      </c>
      <c r="B76" s="330" t="n"/>
      <c r="C76" s="330" t="n"/>
      <c r="D76" s="330" t="n"/>
      <c r="E76" s="330" t="n"/>
      <c r="F76" s="330" t="n"/>
      <c r="G76" s="330" t="n"/>
      <c r="H76" s="330" t="n"/>
      <c r="I76" s="331" t="n"/>
    </row>
    <row r="77" ht="22.5" customHeight="1">
      <c r="A77" s="87" t="n"/>
      <c r="B77" s="88" t="n"/>
      <c r="C77" s="88" t="n"/>
      <c r="D77" s="88" t="n"/>
      <c r="E77" s="88" t="n"/>
      <c r="F77" s="88" t="n"/>
      <c r="G77" s="88" t="n"/>
      <c r="H77" s="88" t="n"/>
      <c r="I77" s="89" t="n"/>
    </row>
    <row r="78" ht="22.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G98" s="66" t="n"/>
      <c r="H98" s="66" t="n"/>
      <c r="I98" s="67" t="n"/>
    </row>
    <row r="99" ht="15" customHeight="1">
      <c r="A99" s="65" t="n"/>
      <c r="B99" s="66" t="n"/>
      <c r="C99" s="66" t="n"/>
      <c r="D99" s="66" t="n"/>
      <c r="E99" s="66" t="n"/>
      <c r="F99" s="66" t="n"/>
      <c r="H99" s="66" t="n"/>
      <c r="I99" s="67" t="n"/>
    </row>
    <row r="100" ht="25" customFormat="1" customHeight="1" s="6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>
      <c r="A114" s="65" t="n"/>
      <c r="B114" s="66" t="n"/>
      <c r="C114" s="66" t="n"/>
      <c r="D114" s="66" t="n"/>
      <c r="E114" s="66" t="n"/>
      <c r="F114" s="66" t="n"/>
      <c r="G114" s="66" t="n"/>
      <c r="H114" s="66" t="n"/>
      <c r="I114" s="67" t="n"/>
    </row>
    <row r="115" ht="15" customHeight="1" thickBot="1">
      <c r="A115" s="155" t="n"/>
      <c r="B115" s="156" t="n"/>
      <c r="C115" s="156" t="n"/>
      <c r="D115" s="156" t="n"/>
      <c r="E115" s="156" t="n"/>
      <c r="F115" s="156" t="n"/>
      <c r="G115" s="156" t="n"/>
      <c r="H115" s="156" t="n"/>
      <c r="I115" s="15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1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2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15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28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</row>
    <row r="140" ht="15" customHeight="1" thickBo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  <c r="J140" s="78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A145" s="65" t="n"/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5" customHeight="1"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16" customHeight="1">
      <c r="A147" s="65" t="n"/>
      <c r="B147" s="66" t="n"/>
      <c r="C147" s="66" t="n"/>
      <c r="D147" s="66" t="n"/>
      <c r="E147" s="66" t="n"/>
      <c r="F147" s="66" t="n"/>
      <c r="G147" s="66" t="n"/>
      <c r="H147" s="66" t="n"/>
      <c r="I147" s="67" t="n"/>
    </row>
    <row r="148" ht="30.75" customHeight="1">
      <c r="A148" s="255" t="n"/>
      <c r="E148" s="256" t="n"/>
      <c r="I148" s="320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A182" s="152" t="n"/>
      <c r="I182" s="153" t="n"/>
    </row>
    <row r="183"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  <row r="211">
      <c r="A211" s="152" t="n"/>
      <c r="I211" s="153" t="n"/>
    </row>
  </sheetData>
  <mergeCells count="40">
    <mergeCell ref="A48:B48"/>
    <mergeCell ref="B47:C47"/>
    <mergeCell ref="D13:F13"/>
    <mergeCell ref="G13:I13"/>
    <mergeCell ref="B8:D8"/>
    <mergeCell ref="A66:I66"/>
    <mergeCell ref="B46:C46"/>
    <mergeCell ref="D48:I48"/>
    <mergeCell ref="A55:I55"/>
    <mergeCell ref="A12:I12"/>
    <mergeCell ref="D47:I47"/>
    <mergeCell ref="B56:I56"/>
    <mergeCell ref="A5:I5"/>
    <mergeCell ref="A76:I76"/>
    <mergeCell ref="A51:I54"/>
    <mergeCell ref="A148:D148"/>
    <mergeCell ref="B9:D9"/>
    <mergeCell ref="B60:I60"/>
    <mergeCell ref="C62:I62"/>
    <mergeCell ref="B57:I57"/>
    <mergeCell ref="B6:D6"/>
    <mergeCell ref="C58:I58"/>
    <mergeCell ref="A13:C13"/>
    <mergeCell ref="E148:I148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5" min="0" max="8" man="1"/>
    <brk id="213" min="0" max="8" man="1"/>
  </rowBreaks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S210"/>
  <sheetViews>
    <sheetView view="pageBreakPreview" topLeftCell="A5" zoomScale="40" zoomScaleNormal="100" zoomScaleSheetLayoutView="40" workbookViewId="0">
      <selection activeCell="U7" sqref="U7"/>
    </sheetView>
  </sheetViews>
  <sheetFormatPr baseColWidth="8" defaultColWidth="9.1796875" defaultRowHeight="14.5"/>
  <cols>
    <col width="62.1796875" bestFit="1" customWidth="1" style="55" min="1" max="1"/>
    <col width="41.453125" bestFit="1" customWidth="1" style="55" min="2" max="2"/>
    <col width="16" customWidth="1" style="55" min="3" max="3"/>
    <col width="28.6328125" customWidth="1" style="55" min="4" max="4"/>
    <col width="21.36328125" customWidth="1" style="55" min="5" max="5"/>
    <col width="11.453125" bestFit="1" customWidth="1" style="55" min="6" max="6"/>
    <col width="60.453125" bestFit="1" customWidth="1" style="55" min="7" max="7"/>
    <col width="27.1796875" bestFit="1" customWidth="1" style="55" min="8" max="8"/>
    <col width="22.1796875" customWidth="1" style="55" min="9" max="9"/>
    <col width="9.1796875" customWidth="1" style="55" min="10" max="16384"/>
  </cols>
  <sheetData>
    <row r="1">
      <c r="A1" s="317" t="n"/>
      <c r="B1" s="318" t="n"/>
      <c r="C1" s="318" t="n"/>
      <c r="D1" s="318" t="n"/>
      <c r="E1" s="318" t="n"/>
      <c r="F1" s="318" t="n"/>
      <c r="G1" s="318" t="n"/>
      <c r="H1" s="318" t="n"/>
      <c r="I1" s="319" t="n"/>
    </row>
    <row r="2">
      <c r="A2" s="86" t="n"/>
      <c r="I2" s="320" t="n"/>
    </row>
    <row r="3">
      <c r="A3" s="86" t="n"/>
      <c r="I3" s="320" t="n"/>
    </row>
    <row r="4">
      <c r="A4" s="321" t="n"/>
      <c r="B4" s="322" t="n"/>
      <c r="C4" s="322" t="n"/>
      <c r="D4" s="322" t="n"/>
      <c r="E4" s="322" t="n"/>
      <c r="F4" s="322" t="n"/>
      <c r="G4" s="322" t="n"/>
      <c r="H4" s="322" t="n"/>
      <c r="I4" s="323" t="n"/>
    </row>
    <row r="5" ht="25" customHeight="1">
      <c r="A5" s="260" t="inlineStr">
        <is>
          <t>TCD DAILY FIELD REPORT</t>
        </is>
      </c>
      <c r="B5" s="324" t="n"/>
      <c r="C5" s="324" t="n"/>
      <c r="D5" s="324" t="n"/>
      <c r="E5" s="324" t="n"/>
      <c r="F5" s="324" t="n"/>
      <c r="G5" s="324" t="n"/>
      <c r="H5" s="324" t="n"/>
      <c r="I5" s="325" t="n"/>
    </row>
    <row r="6" ht="23" customHeight="1">
      <c r="A6" s="134" t="inlineStr">
        <is>
          <t>Project Name:</t>
        </is>
      </c>
      <c r="B6" s="263" t="inlineStr">
        <is>
          <t>Batavia Station Square</t>
        </is>
      </c>
      <c r="E6" s="263" t="n"/>
      <c r="F6" s="136" t="n"/>
      <c r="G6" s="136" t="n"/>
      <c r="H6" s="137" t="inlineStr">
        <is>
          <t>Date:</t>
        </is>
      </c>
      <c r="I6" s="138" t="n">
        <v>45876</v>
      </c>
    </row>
    <row r="7" ht="23" customHeight="1">
      <c r="A7" s="134" t="inlineStr">
        <is>
          <t>Project Location:</t>
        </is>
      </c>
      <c r="B7" s="263" t="inlineStr">
        <is>
          <t>Geraldton</t>
        </is>
      </c>
      <c r="E7" s="263" t="n"/>
      <c r="F7" s="136" t="n"/>
      <c r="G7" s="136" t="n"/>
      <c r="H7" s="139" t="inlineStr">
        <is>
          <t>Day:</t>
        </is>
      </c>
      <c r="I7" s="140">
        <f>I6</f>
        <v/>
      </c>
    </row>
    <row r="8" ht="23" customHeight="1">
      <c r="A8" s="134" t="inlineStr">
        <is>
          <t>Project Number:</t>
        </is>
      </c>
      <c r="B8" s="263" t="inlineStr">
        <is>
          <t>TCD-1816</t>
        </is>
      </c>
      <c r="E8" s="263" t="n"/>
      <c r="F8" s="136" t="n"/>
      <c r="G8" s="136" t="n"/>
      <c r="H8" s="139" t="inlineStr">
        <is>
          <t>Start:</t>
        </is>
      </c>
      <c r="I8" s="141" t="n">
        <v>0.2916666666666667</v>
      </c>
    </row>
    <row r="9" ht="23" customHeight="1">
      <c r="A9" s="134" t="inlineStr">
        <is>
          <t>Report Number:</t>
        </is>
      </c>
      <c r="B9" s="258" t="n">
        <v>73</v>
      </c>
      <c r="C9" s="322" t="n"/>
      <c r="D9" s="322" t="n"/>
      <c r="E9" s="259" t="n"/>
      <c r="F9" s="143" t="n"/>
      <c r="G9" s="143" t="n"/>
      <c r="H9" s="139" t="inlineStr">
        <is>
          <t>Finish:</t>
        </is>
      </c>
      <c r="I9" s="141" t="n">
        <v>0.7083333333333334</v>
      </c>
    </row>
    <row r="10" ht="25" customHeight="1">
      <c r="A10" s="352" t="inlineStr">
        <is>
          <t>WEATHER &amp; GROUND CONDITIONS</t>
        </is>
      </c>
      <c r="B10" s="324" t="n"/>
      <c r="C10" s="324" t="n"/>
      <c r="D10" s="324" t="n"/>
      <c r="E10" s="324" t="n"/>
      <c r="F10" s="324" t="n"/>
      <c r="G10" s="324" t="n"/>
      <c r="H10" s="324" t="n"/>
      <c r="I10" s="327" t="n"/>
    </row>
    <row r="11" ht="22.5" customHeight="1">
      <c r="A11" s="364" t="inlineStr">
        <is>
          <t xml:space="preserve">Temperature: 24 degrees    Wind 52km/h N  Precip: 0 mm </t>
        </is>
      </c>
      <c r="B11" s="324" t="n"/>
      <c r="C11" s="324" t="n"/>
      <c r="D11" s="324" t="n"/>
      <c r="E11" s="324" t="n"/>
      <c r="F11" s="324" t="n"/>
      <c r="G11" s="324" t="n"/>
      <c r="H11" s="324" t="n"/>
      <c r="I11" s="327" t="n"/>
    </row>
    <row r="12" ht="25" customHeight="1">
      <c r="A12" s="354" t="inlineStr">
        <is>
          <t>PERSONNEL</t>
        </is>
      </c>
      <c r="B12" s="330" t="n"/>
      <c r="C12" s="330" t="n"/>
      <c r="D12" s="330" t="n"/>
      <c r="E12" s="330" t="n"/>
      <c r="F12" s="330" t="n"/>
      <c r="G12" s="330" t="n"/>
      <c r="H12" s="330" t="n"/>
      <c r="I12" s="331" t="n"/>
    </row>
    <row r="13" ht="23" customHeight="1">
      <c r="A13" s="273" t="inlineStr">
        <is>
          <t>TCD Indirects</t>
        </is>
      </c>
      <c r="B13" s="324" t="n"/>
      <c r="C13" s="325" t="n"/>
      <c r="D13" s="274" t="inlineStr">
        <is>
          <t>TCD Directs</t>
        </is>
      </c>
      <c r="E13" s="324" t="n"/>
      <c r="F13" s="325" t="n"/>
      <c r="G13" s="274" t="inlineStr">
        <is>
          <t>Subcontractors</t>
        </is>
      </c>
      <c r="H13" s="324" t="n"/>
      <c r="I13" s="325" t="n"/>
    </row>
    <row r="14" ht="23" customHeight="1">
      <c r="A14" s="273" t="inlineStr">
        <is>
          <t xml:space="preserve"> Name</t>
        </is>
      </c>
      <c r="B14" s="274" t="inlineStr">
        <is>
          <t>Position</t>
        </is>
      </c>
      <c r="C14" s="124" t="inlineStr">
        <is>
          <t>Hours</t>
        </is>
      </c>
      <c r="D14" s="274" t="inlineStr">
        <is>
          <t xml:space="preserve"> Name</t>
        </is>
      </c>
      <c r="E14" s="274" t="inlineStr">
        <is>
          <t>Position</t>
        </is>
      </c>
      <c r="F14" s="124" t="inlineStr">
        <is>
          <t>Hours</t>
        </is>
      </c>
      <c r="G14" s="274" t="inlineStr">
        <is>
          <t xml:space="preserve"> Name</t>
        </is>
      </c>
      <c r="H14" s="274" t="inlineStr">
        <is>
          <t>Position</t>
        </is>
      </c>
      <c r="I14" s="275" t="inlineStr">
        <is>
          <t>Hours</t>
        </is>
      </c>
    </row>
    <row r="15" ht="22.5" customHeight="1">
      <c r="A15" s="110" t="inlineStr">
        <is>
          <t>WATKINS, Steve</t>
        </is>
      </c>
      <c r="B15" s="111" t="inlineStr">
        <is>
          <t>Civil Manager</t>
        </is>
      </c>
      <c r="C15" s="125" t="n"/>
      <c r="D15" s="126" t="n"/>
      <c r="E15" s="126" t="n"/>
      <c r="F15" s="111" t="n"/>
      <c r="G15" s="127" t="inlineStr">
        <is>
          <t>Khegan Brockman</t>
        </is>
      </c>
      <c r="H15" s="111" t="inlineStr">
        <is>
          <t>Labourer</t>
        </is>
      </c>
      <c r="I15" s="113" t="n">
        <v>10</v>
      </c>
    </row>
    <row r="16" ht="22.5" customHeight="1">
      <c r="A16" s="110" t="inlineStr">
        <is>
          <t>GRIFFITHS, Daniel</t>
        </is>
      </c>
      <c r="B16" s="111" t="inlineStr">
        <is>
          <t>Project Manager</t>
        </is>
      </c>
      <c r="C16" s="112" t="n">
        <v>10</v>
      </c>
      <c r="D16" s="128" t="n"/>
      <c r="E16" s="128" t="n"/>
      <c r="F16" s="111" t="n"/>
      <c r="G16" s="127" t="inlineStr">
        <is>
          <t>Laurent Levy</t>
        </is>
      </c>
      <c r="H16" s="111" t="inlineStr">
        <is>
          <t>Operator</t>
        </is>
      </c>
      <c r="I16" s="113" t="n">
        <v>10</v>
      </c>
    </row>
    <row r="17" ht="22.5" customHeight="1">
      <c r="A17" s="110" t="inlineStr">
        <is>
          <t>O"SHEA, John</t>
        </is>
      </c>
      <c r="B17" s="111" t="inlineStr">
        <is>
          <t>Senior Project Engineer</t>
        </is>
      </c>
      <c r="C17" s="112" t="n">
        <v>10</v>
      </c>
      <c r="D17" s="128" t="n"/>
      <c r="E17" s="128" t="n"/>
      <c r="F17" s="111" t="n"/>
      <c r="G17" s="127" t="inlineStr">
        <is>
          <t>Daniel McAuffile</t>
        </is>
      </c>
      <c r="H17" s="111" t="inlineStr">
        <is>
          <t>Operator</t>
        </is>
      </c>
      <c r="I17" s="113" t="n">
        <v>10</v>
      </c>
    </row>
    <row r="18" ht="22.5" customHeight="1">
      <c r="A18" s="110" t="inlineStr">
        <is>
          <t>GRIFFITHS, Ashley</t>
        </is>
      </c>
      <c r="B18" s="111" t="inlineStr">
        <is>
          <t>Supervisor</t>
        </is>
      </c>
      <c r="C18" s="112" t="n">
        <v>10</v>
      </c>
      <c r="D18" s="126" t="n"/>
      <c r="E18" s="126" t="n"/>
      <c r="F18" s="111" t="n"/>
      <c r="G18" s="127" t="inlineStr">
        <is>
          <t>O'Brian, Jamie</t>
        </is>
      </c>
      <c r="H18" s="111" t="inlineStr">
        <is>
          <t>Operator</t>
        </is>
      </c>
      <c r="I18" s="113" t="n">
        <v>10</v>
      </c>
    </row>
    <row r="19" ht="22.5" customHeight="1">
      <c r="A19" s="110" t="inlineStr">
        <is>
          <t>LOW, June</t>
        </is>
      </c>
      <c r="B19" s="111" t="inlineStr">
        <is>
          <t>HSET</t>
        </is>
      </c>
      <c r="C19" s="112" t="n"/>
      <c r="D19" s="126" t="n"/>
      <c r="E19" s="126" t="n"/>
      <c r="F19" s="111" t="n"/>
      <c r="G19" s="127" t="inlineStr">
        <is>
          <t>Simpson, Josh</t>
        </is>
      </c>
      <c r="H19" s="111" t="inlineStr">
        <is>
          <t>Operator</t>
        </is>
      </c>
      <c r="I19" s="113" t="n">
        <v>10</v>
      </c>
    </row>
    <row r="20" ht="22.5" customHeight="1">
      <c r="A20" s="110" t="inlineStr">
        <is>
          <t>SKINNER, Jamie</t>
        </is>
      </c>
      <c r="B20" s="111" t="inlineStr">
        <is>
          <t>Supervisor</t>
        </is>
      </c>
      <c r="C20" s="112" t="n">
        <v>10</v>
      </c>
      <c r="D20" s="126" t="n"/>
      <c r="E20" s="126" t="n"/>
      <c r="F20" s="111" t="n"/>
      <c r="G20" s="127" t="inlineStr">
        <is>
          <t>O'Reilly, James</t>
        </is>
      </c>
      <c r="H20" s="111" t="inlineStr">
        <is>
          <t>Operator</t>
        </is>
      </c>
      <c r="I20" s="113" t="n">
        <v>10</v>
      </c>
    </row>
    <row r="21" ht="22.5" customHeight="1">
      <c r="A21" s="110" t="n"/>
      <c r="B21" s="111" t="n"/>
      <c r="C21" s="112" t="n"/>
      <c r="D21" s="126" t="n"/>
      <c r="E21" s="126" t="n"/>
      <c r="F21" s="111" t="n"/>
      <c r="G21" s="127" t="inlineStr">
        <is>
          <t>Chester, Matt</t>
        </is>
      </c>
      <c r="H21" s="111" t="inlineStr">
        <is>
          <t>Gas Fitter</t>
        </is>
      </c>
      <c r="I21" s="113" t="n"/>
    </row>
    <row r="22" ht="22.5" customHeight="1">
      <c r="A22" s="110" t="n"/>
      <c r="B22" s="111" t="n"/>
      <c r="C22" s="112" t="n"/>
      <c r="D22" s="126" t="n"/>
      <c r="E22" s="126" t="n"/>
      <c r="F22" s="111" t="n"/>
      <c r="G22" s="127" t="inlineStr">
        <is>
          <t>Mounsey, Matt</t>
        </is>
      </c>
      <c r="H22" s="111" t="inlineStr">
        <is>
          <t>Gas Fitter</t>
        </is>
      </c>
      <c r="I22" s="113" t="n"/>
    </row>
    <row r="23" ht="22.5" customHeight="1">
      <c r="A23" s="110" t="n"/>
      <c r="B23" s="111" t="n"/>
      <c r="C23" s="112" t="n"/>
      <c r="D23" s="126" t="n"/>
      <c r="E23" s="126" t="n"/>
      <c r="F23" s="111" t="n"/>
      <c r="G23" s="127" t="inlineStr">
        <is>
          <t>Herring, Levin</t>
        </is>
      </c>
      <c r="H23" s="111" t="inlineStr">
        <is>
          <t>Gas Fitter</t>
        </is>
      </c>
      <c r="I23" s="113" t="n"/>
    </row>
    <row r="24" ht="22.5" customHeight="1">
      <c r="A24" s="110" t="n"/>
      <c r="B24" s="111" t="n"/>
      <c r="C24" s="112" t="n"/>
      <c r="D24" s="126" t="n"/>
      <c r="E24" s="126" t="n"/>
      <c r="F24" s="111" t="n"/>
      <c r="G24" s="127" t="n"/>
      <c r="H24" s="111" t="n"/>
      <c r="I24" s="113" t="n"/>
    </row>
    <row r="25" ht="22.5" customHeight="1">
      <c r="A25" s="110" t="n"/>
      <c r="B25" s="111" t="n"/>
      <c r="C25" s="112" t="n"/>
      <c r="D25" s="126" t="n"/>
      <c r="E25" s="126" t="n"/>
      <c r="F25" s="111" t="n"/>
      <c r="G25" s="129" t="n"/>
      <c r="H25" s="111" t="n"/>
      <c r="I25" s="113" t="n"/>
    </row>
    <row r="26" ht="23" customHeight="1">
      <c r="A26" s="90" t="inlineStr">
        <is>
          <t xml:space="preserve">Total Indirect Personnel onsite: </t>
        </is>
      </c>
      <c r="B26" s="130">
        <f>COUNTIF(C15:C25,"&gt;0")</f>
        <v/>
      </c>
      <c r="C26" s="126" t="n"/>
      <c r="D26" s="126" t="n"/>
      <c r="E26" s="126" t="n"/>
      <c r="F26" s="111" t="n"/>
      <c r="G26" s="283" t="inlineStr">
        <is>
          <t>Total Subcontractor on-site:</t>
        </is>
      </c>
      <c r="H26" s="131">
        <f>COUNTIF(I15:I25,"&gt;0")</f>
        <v/>
      </c>
      <c r="I26" s="113" t="n"/>
    </row>
    <row r="27" ht="23" customHeight="1">
      <c r="A27" s="90" t="inlineStr">
        <is>
          <t xml:space="preserve">Total Indirect Personnel hours: </t>
        </is>
      </c>
      <c r="B27" s="130">
        <f>SUM(C15:C25)</f>
        <v/>
      </c>
      <c r="C27" s="112" t="n"/>
      <c r="D27" s="126" t="n"/>
      <c r="E27" s="126" t="n"/>
      <c r="F27" s="111" t="n"/>
      <c r="G27" s="283" t="inlineStr">
        <is>
          <t>Total Subcontractor hours:</t>
        </is>
      </c>
      <c r="H27" s="131">
        <f>SUM(I15:I25)</f>
        <v/>
      </c>
      <c r="I27" s="113" t="n"/>
    </row>
    <row r="28" ht="23" customHeight="1">
      <c r="A28" s="90" t="inlineStr">
        <is>
          <t xml:space="preserve">Total Direct Personnel onsite:  </t>
        </is>
      </c>
      <c r="B28" s="130">
        <f>COUNTIF(F15:F29,"&gt;0")</f>
        <v/>
      </c>
      <c r="C28" s="130" t="n"/>
      <c r="D28" s="126" t="n"/>
      <c r="E28" s="126" t="n"/>
      <c r="F28" s="132" t="n"/>
      <c r="G28" s="283" t="n"/>
      <c r="H28" s="131" t="n"/>
      <c r="I28" s="133" t="n"/>
    </row>
    <row r="29" ht="23" customHeight="1">
      <c r="A29" s="90" t="inlineStr">
        <is>
          <t xml:space="preserve">Total Direct Personnel hours: </t>
        </is>
      </c>
      <c r="B29" s="130">
        <f>SUM(F15:F29)</f>
        <v/>
      </c>
      <c r="C29" s="130" t="n"/>
      <c r="D29" s="130" t="n"/>
      <c r="E29" s="130" t="n"/>
      <c r="F29" s="130" t="n"/>
      <c r="G29" s="130" t="n"/>
      <c r="H29" s="130" t="n"/>
      <c r="I29" s="133" t="n"/>
    </row>
    <row r="30" ht="25" customHeight="1">
      <c r="A30" s="91" t="inlineStr">
        <is>
          <t>PLANT &amp; EQUIPMENT</t>
        </is>
      </c>
      <c r="B30" s="10" t="n"/>
      <c r="C30" s="10" t="n"/>
      <c r="D30" s="10" t="n"/>
      <c r="E30" s="10" t="n"/>
      <c r="F30" s="10" t="n"/>
      <c r="G30" s="10" t="n"/>
      <c r="H30" s="10" t="n"/>
      <c r="I30" s="11" t="n"/>
    </row>
    <row r="31" ht="23" customHeight="1">
      <c r="A31" s="273" t="inlineStr">
        <is>
          <t>Plant</t>
        </is>
      </c>
      <c r="B31" s="274" t="inlineStr">
        <is>
          <t>ID</t>
        </is>
      </c>
      <c r="C31" s="274" t="inlineStr">
        <is>
          <t>Hours</t>
        </is>
      </c>
      <c r="D31" s="274" t="inlineStr">
        <is>
          <t xml:space="preserve"> Vehicles</t>
        </is>
      </c>
      <c r="E31" s="274" t="inlineStr">
        <is>
          <t>ID</t>
        </is>
      </c>
      <c r="F31" s="274" t="inlineStr">
        <is>
          <t>QTY</t>
        </is>
      </c>
      <c r="G31" s="108" t="inlineStr">
        <is>
          <t>Site Facilities</t>
        </is>
      </c>
      <c r="H31" s="108" t="inlineStr">
        <is>
          <t>ID</t>
        </is>
      </c>
      <c r="I31" s="109" t="inlineStr">
        <is>
          <t>Qty</t>
        </is>
      </c>
    </row>
    <row r="32" ht="22.5" customHeight="1">
      <c r="A32" s="110" t="inlineStr">
        <is>
          <t>Komatsu WA320</t>
        </is>
      </c>
      <c r="B32" s="111" t="inlineStr">
        <is>
          <t>FWL18</t>
        </is>
      </c>
      <c r="C32" s="111" t="n">
        <v>7</v>
      </c>
      <c r="D32" s="112" t="inlineStr">
        <is>
          <t>Hilux</t>
        </is>
      </c>
      <c r="E32" s="112" t="inlineStr">
        <is>
          <t>DLV90</t>
        </is>
      </c>
      <c r="F32" s="112" t="n">
        <v>1</v>
      </c>
      <c r="G32" s="112" t="inlineStr">
        <is>
          <t>Office 40ft</t>
        </is>
      </c>
      <c r="H32" s="112" t="n">
        <v>9255540</v>
      </c>
      <c r="I32" s="113" t="n">
        <v>1</v>
      </c>
    </row>
    <row r="33" ht="22.5" customHeight="1">
      <c r="A33" s="110" t="inlineStr">
        <is>
          <t>Wacker Neuson DPU</t>
        </is>
      </c>
      <c r="B33" s="111" t="inlineStr">
        <is>
          <t>DPC15</t>
        </is>
      </c>
      <c r="C33" s="111" t="n">
        <v>5</v>
      </c>
      <c r="D33" s="112" t="inlineStr">
        <is>
          <t>6 Wheel Tipper</t>
        </is>
      </c>
      <c r="E33" s="112" t="inlineStr">
        <is>
          <t>AMG04</t>
        </is>
      </c>
      <c r="F33" s="112" t="n"/>
      <c r="G33" s="112" t="inlineStr">
        <is>
          <t>Sea Container 20ft</t>
        </is>
      </c>
      <c r="H33" s="111" t="n">
        <v>951200</v>
      </c>
      <c r="I33" s="113" t="n">
        <v>1</v>
      </c>
    </row>
    <row r="34" ht="22.5" customHeight="1">
      <c r="A34" s="114" t="inlineStr">
        <is>
          <t>Positrak</t>
        </is>
      </c>
      <c r="B34" s="112" t="inlineStr">
        <is>
          <t>AMG 025</t>
        </is>
      </c>
      <c r="C34" s="111" t="n">
        <v>5</v>
      </c>
      <c r="D34" s="112" t="n"/>
      <c r="E34" s="111" t="n"/>
      <c r="F34" s="112" t="n"/>
      <c r="G34" s="112" t="inlineStr">
        <is>
          <t>Site Sentry Tower</t>
        </is>
      </c>
      <c r="H34" s="112" t="n"/>
      <c r="I34" s="113" t="n">
        <v>2</v>
      </c>
    </row>
    <row r="35" ht="22.5" customHeight="1">
      <c r="A35" s="114" t="inlineStr">
        <is>
          <t>Watercart</t>
        </is>
      </c>
      <c r="B35" s="112" t="inlineStr">
        <is>
          <t>WC04</t>
        </is>
      </c>
      <c r="C35" s="111" t="n">
        <v>8</v>
      </c>
      <c r="D35" s="112" t="n"/>
      <c r="E35" s="112" t="n"/>
      <c r="F35" s="112" t="n"/>
      <c r="G35" s="112" t="inlineStr">
        <is>
          <t>Skip Bin</t>
        </is>
      </c>
      <c r="H35" s="112" t="n"/>
      <c r="I35" s="113" t="n">
        <v>1</v>
      </c>
    </row>
    <row r="36" ht="22.5" customHeight="1">
      <c r="A36" s="114" t="inlineStr">
        <is>
          <t>8T Excavator</t>
        </is>
      </c>
      <c r="B36" s="115" t="inlineStr">
        <is>
          <t>AMG 014</t>
        </is>
      </c>
      <c r="C36" s="111" t="n">
        <v>6</v>
      </c>
      <c r="D36" s="112" t="n"/>
      <c r="E36" s="112" t="n"/>
      <c r="F36" s="112" t="n"/>
      <c r="G36" s="112" t="inlineStr">
        <is>
          <t>Hydrocarbon Bund</t>
        </is>
      </c>
      <c r="H36" s="112" t="n"/>
      <c r="I36" s="113" t="n">
        <v>1</v>
      </c>
    </row>
    <row r="37" ht="22.5" customHeight="1">
      <c r="A37" s="112" t="inlineStr">
        <is>
          <t>6 Wheel Tipper</t>
        </is>
      </c>
      <c r="B37" s="112" t="inlineStr">
        <is>
          <t>AMG 008</t>
        </is>
      </c>
      <c r="C37" s="112" t="n"/>
      <c r="D37" s="112" t="n"/>
      <c r="E37" s="112" t="n"/>
      <c r="F37" s="112" t="n"/>
      <c r="G37" s="112" t="inlineStr">
        <is>
          <t>Temp Fence</t>
        </is>
      </c>
      <c r="H37" s="111" t="n"/>
      <c r="I37" s="113" t="n">
        <v>1</v>
      </c>
    </row>
    <row r="38" ht="23.5" customHeight="1">
      <c r="A38" s="114" t="inlineStr">
        <is>
          <t>Padfoot/ Smooth Drum Roller</t>
        </is>
      </c>
      <c r="B38" s="112" t="inlineStr">
        <is>
          <t>RR 03</t>
        </is>
      </c>
      <c r="C38" s="111" t="n">
        <v>10</v>
      </c>
      <c r="D38" s="112" t="n"/>
      <c r="E38" s="112" t="n"/>
      <c r="F38" s="112" t="n"/>
      <c r="G38" s="116" t="n"/>
      <c r="H38" s="116" t="n"/>
      <c r="I38" s="117" t="n"/>
    </row>
    <row r="39" ht="23.5" customHeight="1">
      <c r="A39" s="114" t="inlineStr">
        <is>
          <t>Positrak SSL</t>
        </is>
      </c>
      <c r="B39" s="112" t="inlineStr">
        <is>
          <t>SSL08</t>
        </is>
      </c>
      <c r="C39" s="111" t="n">
        <v>10</v>
      </c>
      <c r="D39" s="112" t="n"/>
      <c r="E39" s="112" t="n"/>
      <c r="F39" s="112" t="n"/>
      <c r="G39" s="116" t="n"/>
      <c r="H39" s="116" t="n"/>
      <c r="I39" s="117" t="n"/>
    </row>
    <row r="40" ht="22.5" customHeight="1">
      <c r="A40" s="114" t="inlineStr">
        <is>
          <t>Grader</t>
        </is>
      </c>
      <c r="B40" s="112" t="inlineStr">
        <is>
          <t>SLS01</t>
        </is>
      </c>
      <c r="C40" s="111" t="n">
        <v>10</v>
      </c>
      <c r="D40" s="112" t="n"/>
      <c r="E40" s="112" t="n"/>
      <c r="F40" s="112" t="n"/>
      <c r="G40" s="112" t="n"/>
      <c r="H40" s="111" t="n"/>
      <c r="I40" s="113" t="n"/>
    </row>
    <row r="41" ht="22.5" customHeight="1">
      <c r="A41" s="114" t="inlineStr">
        <is>
          <t>5t Excavator</t>
        </is>
      </c>
      <c r="B41" s="112" t="inlineStr">
        <is>
          <t>AMG 007</t>
        </is>
      </c>
      <c r="C41" s="111" t="n"/>
      <c r="D41" s="112" t="n"/>
      <c r="E41" s="112" t="n"/>
      <c r="F41" s="112" t="n"/>
      <c r="G41" s="112" t="n"/>
      <c r="H41" s="111" t="n"/>
      <c r="I41" s="113" t="n"/>
    </row>
    <row r="42" ht="22.5" customHeight="1">
      <c r="A42" s="114" t="inlineStr">
        <is>
          <t>1.5 Excavator</t>
        </is>
      </c>
      <c r="B42" s="112" t="inlineStr">
        <is>
          <t>AMG 009</t>
        </is>
      </c>
      <c r="C42" s="111" t="n">
        <v>5</v>
      </c>
      <c r="D42" s="112" t="n"/>
      <c r="E42" s="112" t="n"/>
      <c r="F42" s="112" t="n"/>
      <c r="G42" s="112" t="n"/>
      <c r="H42" s="111" t="n"/>
      <c r="I42" s="113" t="n"/>
    </row>
    <row r="43" ht="22.5" customHeight="1">
      <c r="A43" s="114" t="inlineStr">
        <is>
          <t>5t Excavator</t>
        </is>
      </c>
      <c r="B43" s="112" t="inlineStr">
        <is>
          <t>AA 25</t>
        </is>
      </c>
      <c r="C43" s="111" t="n">
        <v>10</v>
      </c>
      <c r="D43" s="112" t="n"/>
      <c r="E43" s="112" t="n"/>
      <c r="F43" s="112" t="n"/>
      <c r="G43" s="112" t="n"/>
      <c r="H43" s="111" t="n"/>
      <c r="I43" s="113" t="n"/>
    </row>
    <row r="44" ht="23.5" customHeight="1">
      <c r="A44" s="114" t="n"/>
      <c r="B44" s="112" t="n"/>
      <c r="C44" s="111" t="n"/>
      <c r="D44" s="116" t="n"/>
      <c r="E44" s="116" t="n"/>
      <c r="F44" s="116" t="n"/>
      <c r="G44" s="116" t="n"/>
      <c r="H44" s="116" t="n"/>
      <c r="I44" s="117" t="n"/>
    </row>
    <row r="45" ht="18" customHeight="1">
      <c r="A45" s="118" t="n">
        <v>0</v>
      </c>
      <c r="B45" s="278" t="inlineStr">
        <is>
          <t xml:space="preserve">Repairs Required </t>
        </is>
      </c>
      <c r="C45" s="325" t="n"/>
      <c r="D45" s="355" t="inlineStr">
        <is>
          <t>N/A</t>
        </is>
      </c>
      <c r="E45" s="324" t="n"/>
      <c r="F45" s="324" t="n"/>
      <c r="G45" s="324" t="n"/>
      <c r="H45" s="324" t="n"/>
      <c r="I45" s="327" t="n"/>
    </row>
    <row r="46" ht="18" customHeight="1">
      <c r="A46" s="119" t="n">
        <v>0</v>
      </c>
      <c r="B46" s="278" t="inlineStr">
        <is>
          <t>Scheduled Service</t>
        </is>
      </c>
      <c r="C46" s="325" t="n"/>
      <c r="D46" s="355" t="inlineStr">
        <is>
          <t>N/A</t>
        </is>
      </c>
      <c r="E46" s="324" t="n"/>
      <c r="F46" s="324" t="n"/>
      <c r="G46" s="324" t="n"/>
      <c r="H46" s="324" t="n"/>
      <c r="I46" s="327" t="n"/>
    </row>
    <row r="47" ht="18" customHeight="1">
      <c r="A47" s="120" t="n">
        <v>0</v>
      </c>
      <c r="B47" s="278" t="inlineStr">
        <is>
          <t>Repairs required but operable</t>
        </is>
      </c>
      <c r="C47" s="325" t="n"/>
      <c r="D47" s="355" t="inlineStr">
        <is>
          <t>N/A</t>
        </is>
      </c>
      <c r="E47" s="324" t="n"/>
      <c r="F47" s="324" t="n"/>
      <c r="G47" s="324" t="n"/>
      <c r="H47" s="324" t="n"/>
      <c r="I47" s="327" t="n"/>
    </row>
    <row r="48" ht="23" customHeight="1">
      <c r="A48" s="90" t="inlineStr">
        <is>
          <t xml:space="preserve">Total Plant and Equipment Hours: </t>
        </is>
      </c>
      <c r="B48" s="325" t="n"/>
      <c r="C48" s="284">
        <f>SUM(C32:C44)</f>
        <v/>
      </c>
      <c r="D48" s="275" t="n"/>
      <c r="E48" s="324" t="n"/>
      <c r="F48" s="324" t="n"/>
      <c r="G48" s="324" t="n"/>
      <c r="H48" s="324" t="n"/>
      <c r="I48" s="327" t="n"/>
    </row>
    <row r="49" ht="25" customHeight="1">
      <c r="A49" s="352" t="inlineStr">
        <is>
          <t>DELAYS-OPPORTUNITY</t>
        </is>
      </c>
      <c r="B49" s="324" t="n"/>
      <c r="C49" s="324" t="n"/>
      <c r="D49" s="324" t="n"/>
      <c r="E49" s="324" t="n"/>
      <c r="F49" s="324" t="n"/>
      <c r="G49" s="324" t="n"/>
      <c r="H49" s="324" t="n"/>
      <c r="I49" s="327" t="n"/>
    </row>
    <row r="50" ht="20" customHeight="1">
      <c r="A50" s="233" t="n"/>
      <c r="B50" s="234" t="n"/>
      <c r="C50" s="234" t="n"/>
      <c r="D50" s="234" t="n"/>
      <c r="E50" s="234" t="n"/>
      <c r="F50" s="234" t="n"/>
      <c r="G50" s="234" t="n"/>
      <c r="H50" s="234" t="n"/>
      <c r="I50" s="235" t="n"/>
    </row>
    <row r="51">
      <c r="A51" s="334" t="n"/>
      <c r="B51" s="330" t="n"/>
      <c r="C51" s="330" t="n"/>
      <c r="D51" s="330" t="n"/>
      <c r="E51" s="330" t="n"/>
      <c r="F51" s="330" t="n"/>
      <c r="G51" s="330" t="n"/>
      <c r="H51" s="330" t="n"/>
      <c r="I51" s="331" t="n"/>
    </row>
    <row r="52">
      <c r="A52" s="86" t="n"/>
      <c r="I52" s="320" t="n"/>
    </row>
    <row r="53">
      <c r="A53" s="86" t="n"/>
      <c r="I53" s="320" t="n"/>
    </row>
    <row r="54" ht="13.5" customHeight="1" thickBot="1">
      <c r="A54" s="335" t="n"/>
      <c r="B54" s="336" t="n"/>
      <c r="C54" s="336" t="n"/>
      <c r="D54" s="336" t="n"/>
      <c r="E54" s="336" t="n"/>
      <c r="F54" s="336" t="n"/>
      <c r="G54" s="336" t="n"/>
      <c r="H54" s="336" t="n"/>
      <c r="I54" s="337" t="n"/>
    </row>
    <row r="55" ht="25" customHeight="1">
      <c r="A55" s="356" t="inlineStr">
        <is>
          <t>HSEQ MESSAGES</t>
        </is>
      </c>
      <c r="B55" s="339" t="n"/>
      <c r="C55" s="339" t="n"/>
      <c r="D55" s="339" t="n"/>
      <c r="E55" s="339" t="n"/>
      <c r="F55" s="339" t="n"/>
      <c r="G55" s="339" t="n"/>
      <c r="H55" s="339" t="n"/>
      <c r="I55" s="340" t="n"/>
    </row>
    <row r="56" ht="18" customHeight="1">
      <c r="A56" s="103" t="inlineStr">
        <is>
          <t>TCD - Monthly Safety Focus:</t>
        </is>
      </c>
      <c r="B56" s="276" t="inlineStr">
        <is>
          <t>Speaking up</t>
        </is>
      </c>
      <c r="C56" s="324" t="n"/>
      <c r="D56" s="324" t="n"/>
      <c r="E56" s="324" t="n"/>
      <c r="F56" s="324" t="n"/>
      <c r="G56" s="324" t="n"/>
      <c r="H56" s="324" t="n"/>
      <c r="I56" s="325" t="n"/>
    </row>
    <row r="57" ht="23" customHeight="1">
      <c r="A57" s="103" t="inlineStr">
        <is>
          <t>TCD - Daily Safety Focus:</t>
        </is>
      </c>
      <c r="B57" s="277" t="inlineStr">
        <is>
          <t>Wind and dust</t>
        </is>
      </c>
      <c r="C57" s="324" t="n"/>
      <c r="D57" s="324" t="n"/>
      <c r="E57" s="324" t="n"/>
      <c r="F57" s="324" t="n"/>
      <c r="G57" s="324" t="n"/>
      <c r="H57" s="324" t="n"/>
      <c r="I57" s="327" t="n"/>
    </row>
    <row r="58" ht="18" customHeight="1">
      <c r="A58" s="104" t="inlineStr">
        <is>
          <t xml:space="preserve">Hazards Reported: </t>
        </is>
      </c>
      <c r="B58" s="105" t="inlineStr">
        <is>
          <t>Nil</t>
        </is>
      </c>
      <c r="C58" s="277" t="n"/>
      <c r="D58" s="324" t="n"/>
      <c r="E58" s="324" t="n"/>
      <c r="F58" s="324" t="n"/>
      <c r="G58" s="324" t="n"/>
      <c r="H58" s="324" t="n"/>
      <c r="I58" s="327" t="n"/>
    </row>
    <row r="59" ht="18" customHeight="1">
      <c r="A59" s="104" t="inlineStr">
        <is>
          <t>Incident Free Days</t>
        </is>
      </c>
      <c r="B59" s="105">
        <f>B9+2</f>
        <v/>
      </c>
      <c r="C59" s="276" t="n"/>
      <c r="D59" s="324" t="n"/>
      <c r="E59" s="324" t="n"/>
      <c r="F59" s="324" t="n"/>
      <c r="G59" s="324" t="n"/>
      <c r="H59" s="324" t="n"/>
      <c r="I59" s="325" t="n"/>
    </row>
    <row r="60" ht="18" customHeight="1">
      <c r="A60" s="106" t="inlineStr">
        <is>
          <t>Other Notes</t>
        </is>
      </c>
      <c r="B60" s="357" t="n"/>
      <c r="C60" s="330" t="n"/>
      <c r="D60" s="330" t="n"/>
      <c r="E60" s="330" t="n"/>
      <c r="F60" s="330" t="n"/>
      <c r="G60" s="330" t="n"/>
      <c r="H60" s="330" t="n"/>
      <c r="I60" s="331" t="n"/>
    </row>
    <row r="61" ht="20.25" customHeight="1">
      <c r="A61" s="352" t="inlineStr">
        <is>
          <t xml:space="preserve">INCIDENTS &amp; REPORTS </t>
        </is>
      </c>
      <c r="B61" s="324" t="n"/>
      <c r="C61" s="324" t="n"/>
      <c r="D61" s="324" t="n"/>
      <c r="E61" s="324" t="n"/>
      <c r="F61" s="324" t="n"/>
      <c r="G61" s="324" t="n"/>
      <c r="H61" s="324" t="n"/>
      <c r="I61" s="327" t="n"/>
    </row>
    <row r="62" ht="25" customHeight="1">
      <c r="A62" s="96" t="n"/>
      <c r="B62" s="274" t="inlineStr">
        <is>
          <t>QTY</t>
        </is>
      </c>
      <c r="C62" s="133" t="inlineStr">
        <is>
          <t>Comments</t>
        </is>
      </c>
      <c r="D62" s="324" t="n"/>
      <c r="E62" s="324" t="n"/>
      <c r="F62" s="324" t="n"/>
      <c r="G62" s="324" t="n"/>
      <c r="H62" s="324" t="n"/>
      <c r="I62" s="327" t="n"/>
    </row>
    <row r="63" ht="25" customHeight="1">
      <c r="A63" s="98" t="inlineStr">
        <is>
          <t>INCIDENT</t>
        </is>
      </c>
      <c r="B63" s="274" t="n">
        <v>0</v>
      </c>
      <c r="C63" s="355" t="inlineStr">
        <is>
          <t>NA</t>
        </is>
      </c>
      <c r="D63" s="324" t="n"/>
      <c r="E63" s="324" t="n"/>
      <c r="F63" s="324" t="n"/>
      <c r="G63" s="324" t="n"/>
      <c r="H63" s="324" t="n"/>
      <c r="I63" s="327" t="n"/>
    </row>
    <row r="64" ht="25" customHeight="1">
      <c r="A64" s="99" t="inlineStr">
        <is>
          <t>IR</t>
        </is>
      </c>
      <c r="B64" s="100" t="n">
        <v>0</v>
      </c>
      <c r="C64" s="358" t="inlineStr">
        <is>
          <t>NA</t>
        </is>
      </c>
      <c r="D64" s="330" t="n"/>
      <c r="E64" s="330" t="n"/>
      <c r="F64" s="330" t="n"/>
      <c r="G64" s="330" t="n"/>
      <c r="H64" s="330" t="n"/>
      <c r="I64" s="331" t="n"/>
    </row>
    <row r="65" ht="25" customHeight="1" thickBot="1">
      <c r="A65" s="101" t="inlineStr">
        <is>
          <t>NCR</t>
        </is>
      </c>
      <c r="B65" s="102" t="n">
        <v>0</v>
      </c>
      <c r="C65" s="359" t="inlineStr">
        <is>
          <t>NA</t>
        </is>
      </c>
      <c r="D65" s="345" t="n"/>
      <c r="E65" s="345" t="n"/>
      <c r="F65" s="345" t="n"/>
      <c r="G65" s="345" t="n"/>
      <c r="H65" s="345" t="n"/>
      <c r="I65" s="346" t="n"/>
    </row>
    <row r="66" ht="20.25" customHeight="1">
      <c r="A66" s="356" t="inlineStr">
        <is>
          <t>COMMUNICATIONS</t>
        </is>
      </c>
      <c r="B66" s="339" t="n"/>
      <c r="C66" s="339" t="n"/>
      <c r="D66" s="339" t="n"/>
      <c r="E66" s="339" t="n"/>
      <c r="F66" s="339" t="n"/>
      <c r="G66" s="339" t="n"/>
      <c r="H66" s="339" t="n"/>
      <c r="I66" s="340" t="n"/>
    </row>
    <row r="67" ht="25" customHeight="1">
      <c r="A67" s="347" t="inlineStr">
        <is>
          <t>TGS MB1119-05 Scheme D implemented</t>
        </is>
      </c>
      <c r="B67" s="324" t="n"/>
      <c r="C67" s="324" t="n"/>
      <c r="D67" s="324" t="n"/>
      <c r="E67" s="324" t="n"/>
      <c r="F67" s="324" t="n"/>
      <c r="G67" s="324" t="n"/>
      <c r="H67" s="324" t="n"/>
      <c r="I67" s="327" t="n"/>
    </row>
    <row r="68" ht="25" customHeight="1">
      <c r="A68" s="347" t="n"/>
      <c r="B68" s="324" t="n"/>
      <c r="C68" s="324" t="n"/>
      <c r="D68" s="324" t="n"/>
      <c r="E68" s="324" t="n"/>
      <c r="F68" s="324" t="n"/>
      <c r="G68" s="324" t="n"/>
      <c r="H68" s="324" t="n"/>
      <c r="I68" s="327" t="n"/>
    </row>
    <row r="69" ht="25" customHeight="1">
      <c r="A69" s="184" t="n"/>
      <c r="B69" s="185" t="n"/>
      <c r="C69" s="185" t="n"/>
      <c r="D69" s="185" t="n"/>
      <c r="E69" s="185" t="n"/>
      <c r="F69" s="185" t="n"/>
      <c r="G69" s="185" t="n"/>
      <c r="H69" s="185" t="n"/>
      <c r="I69" s="186" t="n"/>
    </row>
    <row r="70" ht="25" customHeight="1">
      <c r="A70" s="352" t="inlineStr">
        <is>
          <t>PRODUCTION (CONSTRUCTION STATUS &amp; PROGRESS)</t>
        </is>
      </c>
      <c r="B70" s="324" t="n"/>
      <c r="C70" s="324" t="n"/>
      <c r="D70" s="324" t="n"/>
      <c r="E70" s="324" t="n"/>
      <c r="F70" s="324" t="n"/>
      <c r="G70" s="324" t="n"/>
      <c r="H70" s="324" t="n"/>
      <c r="I70" s="327" t="n"/>
    </row>
    <row r="71" ht="25" customHeight="1">
      <c r="A71" s="154" t="inlineStr">
        <is>
          <t>Ongoing cutting of Drainage pits</t>
        </is>
      </c>
      <c r="B71" s="150" t="n"/>
      <c r="C71" s="150" t="n"/>
      <c r="D71" s="150" t="n"/>
      <c r="E71" s="150" t="n"/>
      <c r="F71" s="150" t="n"/>
      <c r="G71" s="150" t="n"/>
      <c r="H71" s="150" t="n"/>
      <c r="I71" s="151" t="n"/>
    </row>
    <row r="72" ht="25" customHeight="1">
      <c r="A72" s="154" t="inlineStr">
        <is>
          <t>Denso Tape of water risers (inspected by WC)</t>
        </is>
      </c>
      <c r="B72" s="150" t="n"/>
      <c r="C72" s="150" t="n"/>
      <c r="D72" s="150" t="n"/>
      <c r="E72" s="150" t="n"/>
      <c r="F72" s="150" t="n"/>
      <c r="G72" s="150" t="n"/>
      <c r="H72" s="150" t="n"/>
      <c r="I72" s="151" t="n"/>
    </row>
    <row r="73" ht="25" customHeight="1">
      <c r="A73" s="154" t="inlineStr">
        <is>
          <t>Install headwall in sump</t>
        </is>
      </c>
      <c r="B73" s="150" t="n"/>
      <c r="C73" s="150" t="n"/>
      <c r="D73" s="150" t="n"/>
      <c r="E73" s="150" t="n"/>
      <c r="F73" s="150" t="n"/>
      <c r="G73" s="150" t="n"/>
      <c r="H73" s="150" t="n"/>
      <c r="I73" s="151" t="n"/>
    </row>
    <row r="74" ht="25" customHeight="1">
      <c r="A74" s="154" t="inlineStr">
        <is>
          <t>Ongoing Subgrade Prep</t>
        </is>
      </c>
      <c r="B74" s="150" t="n"/>
      <c r="C74" s="150" t="n"/>
      <c r="D74" s="150" t="n"/>
      <c r="E74" s="150" t="n"/>
      <c r="F74" s="150" t="n"/>
      <c r="G74" s="150" t="n"/>
      <c r="H74" s="150" t="n"/>
      <c r="I74" s="151" t="n"/>
    </row>
    <row r="75" ht="25.5" customHeight="1" thickBot="1">
      <c r="A75" s="354" t="inlineStr">
        <is>
          <t>Photos</t>
        </is>
      </c>
      <c r="B75" s="330" t="n"/>
      <c r="C75" s="330" t="n"/>
      <c r="D75" s="330" t="n"/>
      <c r="E75" s="330" t="n"/>
      <c r="F75" s="330" t="n"/>
      <c r="G75" s="330" t="n"/>
      <c r="H75" s="330" t="n"/>
      <c r="I75" s="331" t="n"/>
    </row>
    <row r="76" ht="22.5" customHeight="1">
      <c r="A76" s="87" t="n"/>
      <c r="B76" s="88" t="n"/>
      <c r="C76" s="88" t="n"/>
      <c r="D76" s="88" t="n"/>
      <c r="E76" s="88" t="n"/>
      <c r="F76" s="88" t="n"/>
      <c r="G76" s="88" t="n"/>
      <c r="H76" s="88" t="n"/>
      <c r="I76" s="89" t="n"/>
    </row>
    <row r="77" ht="22.5" customHeight="1">
      <c r="A77" s="65" t="n"/>
      <c r="B77" s="66" t="n"/>
      <c r="C77" s="66" t="n"/>
      <c r="D77" s="66" t="n"/>
      <c r="E77" s="66" t="n"/>
      <c r="F77" s="66" t="n"/>
      <c r="G77" s="66" t="n"/>
      <c r="H77" s="66" t="n"/>
      <c r="I77" s="67" t="n"/>
    </row>
    <row r="78" ht="15" customHeight="1">
      <c r="A78" s="65" t="n"/>
      <c r="B78" s="66" t="n"/>
      <c r="C78" s="66" t="n"/>
      <c r="D78" s="66" t="n"/>
      <c r="E78" s="66" t="n"/>
      <c r="F78" s="66" t="n"/>
      <c r="G78" s="66" t="n"/>
      <c r="H78" s="66" t="n"/>
      <c r="I78" s="67" t="n"/>
    </row>
    <row r="79" ht="15" customHeight="1">
      <c r="A79" s="65" t="n"/>
      <c r="B79" s="66" t="n"/>
      <c r="C79" s="66" t="n"/>
      <c r="D79" s="66" t="n"/>
      <c r="E79" s="66" t="n"/>
      <c r="F79" s="66" t="n"/>
      <c r="G79" s="66" t="n"/>
      <c r="H79" s="66" t="n"/>
      <c r="I79" s="67" t="n"/>
    </row>
    <row r="80" ht="15" customHeight="1">
      <c r="A80" s="65" t="n"/>
      <c r="B80" s="66" t="n"/>
      <c r="C80" s="66" t="n"/>
      <c r="D80" s="66" t="n"/>
      <c r="E80" s="66" t="n"/>
      <c r="F80" s="66" t="n"/>
      <c r="G80" s="66" t="n"/>
      <c r="H80" s="66" t="n"/>
      <c r="I80" s="67" t="n"/>
    </row>
    <row r="81" ht="15" customHeight="1">
      <c r="A81" s="65" t="n"/>
      <c r="B81" s="66" t="n"/>
      <c r="C81" s="66" t="n"/>
      <c r="D81" s="66" t="n"/>
      <c r="E81" s="66" t="n"/>
      <c r="F81" s="66" t="n"/>
      <c r="G81" s="66" t="n"/>
      <c r="H81" s="66" t="n"/>
      <c r="I81" s="67" t="n"/>
    </row>
    <row r="82" ht="15" customHeight="1">
      <c r="A82" s="65" t="n"/>
      <c r="B82" s="66" t="n"/>
      <c r="C82" s="66" t="n"/>
      <c r="D82" s="66" t="n"/>
      <c r="E82" s="66" t="n"/>
      <c r="F82" s="66" t="n"/>
      <c r="G82" s="66" t="n"/>
      <c r="H82" s="66" t="n"/>
      <c r="I82" s="67" t="n"/>
    </row>
    <row r="83" ht="15" customHeight="1">
      <c r="A83" s="65" t="n"/>
      <c r="B83" s="66" t="n"/>
      <c r="C83" s="66" t="n"/>
      <c r="D83" s="66" t="n"/>
      <c r="E83" s="66" t="n"/>
      <c r="F83" s="66" t="n"/>
      <c r="G83" s="66" t="n"/>
      <c r="H83" s="66" t="n"/>
      <c r="I83" s="67" t="n"/>
    </row>
    <row r="84" ht="15" customHeight="1">
      <c r="A84" s="65" t="n"/>
      <c r="B84" s="66" t="n"/>
      <c r="C84" s="66" t="n"/>
      <c r="D84" s="66" t="n"/>
      <c r="E84" s="66" t="n"/>
      <c r="F84" s="66" t="n"/>
      <c r="G84" s="66" t="n"/>
      <c r="H84" s="66" t="n"/>
      <c r="I84" s="67" t="n"/>
    </row>
    <row r="85" ht="15" customHeight="1">
      <c r="A85" s="65" t="n"/>
      <c r="B85" s="66" t="n"/>
      <c r="C85" s="66" t="n"/>
      <c r="D85" s="66" t="n"/>
      <c r="E85" s="66" t="n"/>
      <c r="F85" s="66" t="n"/>
      <c r="G85" s="66" t="n"/>
      <c r="H85" s="66" t="n"/>
      <c r="I85" s="67" t="n"/>
    </row>
    <row r="86" ht="15" customHeight="1">
      <c r="A86" s="65" t="n"/>
      <c r="B86" s="66" t="n"/>
      <c r="C86" s="66" t="n"/>
      <c r="D86" s="66" t="n"/>
      <c r="E86" s="66" t="n"/>
      <c r="F86" s="66" t="n"/>
      <c r="G86" s="66" t="n"/>
      <c r="H86" s="66" t="n"/>
      <c r="I86" s="67" t="n"/>
    </row>
    <row r="87" ht="15" customHeight="1">
      <c r="A87" s="65" t="n"/>
      <c r="B87" s="66" t="n"/>
      <c r="C87" s="66" t="n"/>
      <c r="D87" s="66" t="n"/>
      <c r="E87" s="66" t="n"/>
      <c r="F87" s="66" t="n"/>
      <c r="G87" s="66" t="n"/>
      <c r="H87" s="66" t="n"/>
      <c r="I87" s="67" t="n"/>
    </row>
    <row r="88" ht="15" customHeight="1">
      <c r="A88" s="65" t="n"/>
      <c r="B88" s="66" t="n"/>
      <c r="C88" s="66" t="n"/>
      <c r="D88" s="66" t="n"/>
      <c r="E88" s="66" t="n"/>
      <c r="F88" s="66" t="n"/>
      <c r="G88" s="66" t="n"/>
      <c r="H88" s="66" t="n"/>
      <c r="I88" s="67" t="n"/>
    </row>
    <row r="89" ht="15" customHeight="1">
      <c r="A89" s="65" t="n"/>
      <c r="B89" s="66" t="n"/>
      <c r="C89" s="66" t="n"/>
      <c r="D89" s="66" t="n"/>
      <c r="E89" s="66" t="n"/>
      <c r="F89" s="66" t="n"/>
      <c r="G89" s="66" t="n"/>
      <c r="H89" s="66" t="n"/>
      <c r="I89" s="67" t="n"/>
    </row>
    <row r="90" ht="15" customHeight="1">
      <c r="A90" s="65" t="n"/>
      <c r="B90" s="66" t="n"/>
      <c r="C90" s="66" t="n"/>
      <c r="D90" s="66" t="n"/>
      <c r="E90" s="66" t="n"/>
      <c r="F90" s="66" t="n"/>
      <c r="G90" s="66" t="n"/>
      <c r="H90" s="66" t="n"/>
      <c r="I90" s="67" t="n"/>
    </row>
    <row r="91" ht="15" customHeight="1">
      <c r="A91" s="65" t="n"/>
      <c r="B91" s="66" t="n"/>
      <c r="C91" s="66" t="n"/>
      <c r="D91" s="66" t="n"/>
      <c r="E91" s="66" t="n"/>
      <c r="F91" s="66" t="n"/>
      <c r="G91" s="66" t="n"/>
      <c r="H91" s="66" t="n"/>
      <c r="I91" s="67" t="n"/>
    </row>
    <row r="92" ht="15" customHeight="1">
      <c r="A92" s="65" t="n"/>
      <c r="B92" s="66" t="n"/>
      <c r="C92" s="66" t="n"/>
      <c r="D92" s="66" t="n"/>
      <c r="E92" s="66" t="n"/>
      <c r="F92" s="66" t="n"/>
      <c r="G92" s="66" t="n"/>
      <c r="H92" s="66" t="n"/>
      <c r="I92" s="67" t="n"/>
    </row>
    <row r="93" ht="15" customHeight="1">
      <c r="A93" s="65" t="n"/>
      <c r="B93" s="66" t="n"/>
      <c r="C93" s="66" t="n"/>
      <c r="D93" s="66" t="n"/>
      <c r="E93" s="66" t="n"/>
      <c r="F93" s="66" t="n"/>
      <c r="G93" s="66" t="n"/>
      <c r="H93" s="66" t="n"/>
      <c r="I93" s="67" t="n"/>
    </row>
    <row r="94" ht="15" customHeight="1">
      <c r="A94" s="65" t="n"/>
      <c r="B94" s="66" t="n"/>
      <c r="C94" s="66" t="n"/>
      <c r="D94" s="66" t="n"/>
      <c r="E94" s="66" t="n"/>
      <c r="F94" s="66" t="n"/>
      <c r="G94" s="66" t="n"/>
      <c r="H94" s="66" t="n"/>
      <c r="I94" s="67" t="n"/>
    </row>
    <row r="95" ht="15" customHeight="1">
      <c r="A95" s="65" t="n"/>
      <c r="B95" s="66" t="n"/>
      <c r="C95" s="66" t="n"/>
      <c r="D95" s="66" t="n"/>
      <c r="E95" s="66" t="n"/>
      <c r="F95" s="66" t="n"/>
      <c r="G95" s="66" t="n"/>
      <c r="H95" s="66" t="n"/>
      <c r="I95" s="67" t="n"/>
    </row>
    <row r="96" ht="15" customHeight="1">
      <c r="A96" s="65" t="n"/>
      <c r="B96" s="66" t="n"/>
      <c r="C96" s="66" t="n"/>
      <c r="D96" s="66" t="n"/>
      <c r="E96" s="66" t="n"/>
      <c r="F96" s="66" t="n"/>
      <c r="G96" s="66" t="n"/>
      <c r="H96" s="66" t="n"/>
      <c r="I96" s="67" t="n"/>
    </row>
    <row r="97" ht="15" customHeight="1">
      <c r="A97" s="65" t="n"/>
      <c r="B97" s="66" t="n"/>
      <c r="C97" s="66" t="n"/>
      <c r="D97" s="66" t="n"/>
      <c r="E97" s="66" t="n"/>
      <c r="F97" s="66" t="n"/>
      <c r="G97" s="66" t="n"/>
      <c r="H97" s="66" t="n"/>
      <c r="I97" s="67" t="n"/>
    </row>
    <row r="98" ht="15" customHeight="1">
      <c r="A98" s="65" t="n"/>
      <c r="B98" s="66" t="n"/>
      <c r="C98" s="66" t="n"/>
      <c r="D98" s="66" t="n"/>
      <c r="E98" s="66" t="n"/>
      <c r="F98" s="66" t="n"/>
      <c r="H98" s="66" t="n"/>
      <c r="I98" s="67" t="n"/>
    </row>
    <row r="99" ht="25" customFormat="1" customHeight="1" s="61">
      <c r="A99" s="65" t="n"/>
      <c r="B99" s="66" t="n"/>
      <c r="C99" s="66" t="n"/>
      <c r="D99" s="66" t="n"/>
      <c r="E99" s="66" t="n"/>
      <c r="F99" s="66" t="n"/>
      <c r="G99" s="66" t="n"/>
      <c r="H99" s="66" t="n"/>
      <c r="I99" s="67" t="n"/>
    </row>
    <row r="100" ht="15" customHeight="1">
      <c r="A100" s="65" t="n"/>
      <c r="B100" s="66" t="n"/>
      <c r="C100" s="66" t="n"/>
      <c r="D100" s="66" t="n"/>
      <c r="E100" s="66" t="n"/>
      <c r="F100" s="66" t="n"/>
      <c r="G100" s="66" t="n"/>
      <c r="H100" s="66" t="n"/>
      <c r="I100" s="67" t="n"/>
    </row>
    <row r="101" ht="15" customHeight="1">
      <c r="A101" s="65" t="n"/>
      <c r="B101" s="66" t="n"/>
      <c r="C101" s="66" t="n"/>
      <c r="D101" s="66" t="n"/>
      <c r="E101" s="66" t="n"/>
      <c r="F101" s="66" t="n"/>
      <c r="G101" s="66" t="n"/>
      <c r="H101" s="66" t="n"/>
      <c r="I101" s="67" t="n"/>
    </row>
    <row r="102" ht="15" customHeight="1">
      <c r="A102" s="65" t="n"/>
      <c r="B102" s="66" t="n"/>
      <c r="C102" s="66" t="n"/>
      <c r="D102" s="66" t="n"/>
      <c r="E102" s="66" t="n"/>
      <c r="F102" s="66" t="n"/>
      <c r="G102" s="66" t="n"/>
      <c r="H102" s="66" t="n"/>
      <c r="I102" s="67" t="n"/>
    </row>
    <row r="103" ht="15" customHeight="1">
      <c r="A103" s="65" t="n"/>
      <c r="B103" s="66" t="n"/>
      <c r="C103" s="66" t="n"/>
      <c r="D103" s="66" t="n"/>
      <c r="E103" s="66" t="n"/>
      <c r="F103" s="66" t="n"/>
      <c r="G103" s="66" t="n"/>
      <c r="H103" s="66" t="n"/>
      <c r="I103" s="67" t="n"/>
    </row>
    <row r="104" ht="15" customHeight="1">
      <c r="A104" s="65" t="n"/>
      <c r="B104" s="66" t="n"/>
      <c r="C104" s="66" t="n"/>
      <c r="D104" s="66" t="n"/>
      <c r="E104" s="66" t="n"/>
      <c r="F104" s="66" t="n"/>
      <c r="G104" s="66" t="n"/>
      <c r="H104" s="66" t="n"/>
      <c r="I104" s="67" t="n"/>
    </row>
    <row r="105" ht="15" customHeight="1">
      <c r="A105" s="65" t="n"/>
      <c r="B105" s="66" t="n"/>
      <c r="C105" s="66" t="n"/>
      <c r="D105" s="66" t="n"/>
      <c r="E105" s="66" t="n"/>
      <c r="F105" s="66" t="n"/>
      <c r="G105" s="66" t="n"/>
      <c r="H105" s="66" t="n"/>
      <c r="I105" s="67" t="n"/>
    </row>
    <row r="106" ht="15" customHeight="1">
      <c r="A106" s="65" t="n"/>
      <c r="B106" s="66" t="n"/>
      <c r="C106" s="66" t="n"/>
      <c r="D106" s="66" t="n"/>
      <c r="E106" s="66" t="n"/>
      <c r="F106" s="66" t="n"/>
      <c r="G106" s="66" t="n"/>
      <c r="H106" s="66" t="n"/>
      <c r="I106" s="67" t="n"/>
    </row>
    <row r="107" ht="15" customHeight="1">
      <c r="A107" s="65" t="n"/>
      <c r="B107" s="66" t="n"/>
      <c r="C107" s="66" t="n"/>
      <c r="D107" s="66" t="n"/>
      <c r="E107" s="66" t="n"/>
      <c r="F107" s="66" t="n"/>
      <c r="G107" s="66" t="n"/>
      <c r="H107" s="66" t="n"/>
      <c r="I107" s="67" t="n"/>
    </row>
    <row r="108" ht="15" customHeight="1">
      <c r="A108" s="65" t="n"/>
      <c r="B108" s="66" t="n"/>
      <c r="C108" s="66" t="n"/>
      <c r="D108" s="66" t="n"/>
      <c r="E108" s="66" t="n"/>
      <c r="F108" s="66" t="n"/>
      <c r="G108" s="66" t="n"/>
      <c r="H108" s="66" t="n"/>
      <c r="I108" s="67" t="n"/>
    </row>
    <row r="109" ht="15" customHeight="1">
      <c r="A109" s="65" t="n"/>
      <c r="B109" s="66" t="n"/>
      <c r="C109" s="66" t="n"/>
      <c r="D109" s="66" t="n"/>
      <c r="E109" s="66" t="n"/>
      <c r="F109" s="66" t="n"/>
      <c r="G109" s="66" t="n"/>
      <c r="H109" s="66" t="n"/>
      <c r="I109" s="67" t="n"/>
    </row>
    <row r="110" ht="15" customHeight="1">
      <c r="A110" s="65" t="n"/>
      <c r="B110" s="66" t="n"/>
      <c r="C110" s="66" t="n"/>
      <c r="D110" s="66" t="n"/>
      <c r="E110" s="66" t="n"/>
      <c r="F110" s="66" t="n"/>
      <c r="G110" s="66" t="n"/>
      <c r="H110" s="66" t="n"/>
      <c r="I110" s="67" t="n"/>
    </row>
    <row r="111" ht="15" customHeight="1">
      <c r="A111" s="65" t="n"/>
      <c r="B111" s="66" t="n"/>
      <c r="C111" s="66" t="n"/>
      <c r="D111" s="66" t="n"/>
      <c r="E111" s="66" t="n"/>
      <c r="F111" s="66" t="n"/>
      <c r="G111" s="66" t="n"/>
      <c r="H111" s="66" t="n"/>
      <c r="I111" s="67" t="n"/>
    </row>
    <row r="112" ht="15" customHeight="1">
      <c r="A112" s="65" t="n"/>
      <c r="B112" s="66" t="n"/>
      <c r="C112" s="66" t="n"/>
      <c r="D112" s="66" t="n"/>
      <c r="E112" s="66" t="n"/>
      <c r="F112" s="66" t="n"/>
      <c r="G112" s="66" t="n"/>
      <c r="H112" s="66" t="n"/>
      <c r="I112" s="67" t="n"/>
    </row>
    <row r="113" ht="15" customHeight="1">
      <c r="A113" s="65" t="n"/>
      <c r="B113" s="66" t="n"/>
      <c r="C113" s="66" t="n"/>
      <c r="D113" s="66" t="n"/>
      <c r="E113" s="66" t="n"/>
      <c r="F113" s="66" t="n"/>
      <c r="G113" s="66" t="n"/>
      <c r="H113" s="66" t="n"/>
      <c r="I113" s="67" t="n"/>
    </row>
    <row r="114" ht="15" customHeight="1" thickBot="1">
      <c r="A114" s="155" t="n"/>
      <c r="B114" s="156" t="n"/>
      <c r="C114" s="156" t="n"/>
      <c r="D114" s="156" t="n"/>
      <c r="E114" s="156" t="n"/>
      <c r="F114" s="156" t="n"/>
      <c r="G114" s="156" t="n"/>
      <c r="H114" s="156" t="n"/>
      <c r="I114" s="157" t="n"/>
    </row>
    <row r="115" ht="15" customHeight="1">
      <c r="A115" s="65" t="n"/>
      <c r="B115" s="66" t="n"/>
      <c r="C115" s="66" t="n"/>
      <c r="D115" s="66" t="n"/>
      <c r="E115" s="66" t="n"/>
      <c r="F115" s="66" t="n"/>
      <c r="G115" s="66" t="n"/>
      <c r="H115" s="66" t="n"/>
      <c r="I115" s="67" t="n"/>
    </row>
    <row r="116" ht="15" customHeight="1">
      <c r="A116" s="65" t="n"/>
      <c r="B116" s="66" t="n"/>
      <c r="C116" s="66" t="n"/>
      <c r="D116" s="66" t="n"/>
      <c r="E116" s="66" t="n"/>
      <c r="F116" s="66" t="n"/>
      <c r="G116" s="66" t="n"/>
      <c r="H116" s="66" t="n"/>
      <c r="I116" s="67" t="n"/>
    </row>
    <row r="117" ht="15" customHeight="1">
      <c r="A117" s="65" t="n"/>
      <c r="B117" s="66" t="n"/>
      <c r="C117" s="66" t="n"/>
      <c r="D117" s="66" t="n"/>
      <c r="E117" s="66" t="n"/>
      <c r="F117" s="66" t="n"/>
      <c r="G117" s="66" t="n"/>
      <c r="H117" s="66" t="n"/>
      <c r="I117" s="67" t="n"/>
    </row>
    <row r="118" ht="15" customHeight="1">
      <c r="A118" s="65" t="n"/>
      <c r="B118" s="66" t="n"/>
      <c r="C118" s="66" t="n"/>
      <c r="D118" s="66" t="n"/>
      <c r="E118" s="66" t="n"/>
      <c r="F118" s="66" t="n"/>
      <c r="G118" s="66" t="n"/>
      <c r="H118" s="66" t="n"/>
      <c r="I118" s="67" t="n"/>
    </row>
    <row r="119" ht="15" customHeight="1">
      <c r="A119" s="65" t="n"/>
      <c r="B119" s="66" t="n"/>
      <c r="C119" s="66" t="n"/>
      <c r="D119" s="66" t="n"/>
      <c r="E119" s="66" t="n"/>
      <c r="F119" s="66" t="n"/>
      <c r="G119" s="66" t="n"/>
      <c r="H119" s="66" t="n"/>
      <c r="I119" s="67" t="n"/>
    </row>
    <row r="120" ht="15" customHeight="1">
      <c r="A120" s="65" t="n"/>
      <c r="B120" s="66" t="n"/>
      <c r="C120" s="66" t="n"/>
      <c r="D120" s="66" t="n"/>
      <c r="E120" s="66" t="n"/>
      <c r="F120" s="66" t="n"/>
      <c r="G120" s="66" t="n"/>
      <c r="H120" s="66" t="n"/>
      <c r="I120" s="67" t="n"/>
    </row>
    <row r="121" ht="15" customHeight="1">
      <c r="A121" s="65" t="n"/>
      <c r="B121" s="66" t="n"/>
      <c r="C121" s="66" t="n"/>
      <c r="D121" s="66" t="n"/>
      <c r="E121" s="66" t="n"/>
      <c r="F121" s="66" t="n"/>
      <c r="G121" s="66" t="n"/>
      <c r="H121" s="66" t="n"/>
      <c r="I121" s="67" t="n"/>
    </row>
    <row r="122" ht="15" customHeight="1">
      <c r="A122" s="65" t="n"/>
      <c r="B122" s="66" t="n"/>
      <c r="C122" s="66" t="n"/>
      <c r="D122" s="66" t="n"/>
      <c r="E122" s="66" t="n"/>
      <c r="F122" s="66" t="n"/>
      <c r="G122" s="66" t="n"/>
      <c r="H122" s="66" t="n"/>
      <c r="I122" s="67" t="n"/>
    </row>
    <row r="123" ht="25" customHeight="1">
      <c r="A123" s="65" t="n"/>
      <c r="B123" s="66" t="n"/>
      <c r="C123" s="66" t="n"/>
      <c r="D123" s="66" t="n"/>
      <c r="E123" s="66" t="n"/>
      <c r="F123" s="66" t="n"/>
      <c r="G123" s="66" t="n"/>
      <c r="H123" s="66" t="n"/>
      <c r="I123" s="67" t="n"/>
    </row>
    <row r="124" ht="15" customHeight="1">
      <c r="A124" s="65" t="n"/>
      <c r="B124" s="66" t="n"/>
      <c r="C124" s="66" t="n"/>
      <c r="D124" s="66" t="n"/>
      <c r="E124" s="66" t="n"/>
      <c r="F124" s="66" t="n"/>
      <c r="G124" s="66" t="n"/>
      <c r="H124" s="66" t="n"/>
      <c r="I124" s="67" t="n"/>
    </row>
    <row r="125" ht="15" customHeight="1">
      <c r="A125" s="65" t="n"/>
      <c r="B125" s="66" t="n"/>
      <c r="C125" s="66" t="n"/>
      <c r="D125" s="66" t="n"/>
      <c r="E125" s="66" t="n"/>
      <c r="F125" s="66" t="n"/>
      <c r="G125" s="66" t="n"/>
      <c r="H125" s="66" t="n"/>
      <c r="I125" s="67" t="n"/>
    </row>
    <row r="126" ht="28" customHeight="1">
      <c r="A126" s="65" t="n"/>
      <c r="B126" s="66" t="n"/>
      <c r="C126" s="66" t="n"/>
      <c r="D126" s="66" t="n"/>
      <c r="E126" s="66" t="n"/>
      <c r="F126" s="66" t="n"/>
      <c r="G126" s="66" t="n"/>
      <c r="H126" s="66" t="n"/>
      <c r="I126" s="67" t="n"/>
    </row>
    <row r="127" ht="15" customHeight="1">
      <c r="A127" s="65" t="n"/>
      <c r="B127" s="66" t="n"/>
      <c r="C127" s="66" t="n"/>
      <c r="D127" s="66" t="n"/>
      <c r="E127" s="66" t="n"/>
      <c r="F127" s="66" t="n"/>
      <c r="G127" s="66" t="n"/>
      <c r="H127" s="66" t="n"/>
      <c r="I127" s="67" t="n"/>
    </row>
    <row r="128" ht="15" customHeight="1">
      <c r="A128" s="65" t="n"/>
      <c r="B128" s="66" t="n"/>
      <c r="C128" s="66" t="n"/>
      <c r="D128" s="66" t="n"/>
      <c r="E128" s="66" t="n"/>
      <c r="F128" s="66" t="n"/>
      <c r="G128" s="66" t="n"/>
      <c r="H128" s="66" t="n"/>
      <c r="I128" s="67" t="n"/>
    </row>
    <row r="129" ht="15" customHeight="1">
      <c r="A129" s="65" t="n"/>
      <c r="B129" s="66" t="n"/>
      <c r="C129" s="66" t="n"/>
      <c r="D129" s="66" t="n"/>
      <c r="E129" s="66" t="n"/>
      <c r="F129" s="66" t="n"/>
      <c r="G129" s="66" t="n"/>
      <c r="H129" s="66" t="n"/>
      <c r="I129" s="67" t="n"/>
    </row>
    <row r="130" ht="15" customHeight="1">
      <c r="A130" s="65" t="n"/>
      <c r="B130" s="66" t="n"/>
      <c r="C130" s="66" t="n"/>
      <c r="D130" s="66" t="n"/>
      <c r="E130" s="66" t="n"/>
      <c r="F130" s="66" t="n"/>
      <c r="G130" s="66" t="n"/>
      <c r="H130" s="66" t="n"/>
      <c r="I130" s="67" t="n"/>
    </row>
    <row r="131" ht="15" customHeight="1">
      <c r="A131" s="65" t="n"/>
      <c r="B131" s="66" t="n"/>
      <c r="C131" s="66" t="n"/>
      <c r="D131" s="66" t="n"/>
      <c r="E131" s="66" t="n"/>
      <c r="F131" s="66" t="n"/>
      <c r="G131" s="66" t="n"/>
      <c r="H131" s="66" t="n"/>
      <c r="I131" s="67" t="n"/>
    </row>
    <row r="132" ht="15" customHeight="1">
      <c r="A132" s="65" t="n"/>
      <c r="B132" s="66" t="n"/>
      <c r="C132" s="66" t="n"/>
      <c r="D132" s="66" t="n"/>
      <c r="E132" s="66" t="n"/>
      <c r="F132" s="66" t="n"/>
      <c r="G132" s="66" t="n"/>
      <c r="H132" s="66" t="n"/>
      <c r="I132" s="67" t="n"/>
    </row>
    <row r="133" ht="15" customHeight="1">
      <c r="A133" s="65" t="n"/>
      <c r="B133" s="66" t="n"/>
      <c r="C133" s="66" t="n"/>
      <c r="D133" s="66" t="n"/>
      <c r="E133" s="66" t="n"/>
      <c r="F133" s="66" t="n"/>
      <c r="G133" s="66" t="n"/>
      <c r="H133" s="66" t="n"/>
      <c r="I133" s="67" t="n"/>
    </row>
    <row r="134" ht="15" customHeight="1">
      <c r="A134" s="65" t="n"/>
      <c r="B134" s="66" t="n"/>
      <c r="C134" s="66" t="n"/>
      <c r="D134" s="66" t="n"/>
      <c r="E134" s="66" t="n"/>
      <c r="F134" s="66" t="n"/>
      <c r="G134" s="66" t="n"/>
      <c r="H134" s="66" t="n"/>
      <c r="I134" s="67" t="n"/>
    </row>
    <row r="135" ht="15" customHeight="1">
      <c r="A135" s="65" t="n"/>
      <c r="B135" s="66" t="n"/>
      <c r="C135" s="66" t="n"/>
      <c r="D135" s="66" t="n"/>
      <c r="E135" s="66" t="n"/>
      <c r="F135" s="66" t="n"/>
      <c r="G135" s="66" t="n"/>
      <c r="H135" s="66" t="n"/>
      <c r="I135" s="67" t="n"/>
    </row>
    <row r="136" ht="15" customHeight="1">
      <c r="A136" s="65" t="n"/>
      <c r="B136" s="66" t="n"/>
      <c r="C136" s="66" t="n"/>
      <c r="D136" s="66" t="n"/>
      <c r="E136" s="66" t="n"/>
      <c r="F136" s="66" t="n"/>
      <c r="G136" s="66" t="n"/>
      <c r="H136" s="66" t="n"/>
      <c r="I136" s="67" t="n"/>
    </row>
    <row r="137" ht="15" customHeight="1">
      <c r="A137" s="65" t="n"/>
      <c r="B137" s="66" t="n"/>
      <c r="C137" s="66" t="n"/>
      <c r="D137" s="66" t="n"/>
      <c r="E137" s="66" t="n"/>
      <c r="F137" s="66" t="n"/>
      <c r="G137" s="66" t="n"/>
      <c r="H137" s="66" t="n"/>
      <c r="I137" s="67" t="n"/>
    </row>
    <row r="138" ht="15" customHeight="1">
      <c r="A138" s="65" t="n"/>
      <c r="B138" s="66" t="n"/>
      <c r="C138" s="66" t="n"/>
      <c r="D138" s="66" t="n"/>
      <c r="E138" s="66" t="n"/>
      <c r="F138" s="66" t="n"/>
      <c r="G138" s="66" t="n"/>
      <c r="H138" s="66" t="n"/>
      <c r="I138" s="67" t="n"/>
    </row>
    <row r="139" ht="15" customHeight="1" thickBot="1">
      <c r="A139" s="65" t="n"/>
      <c r="B139" s="66" t="n"/>
      <c r="C139" s="66" t="n"/>
      <c r="D139" s="66" t="n"/>
      <c r="E139" s="66" t="n"/>
      <c r="F139" s="66" t="n"/>
      <c r="G139" s="66" t="n"/>
      <c r="H139" s="66" t="n"/>
      <c r="I139" s="67" t="n"/>
      <c r="J139" s="78" t="n"/>
    </row>
    <row r="140" ht="15" customHeight="1">
      <c r="A140" s="65" t="n"/>
      <c r="B140" s="66" t="n"/>
      <c r="C140" s="66" t="n"/>
      <c r="D140" s="66" t="n"/>
      <c r="E140" s="66" t="n"/>
      <c r="F140" s="66" t="n"/>
      <c r="G140" s="66" t="n"/>
      <c r="H140" s="66" t="n"/>
      <c r="I140" s="67" t="n"/>
    </row>
    <row r="141" ht="15" customHeight="1">
      <c r="A141" s="65" t="n"/>
      <c r="B141" s="66" t="n"/>
      <c r="C141" s="66" t="n"/>
      <c r="D141" s="66" t="n"/>
      <c r="E141" s="66" t="n"/>
      <c r="F141" s="66" t="n"/>
      <c r="G141" s="66" t="n"/>
      <c r="H141" s="66" t="n"/>
      <c r="I141" s="67" t="n"/>
    </row>
    <row r="142" ht="15" customHeight="1">
      <c r="A142" s="65" t="n"/>
      <c r="B142" s="66" t="n"/>
      <c r="C142" s="66" t="n"/>
      <c r="D142" s="66" t="n"/>
      <c r="E142" s="66" t="n"/>
      <c r="F142" s="66" t="n"/>
      <c r="G142" s="66" t="n"/>
      <c r="H142" s="66" t="n"/>
      <c r="I142" s="67" t="n"/>
    </row>
    <row r="143" ht="15" customHeight="1">
      <c r="A143" s="65" t="n"/>
      <c r="B143" s="66" t="n"/>
      <c r="C143" s="66" t="n"/>
      <c r="D143" s="66" t="n"/>
      <c r="E143" s="66" t="n"/>
      <c r="F143" s="66" t="n"/>
      <c r="G143" s="66" t="n"/>
      <c r="H143" s="66" t="n"/>
      <c r="I143" s="67" t="n"/>
    </row>
    <row r="144" ht="15" customHeight="1">
      <c r="A144" s="65" t="n"/>
      <c r="B144" s="66" t="n"/>
      <c r="C144" s="66" t="n"/>
      <c r="D144" s="66" t="n"/>
      <c r="E144" s="66" t="n"/>
      <c r="F144" s="66" t="n"/>
      <c r="G144" s="66" t="n"/>
      <c r="H144" s="66" t="n"/>
      <c r="I144" s="67" t="n"/>
    </row>
    <row r="145" ht="15" customHeight="1">
      <c r="B145" s="66" t="n"/>
      <c r="C145" s="66" t="n"/>
      <c r="D145" s="66" t="n"/>
      <c r="E145" s="66" t="n"/>
      <c r="F145" s="66" t="n"/>
      <c r="G145" s="66" t="n"/>
      <c r="H145" s="66" t="n"/>
      <c r="I145" s="67" t="n"/>
    </row>
    <row r="146" ht="16" customHeight="1">
      <c r="A146" s="65" t="n"/>
      <c r="B146" s="66" t="n"/>
      <c r="C146" s="66" t="n"/>
      <c r="D146" s="66" t="n"/>
      <c r="E146" s="66" t="n"/>
      <c r="F146" s="66" t="n"/>
      <c r="G146" s="66" t="n"/>
      <c r="H146" s="66" t="n"/>
      <c r="I146" s="67" t="n"/>
    </row>
    <row r="147" ht="30.75" customHeight="1">
      <c r="A147" s="255" t="n"/>
      <c r="E147" s="256" t="n"/>
      <c r="I147" s="320" t="n"/>
    </row>
    <row r="148">
      <c r="A148" s="152" t="n"/>
      <c r="I148" s="153" t="n"/>
    </row>
    <row r="149">
      <c r="A149" s="152" t="n"/>
      <c r="I149" s="153" t="n"/>
    </row>
    <row r="150">
      <c r="A150" s="152" t="n"/>
      <c r="I150" s="153" t="n"/>
    </row>
    <row r="151">
      <c r="A151" s="152" t="n"/>
      <c r="I151" s="153" t="n"/>
    </row>
    <row r="152">
      <c r="A152" s="152" t="n"/>
      <c r="I152" s="153" t="n"/>
    </row>
    <row r="153">
      <c r="A153" s="152" t="n"/>
      <c r="I153" s="153" t="n"/>
    </row>
    <row r="154">
      <c r="A154" s="152" t="n"/>
      <c r="I154" s="153" t="n"/>
    </row>
    <row r="155">
      <c r="A155" s="152" t="n"/>
      <c r="I155" s="153" t="n"/>
    </row>
    <row r="156">
      <c r="A156" s="152" t="n"/>
      <c r="I156" s="153" t="n"/>
    </row>
    <row r="157">
      <c r="A157" s="152" t="n"/>
      <c r="I157" s="153" t="n"/>
    </row>
    <row r="158">
      <c r="A158" s="152" t="n"/>
      <c r="I158" s="153" t="n"/>
    </row>
    <row r="159">
      <c r="A159" s="152" t="n"/>
      <c r="I159" s="153" t="n"/>
    </row>
    <row r="160">
      <c r="A160" s="152" t="n"/>
      <c r="I160" s="153" t="n"/>
    </row>
    <row r="161">
      <c r="A161" s="152" t="n"/>
      <c r="I161" s="153" t="n"/>
    </row>
    <row r="162">
      <c r="A162" s="152" t="n"/>
      <c r="I162" s="153" t="n"/>
    </row>
    <row r="163">
      <c r="A163" s="152" t="n"/>
      <c r="I163" s="153" t="n"/>
    </row>
    <row r="164">
      <c r="A164" s="152" t="n"/>
      <c r="I164" s="153" t="n"/>
    </row>
    <row r="165">
      <c r="A165" s="152" t="n"/>
      <c r="I165" s="153" t="n"/>
    </row>
    <row r="166">
      <c r="A166" s="152" t="n"/>
      <c r="I166" s="153" t="n"/>
    </row>
    <row r="167">
      <c r="A167" s="152" t="n"/>
      <c r="I167" s="153" t="n"/>
    </row>
    <row r="168">
      <c r="A168" s="152" t="n"/>
      <c r="I168" s="153" t="n"/>
    </row>
    <row r="169">
      <c r="A169" s="152" t="n"/>
      <c r="I169" s="153" t="n"/>
    </row>
    <row r="170">
      <c r="A170" s="152" t="n"/>
      <c r="I170" s="153" t="n"/>
    </row>
    <row r="171">
      <c r="A171" s="152" t="n"/>
      <c r="I171" s="153" t="n"/>
    </row>
    <row r="172">
      <c r="A172" s="152" t="n"/>
      <c r="I172" s="153" t="n"/>
    </row>
    <row r="173">
      <c r="A173" s="152" t="n"/>
      <c r="I173" s="153" t="n"/>
    </row>
    <row r="174">
      <c r="A174" s="152" t="n"/>
      <c r="I174" s="153" t="n"/>
    </row>
    <row r="175">
      <c r="A175" s="152" t="n"/>
      <c r="I175" s="153" t="n"/>
    </row>
    <row r="176">
      <c r="A176" s="152" t="n"/>
      <c r="I176" s="153" t="n"/>
    </row>
    <row r="177">
      <c r="A177" s="152" t="n"/>
      <c r="I177" s="153" t="n"/>
    </row>
    <row r="178">
      <c r="A178" s="152" t="n"/>
      <c r="I178" s="153" t="n"/>
    </row>
    <row r="179">
      <c r="A179" s="152" t="n"/>
      <c r="I179" s="153" t="n"/>
    </row>
    <row r="180">
      <c r="A180" s="152" t="n"/>
      <c r="I180" s="153" t="n"/>
    </row>
    <row r="181">
      <c r="A181" s="152" t="n"/>
      <c r="I181" s="153" t="n"/>
    </row>
    <row r="182">
      <c r="I182" s="153" t="n"/>
    </row>
    <row r="183">
      <c r="A183" s="152" t="n"/>
      <c r="I183" s="153" t="n"/>
    </row>
    <row r="184">
      <c r="A184" s="152" t="n"/>
      <c r="I184" s="153" t="n"/>
    </row>
    <row r="185">
      <c r="A185" s="152" t="n"/>
      <c r="I185" s="153" t="n"/>
    </row>
    <row r="186">
      <c r="A186" s="152" t="n"/>
      <c r="I186" s="153" t="n"/>
    </row>
    <row r="187">
      <c r="A187" s="152" t="n"/>
      <c r="I187" s="153" t="n"/>
    </row>
    <row r="188">
      <c r="A188" s="152" t="n"/>
      <c r="I188" s="153" t="n"/>
    </row>
    <row r="189">
      <c r="A189" s="152" t="n"/>
      <c r="I189" s="153" t="n"/>
    </row>
    <row r="190">
      <c r="A190" s="152" t="n"/>
      <c r="I190" s="153" t="n"/>
    </row>
    <row r="191">
      <c r="A191" s="152" t="n"/>
      <c r="I191" s="153" t="n"/>
    </row>
    <row r="192">
      <c r="A192" s="152" t="n"/>
      <c r="I192" s="153" t="n"/>
    </row>
    <row r="193">
      <c r="A193" s="152" t="n"/>
      <c r="I193" s="153" t="n"/>
    </row>
    <row r="194">
      <c r="A194" s="152" t="n"/>
      <c r="I194" s="153" t="n"/>
    </row>
    <row r="195">
      <c r="A195" s="152" t="n"/>
      <c r="I195" s="153" t="n"/>
    </row>
    <row r="196">
      <c r="A196" s="152" t="n"/>
      <c r="I196" s="153" t="n"/>
    </row>
    <row r="197">
      <c r="A197" s="152" t="n"/>
      <c r="I197" s="153" t="n"/>
    </row>
    <row r="198">
      <c r="A198" s="152" t="n"/>
      <c r="I198" s="153" t="n"/>
    </row>
    <row r="199">
      <c r="A199" s="152" t="n"/>
      <c r="I199" s="153" t="n"/>
    </row>
    <row r="200">
      <c r="A200" s="152" t="n"/>
      <c r="I200" s="153" t="n"/>
    </row>
    <row r="201">
      <c r="A201" s="152" t="n"/>
      <c r="I201" s="153" t="n"/>
    </row>
    <row r="202">
      <c r="A202" s="152" t="n"/>
      <c r="I202" s="153" t="n"/>
    </row>
    <row r="203">
      <c r="A203" s="152" t="n"/>
      <c r="I203" s="153" t="n"/>
    </row>
    <row r="204">
      <c r="A204" s="152" t="n"/>
      <c r="I204" s="153" t="n"/>
    </row>
    <row r="205">
      <c r="A205" s="152" t="n"/>
      <c r="I205" s="153" t="n"/>
    </row>
    <row r="206">
      <c r="A206" s="152" t="n"/>
      <c r="I206" s="153" t="n"/>
    </row>
    <row r="207">
      <c r="A207" s="152" t="n"/>
      <c r="I207" s="153" t="n"/>
    </row>
    <row r="208">
      <c r="A208" s="152" t="n"/>
      <c r="I208" s="153" t="n"/>
    </row>
    <row r="209">
      <c r="A209" s="152" t="n"/>
      <c r="I209" s="153" t="n"/>
    </row>
    <row r="210">
      <c r="A210" s="152" t="n"/>
      <c r="I210" s="153" t="n"/>
    </row>
  </sheetData>
  <mergeCells count="40">
    <mergeCell ref="A48:B48"/>
    <mergeCell ref="B47:C47"/>
    <mergeCell ref="D13:F13"/>
    <mergeCell ref="G13:I13"/>
    <mergeCell ref="A75:I75"/>
    <mergeCell ref="B8:D8"/>
    <mergeCell ref="A66:I66"/>
    <mergeCell ref="A147:D147"/>
    <mergeCell ref="B46:C46"/>
    <mergeCell ref="D48:I48"/>
    <mergeCell ref="A55:I55"/>
    <mergeCell ref="A12:I12"/>
    <mergeCell ref="D47:I47"/>
    <mergeCell ref="B56:I56"/>
    <mergeCell ref="A5:I5"/>
    <mergeCell ref="E147:I147"/>
    <mergeCell ref="A51:I54"/>
    <mergeCell ref="B9:D9"/>
    <mergeCell ref="B60:I60"/>
    <mergeCell ref="C62:I62"/>
    <mergeCell ref="B57:I57"/>
    <mergeCell ref="B6:D6"/>
    <mergeCell ref="C58:I58"/>
    <mergeCell ref="A13:C13"/>
    <mergeCell ref="A68:I68"/>
    <mergeCell ref="A10:I10"/>
    <mergeCell ref="C64:I64"/>
    <mergeCell ref="A1:I4"/>
    <mergeCell ref="A67:I67"/>
    <mergeCell ref="B7:D7"/>
    <mergeCell ref="C65:I65"/>
    <mergeCell ref="C63:I63"/>
    <mergeCell ref="A49:I49"/>
    <mergeCell ref="A11:I11"/>
    <mergeCell ref="D46:I46"/>
    <mergeCell ref="C59:I59"/>
    <mergeCell ref="B45:C45"/>
    <mergeCell ref="A70:I70"/>
    <mergeCell ref="D45:I45"/>
    <mergeCell ref="A61:I61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34" fitToHeight="0"/>
  <rowBreaks count="2" manualBreakCount="2">
    <brk id="74" min="0" max="8" man="1"/>
    <brk id="212" min="0" max="8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Barry Langan</dc:creator>
  <dcterms:created xsi:type="dcterms:W3CDTF">2025-03-23T14:16:19Z</dcterms:created>
  <dcterms:modified xsi:type="dcterms:W3CDTF">2025-11-19T15:52:50Z</dcterms:modified>
  <cp:lastModifiedBy>Daniel Griffiths</cp:lastModifiedBy>
  <cp:lastPrinted>2025-08-10T23:24:44Z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0x01010054D974174226C149948D7A6780F4D3DD</vt:lpwstr>
  </property>
  <property name="MediaServiceImageTags" fmtid="{D5CDD505-2E9C-101B-9397-08002B2CF9AE}" pid="3">
    <vt:lpwstr/>
  </property>
</Properties>
</file>