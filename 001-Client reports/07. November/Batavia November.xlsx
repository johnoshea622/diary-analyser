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180" windowHeight="16140" tabRatio="600" firstSheet="0" activeTab="11" autoFilterDateGrouping="1"/>
  </bookViews>
  <sheets>
    <sheet name="147" sheetId="1" state="visible" r:id="rId1"/>
    <sheet name="148" sheetId="2" state="visible" r:id="rId2"/>
    <sheet name="149" sheetId="3" state="visible" r:id="rId3"/>
    <sheet name="150" sheetId="4" state="visible" r:id="rId4"/>
    <sheet name="151" sheetId="5" state="visible" r:id="rId5"/>
    <sheet name="152" sheetId="6" state="visible" r:id="rId6"/>
    <sheet name="153" sheetId="7" state="visible" r:id="rId7"/>
    <sheet name="154" sheetId="8" state="visible" r:id="rId8"/>
    <sheet name="155" sheetId="9" state="visible" r:id="rId9"/>
    <sheet name="156" sheetId="10" state="visible" r:id="rId10"/>
    <sheet name="157" sheetId="11" state="visible" r:id="rId11"/>
    <sheet name="158" sheetId="12" state="visible" r:id="rId12"/>
  </sheets>
  <definedNames>
    <definedName name="_xlnm.Print_Area" localSheetId="0">'147'!$A$1:$I$195</definedName>
    <definedName name="_xlnm.Print_Area" localSheetId="1">'148'!$A$1:$I$195</definedName>
    <definedName name="_xlnm.Print_Area" localSheetId="2">'149'!$A$1:$I$171</definedName>
    <definedName name="_xlnm.Print_Area" localSheetId="3">'150'!$A$1:$I$201</definedName>
    <definedName name="_xlnm.Print_Area" localSheetId="4">'151'!$A$1:$I$171</definedName>
    <definedName name="_xlnm.Print_Area" localSheetId="5">'152'!$A$1:$I$201</definedName>
    <definedName name="_xlnm.Print_Area" localSheetId="6">'153'!$A$1:$I$200</definedName>
    <definedName name="_xlnm.Print_Area" localSheetId="7">'154'!$A$1:$I$201</definedName>
    <definedName name="_xlnm.Print_Area" localSheetId="8">'155'!$A$1:$I$203</definedName>
    <definedName name="_xlnm.Print_Area" localSheetId="9">'156'!$A$1:$I$203</definedName>
    <definedName name="_xlnm.Print_Area" localSheetId="10">'157'!$A$1:$I$184</definedName>
    <definedName name="_xlnm.Print_Area" localSheetId="11">'158'!$A$1:$I$182</definedName>
  </definedNames>
  <calcPr calcId="191028" fullCalcOnLoad="1"/>
</workbook>
</file>

<file path=xl/styles.xml><?xml version="1.0" encoding="utf-8"?>
<styleSheet xmlns="http://schemas.openxmlformats.org/spreadsheetml/2006/main">
  <numFmts count="2">
    <numFmt numFmtId="164" formatCode="dddd"/>
    <numFmt numFmtId="165" formatCode="[$-F400]h:mm:ss\ AM/PM"/>
  </numFmts>
  <fonts count="12">
    <font>
      <name val="Aptos Narrow"/>
      <family val="2"/>
      <color theme="1"/>
      <sz val="11"/>
      <scheme val="minor"/>
    </font>
    <font>
      <name val="Arial"/>
      <family val="2"/>
      <sz val="14"/>
    </font>
    <font>
      <name val="Arial"/>
      <family val="2"/>
      <b val="1"/>
      <color theme="1"/>
      <sz val="14"/>
    </font>
    <font>
      <name val="Aptos Narrow"/>
      <family val="2"/>
      <color theme="1"/>
      <sz val="14"/>
      <scheme val="minor"/>
    </font>
    <font>
      <name val="Arial"/>
      <family val="2"/>
      <b val="1"/>
      <color theme="0"/>
      <sz val="14"/>
    </font>
    <font>
      <name val="Arial"/>
      <family val="2"/>
      <color theme="1"/>
      <sz val="14"/>
    </font>
    <font>
      <name val="Arial"/>
      <family val="2"/>
      <color rgb="FF000000"/>
      <sz val="14"/>
    </font>
    <font>
      <name val="Arial"/>
      <family val="2"/>
      <b val="1"/>
      <sz val="14"/>
    </font>
    <font>
      <name val="Aptos Narrow"/>
      <family val="2"/>
      <b val="1"/>
      <color theme="1"/>
      <sz val="14"/>
      <scheme val="minor"/>
    </font>
    <font>
      <name val="Arial"/>
      <family val="2"/>
      <sz val="14"/>
      <vertAlign val="superscript"/>
    </font>
    <font>
      <name val="Arial"/>
      <family val="2"/>
      <color theme="1"/>
      <sz val="14"/>
    </font>
    <font>
      <name val="Arial"/>
      <family val="2"/>
      <sz val="14"/>
    </font>
  </fonts>
  <fills count="7">
    <fill>
      <patternFill/>
    </fill>
    <fill>
      <patternFill patternType="gray125"/>
    </fill>
    <fill>
      <patternFill patternType="solid">
        <fgColor rgb="FF0080FD"/>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s>
  <borders count="78">
    <border>
      <left/>
      <right/>
      <top/>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style="thin">
        <color indexed="64"/>
      </top>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double">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medium">
        <color indexed="64"/>
      </left>
      <right/>
      <top style="thin">
        <color indexed="64"/>
      </top>
      <bottom style="thin">
        <color indexed="64"/>
      </bottom>
      <diagonal/>
    </border>
    <border>
      <left/>
      <right/>
      <top style="double">
        <color indexed="64"/>
      </top>
      <bottom/>
      <diagonal/>
    </border>
    <border>
      <left/>
      <right style="thin">
        <color indexed="64"/>
      </right>
      <top style="double">
        <color indexed="64"/>
      </top>
      <bottom/>
      <diagonal/>
    </border>
    <border>
      <left/>
      <right style="medium">
        <color indexed="64"/>
      </right>
      <top style="double">
        <color indexed="64"/>
      </top>
      <bottom/>
      <diagonal/>
    </border>
    <border>
      <left/>
      <right style="thin">
        <color indexed="64"/>
      </right>
      <top/>
      <bottom/>
      <diagonal/>
    </border>
  </borders>
  <cellStyleXfs count="1">
    <xf numFmtId="0" fontId="0" fillId="0" borderId="0"/>
  </cellStyleXfs>
  <cellXfs count="255">
    <xf numFmtId="0" fontId="0" fillId="0" borderId="0" pivotButton="0" quotePrefix="0" xfId="0"/>
    <xf numFmtId="0" fontId="3" fillId="0" borderId="0" applyAlignment="1" pivotButton="0" quotePrefix="0" xfId="0">
      <alignment vertical="center"/>
    </xf>
    <xf numFmtId="0" fontId="2" fillId="0" borderId="4" applyAlignment="1" pivotButton="0" quotePrefix="0" xfId="0">
      <alignment vertical="center"/>
    </xf>
    <xf numFmtId="14" fontId="5" fillId="0" borderId="5" applyAlignment="1" pivotButton="0" quotePrefix="0" xfId="0">
      <alignment horizontal="right" vertical="center"/>
    </xf>
    <xf numFmtId="164" fontId="5" fillId="0" borderId="5" applyAlignment="1" pivotButton="0" quotePrefix="0" xfId="0">
      <alignment horizontal="right" vertical="center"/>
    </xf>
    <xf numFmtId="165" fontId="5" fillId="0" borderId="5" applyAlignment="1" pivotButton="0" quotePrefix="0" xfId="0">
      <alignment horizontal="right" vertical="center"/>
    </xf>
    <xf numFmtId="0" fontId="5" fillId="0" borderId="7" applyAlignment="1" pivotButton="0" quotePrefix="0" xfId="0">
      <alignment horizontal="left" vertical="center"/>
    </xf>
    <xf numFmtId="0" fontId="5" fillId="0" borderId="7" applyAlignment="1" pivotButton="0" quotePrefix="0" xfId="0">
      <alignment horizontal="center" vertical="center"/>
    </xf>
    <xf numFmtId="20" fontId="5" fillId="0" borderId="5" applyAlignment="1" pivotButton="0" quotePrefix="0" xfId="0">
      <alignment horizontal="right" vertical="center"/>
    </xf>
    <xf numFmtId="0" fontId="3" fillId="0" borderId="0" pivotButton="0" quotePrefix="0" xfId="0"/>
    <xf numFmtId="0" fontId="2" fillId="0" borderId="55" applyAlignment="1" pivotButton="0" quotePrefix="0" xfId="0">
      <alignment horizontal="center" vertical="center"/>
    </xf>
    <xf numFmtId="0" fontId="2" fillId="0" borderId="56" applyAlignment="1" pivotButton="0" quotePrefix="0" xfId="0">
      <alignment horizontal="center" vertical="center"/>
    </xf>
    <xf numFmtId="0" fontId="2" fillId="4" borderId="57" applyAlignment="1" pivotButton="0" quotePrefix="0" xfId="0">
      <alignment horizontal="center" vertical="center" wrapText="1"/>
    </xf>
    <xf numFmtId="0" fontId="2" fillId="0" borderId="58" applyAlignment="1" pivotButton="0" quotePrefix="0" xfId="0">
      <alignment horizontal="center" vertical="center"/>
    </xf>
    <xf numFmtId="0" fontId="2" fillId="4" borderId="59" applyAlignment="1" pivotButton="0" quotePrefix="0" xfId="0">
      <alignment horizontal="center" vertical="center" wrapText="1"/>
    </xf>
    <xf numFmtId="0" fontId="2" fillId="0" borderId="60" applyAlignment="1" pivotButton="0" quotePrefix="0" xfId="0">
      <alignment horizontal="center" vertical="center"/>
    </xf>
    <xf numFmtId="0" fontId="2" fillId="0" borderId="61" applyAlignment="1" pivotButton="0" quotePrefix="0" xfId="0">
      <alignment horizontal="center" vertical="center"/>
    </xf>
    <xf numFmtId="0" fontId="5" fillId="0" borderId="48" applyAlignment="1" pivotButton="0" quotePrefix="0" xfId="0">
      <alignment horizontal="center" vertical="center"/>
    </xf>
    <xf numFmtId="0" fontId="5" fillId="0" borderId="49" applyAlignment="1" pivotButton="0" quotePrefix="0" xfId="0">
      <alignment horizontal="center" vertical="center"/>
    </xf>
    <xf numFmtId="0" fontId="5" fillId="0" borderId="50" applyAlignment="1" pivotButton="0" quotePrefix="0" xfId="0">
      <alignment horizontal="center" vertical="center" wrapText="1"/>
    </xf>
    <xf numFmtId="0" fontId="5" fillId="0" borderId="51" applyAlignment="1" pivotButton="0" quotePrefix="0" xfId="0">
      <alignment horizontal="center" vertical="center"/>
    </xf>
    <xf numFmtId="0" fontId="5" fillId="0" borderId="52" applyAlignment="1" pivotButton="0" quotePrefix="0" xfId="0">
      <alignment horizontal="center" vertical="center"/>
    </xf>
    <xf numFmtId="0" fontId="5" fillId="0" borderId="53" applyAlignment="1" pivotButton="0" quotePrefix="0" xfId="0">
      <alignment horizontal="center" vertical="center"/>
    </xf>
    <xf numFmtId="0" fontId="1" fillId="0" borderId="54" applyAlignment="1" pivotButton="0" quotePrefix="0" xfId="0">
      <alignment horizontal="center" vertical="center"/>
    </xf>
    <xf numFmtId="0" fontId="5" fillId="0" borderId="9" applyAlignment="1" pivotButton="0" quotePrefix="0" xfId="0">
      <alignment horizontal="center" vertical="center"/>
    </xf>
    <xf numFmtId="0" fontId="5" fillId="0" borderId="17" applyAlignment="1" pivotButton="0" quotePrefix="0" xfId="0">
      <alignment horizontal="center" vertical="center"/>
    </xf>
    <xf numFmtId="0" fontId="1" fillId="0" borderId="19" applyAlignment="1" pivotButton="0" quotePrefix="0" xfId="0">
      <alignment horizontal="center" vertical="center"/>
    </xf>
    <xf numFmtId="0" fontId="5" fillId="0" borderId="34" applyAlignment="1" pivotButton="0" quotePrefix="0" xfId="0">
      <alignment horizontal="center" vertical="center"/>
    </xf>
    <xf numFmtId="0" fontId="5" fillId="0" borderId="35" applyAlignment="1" pivotButton="0" quotePrefix="0" xfId="0">
      <alignment horizontal="center" vertical="center"/>
    </xf>
    <xf numFmtId="0" fontId="5" fillId="0" borderId="11" applyAlignment="1" pivotButton="0" quotePrefix="0" xfId="0">
      <alignment horizontal="center" vertical="center"/>
    </xf>
    <xf numFmtId="0" fontId="1" fillId="0" borderId="18" applyAlignment="1" pivotButton="0" quotePrefix="0" xfId="0">
      <alignment horizontal="center" vertical="center"/>
    </xf>
    <xf numFmtId="0" fontId="5" fillId="0" borderId="34" applyAlignment="1" pivotButton="0" quotePrefix="0" xfId="0">
      <alignment vertical="center"/>
    </xf>
    <xf numFmtId="0" fontId="5" fillId="0" borderId="17" applyAlignment="1" pivotButton="0" quotePrefix="0" xfId="0">
      <alignment vertical="center"/>
    </xf>
    <xf numFmtId="0" fontId="5" fillId="0" borderId="26" applyAlignment="1" pivotButton="0" quotePrefix="0" xfId="0">
      <alignment horizontal="center" vertical="center"/>
    </xf>
    <xf numFmtId="0" fontId="5" fillId="0" borderId="28" applyAlignment="1" pivotButton="0" quotePrefix="0" xfId="0">
      <alignment horizontal="center" vertical="center"/>
    </xf>
    <xf numFmtId="0" fontId="1" fillId="0" borderId="36" applyAlignment="1" pivotButton="0" quotePrefix="0" xfId="0">
      <alignment horizontal="center" vertical="center"/>
    </xf>
    <xf numFmtId="0" fontId="5" fillId="0" borderId="37" applyAlignment="1" pivotButton="0" quotePrefix="0" xfId="0">
      <alignment vertical="center"/>
    </xf>
    <xf numFmtId="0" fontId="5" fillId="0" borderId="28" applyAlignment="1" pivotButton="0" quotePrefix="0" xfId="0">
      <alignment vertical="center"/>
    </xf>
    <xf numFmtId="0" fontId="5" fillId="0" borderId="38" applyAlignment="1" pivotButton="0" quotePrefix="0" xfId="0">
      <alignment horizontal="center" vertical="center"/>
    </xf>
    <xf numFmtId="0" fontId="3" fillId="0" borderId="40" applyAlignment="1" pivotButton="0" quotePrefix="0" xfId="0">
      <alignment vertical="center"/>
    </xf>
    <xf numFmtId="0" fontId="3" fillId="0" borderId="41" applyAlignment="1" pivotButton="0" quotePrefix="0" xfId="0">
      <alignment vertical="center"/>
    </xf>
    <xf numFmtId="0" fontId="5" fillId="0" borderId="42" applyAlignment="1" pivotButton="0" quotePrefix="0" xfId="0">
      <alignment vertical="center"/>
    </xf>
    <xf numFmtId="0" fontId="5" fillId="0" borderId="43" applyAlignment="1" pivotButton="0" quotePrefix="0" xfId="0">
      <alignment vertical="center"/>
    </xf>
    <xf numFmtId="0" fontId="5" fillId="0" borderId="41" applyAlignment="1" pivotButton="0" quotePrefix="0" xfId="0">
      <alignment vertical="center"/>
    </xf>
    <xf numFmtId="0" fontId="5" fillId="0" borderId="44" applyAlignment="1" pivotButton="0" quotePrefix="0" xfId="0">
      <alignment horizontal="center" vertical="center"/>
    </xf>
    <xf numFmtId="0" fontId="6" fillId="0" borderId="45" applyAlignment="1" pivotButton="0" quotePrefix="0" xfId="0">
      <alignment horizontal="left" vertical="center"/>
    </xf>
    <xf numFmtId="0" fontId="6" fillId="0" borderId="41" applyAlignment="1" pivotButton="0" quotePrefix="0" xfId="0">
      <alignment vertical="center"/>
    </xf>
    <xf numFmtId="0" fontId="1" fillId="0" borderId="46" applyAlignment="1" pivotButton="0" quotePrefix="0" xfId="0">
      <alignment horizontal="center" vertical="center"/>
    </xf>
    <xf numFmtId="0" fontId="2" fillId="0" borderId="9" applyAlignment="1" pivotButton="0" quotePrefix="0" xfId="0">
      <alignment horizontal="left" vertical="center"/>
    </xf>
    <xf numFmtId="0" fontId="2" fillId="0" borderId="17" applyAlignment="1" pivotButton="0" quotePrefix="0" xfId="0">
      <alignment horizontal="left" vertical="center"/>
    </xf>
    <xf numFmtId="0" fontId="2" fillId="0" borderId="34" applyAlignment="1" pivotButton="0" quotePrefix="0" xfId="0">
      <alignment horizontal="left" vertical="center"/>
    </xf>
    <xf numFmtId="0" fontId="2" fillId="0" borderId="11" applyAlignment="1" pivotButton="0" quotePrefix="0" xfId="0">
      <alignment horizontal="left" vertical="center"/>
    </xf>
    <xf numFmtId="0" fontId="2" fillId="0" borderId="19" applyAlignment="1" pivotButton="0" quotePrefix="0" xfId="0">
      <alignment horizontal="left" vertical="center"/>
    </xf>
    <xf numFmtId="0" fontId="5" fillId="4" borderId="35" applyAlignment="1" pivotButton="0" quotePrefix="0" xfId="0">
      <alignment horizontal="center" vertical="center"/>
    </xf>
    <xf numFmtId="0" fontId="2" fillId="0" borderId="18" applyAlignment="1" pivotButton="0" quotePrefix="0" xfId="0">
      <alignment horizontal="left" vertical="center"/>
    </xf>
    <xf numFmtId="0" fontId="2" fillId="0" borderId="35" applyAlignment="1" pivotButton="0" quotePrefix="0" xfId="0">
      <alignment horizontal="left" vertical="center"/>
    </xf>
    <xf numFmtId="0" fontId="4" fillId="2" borderId="6" applyAlignment="1" pivotButton="0" quotePrefix="0" xfId="0">
      <alignment horizontal="left" vertical="center"/>
    </xf>
    <xf numFmtId="0" fontId="2" fillId="2" borderId="7" applyAlignment="1" pivotButton="0" quotePrefix="0" xfId="0">
      <alignment horizontal="center" vertical="center"/>
    </xf>
    <xf numFmtId="0" fontId="2" fillId="2" borderId="8" applyAlignment="1" pivotButton="0" quotePrefix="0" xfId="0">
      <alignment horizontal="center" vertical="center"/>
    </xf>
    <xf numFmtId="0" fontId="2" fillId="0" borderId="64" applyAlignment="1" pivotButton="0" quotePrefix="0" xfId="0">
      <alignment horizontal="center" vertical="center"/>
    </xf>
    <xf numFmtId="0" fontId="2" fillId="0" borderId="65" applyAlignment="1" pivotButton="0" quotePrefix="0" xfId="0">
      <alignment horizontal="center" vertical="center"/>
    </xf>
    <xf numFmtId="0" fontId="2" fillId="0" borderId="70" applyAlignment="1" pivotButton="0" quotePrefix="0" xfId="0">
      <alignment horizontal="center" vertical="center"/>
    </xf>
    <xf numFmtId="0" fontId="2" fillId="0" borderId="71" applyAlignment="1" pivotButton="0" quotePrefix="0" xfId="0">
      <alignment horizontal="center" vertical="center"/>
    </xf>
    <xf numFmtId="0" fontId="2" fillId="0" borderId="72" applyAlignment="1" pivotButton="0" quotePrefix="0" xfId="0">
      <alignment horizontal="center" vertical="center"/>
    </xf>
    <xf numFmtId="0" fontId="2" fillId="0" borderId="66" applyAlignment="1" pivotButton="0" quotePrefix="0" xfId="0">
      <alignment horizontal="center" vertical="center" wrapText="1"/>
    </xf>
    <xf numFmtId="0" fontId="2" fillId="0" borderId="65" applyAlignment="1" pivotButton="0" quotePrefix="0" xfId="0">
      <alignment horizontal="center" vertical="center" wrapText="1"/>
    </xf>
    <xf numFmtId="0" fontId="2" fillId="0" borderId="67" applyAlignment="1" pivotButton="0" quotePrefix="0" xfId="0">
      <alignment horizontal="center" vertical="center" wrapText="1"/>
    </xf>
    <xf numFmtId="0" fontId="1" fillId="0" borderId="51" applyAlignment="1" pivotButton="0" quotePrefix="0" xfId="0">
      <alignment horizontal="center" vertical="center"/>
    </xf>
    <xf numFmtId="0" fontId="1" fillId="0" borderId="49" applyAlignment="1" pivotButton="0" quotePrefix="0" xfId="0">
      <alignment horizontal="center" vertical="center"/>
    </xf>
    <xf numFmtId="0" fontId="1" fillId="0" borderId="52" applyAlignment="1" pivotButton="0" quotePrefix="0" xfId="0">
      <alignment horizontal="center" vertical="center"/>
    </xf>
    <xf numFmtId="0" fontId="1" fillId="0" borderId="53" applyAlignment="1" pivotButton="0" quotePrefix="0" xfId="0">
      <alignment horizontal="center" vertical="center"/>
    </xf>
    <xf numFmtId="0" fontId="1" fillId="0" borderId="34" applyAlignment="1" pivotButton="0" quotePrefix="0" xfId="0">
      <alignment horizontal="center" vertical="center"/>
    </xf>
    <xf numFmtId="0" fontId="1" fillId="0" borderId="17" applyAlignment="1" pivotButton="0" quotePrefix="0" xfId="0">
      <alignment horizontal="center" vertical="center"/>
    </xf>
    <xf numFmtId="0" fontId="1" fillId="0" borderId="35" applyAlignment="1" pivotButton="0" quotePrefix="0" xfId="0">
      <alignment horizontal="center" vertical="center"/>
    </xf>
    <xf numFmtId="0" fontId="1" fillId="0" borderId="11" applyAlignment="1" pivotButton="0" quotePrefix="0" xfId="0">
      <alignment horizontal="center" vertical="center"/>
    </xf>
    <xf numFmtId="0" fontId="1" fillId="0" borderId="9" applyAlignment="1" pivotButton="0" quotePrefix="0" xfId="0">
      <alignment horizontal="center" vertical="center"/>
    </xf>
    <xf numFmtId="0" fontId="1" fillId="4" borderId="17" applyAlignment="1" pivotButton="0" quotePrefix="0" xfId="0">
      <alignment horizontal="center" vertical="center"/>
    </xf>
    <xf numFmtId="0" fontId="3" fillId="0" borderId="11" applyAlignment="1" pivotButton="0" quotePrefix="0" xfId="0">
      <alignment vertical="center"/>
    </xf>
    <xf numFmtId="0" fontId="3" fillId="0" borderId="17" applyAlignment="1" pivotButton="0" quotePrefix="0" xfId="0">
      <alignment vertical="center"/>
    </xf>
    <xf numFmtId="0" fontId="3" fillId="0" borderId="18" applyAlignment="1" pivotButton="0" quotePrefix="0" xfId="0">
      <alignment vertical="center"/>
    </xf>
    <xf numFmtId="0" fontId="3" fillId="0" borderId="37" applyAlignment="1" pivotButton="0" quotePrefix="0" xfId="0">
      <alignment vertical="center"/>
    </xf>
    <xf numFmtId="0" fontId="3" fillId="0" borderId="28" applyAlignment="1" pivotButton="0" quotePrefix="0" xfId="0">
      <alignment vertical="center"/>
    </xf>
    <xf numFmtId="0" fontId="3" fillId="0" borderId="38" applyAlignment="1" pivotButton="0" quotePrefix="0" xfId="0">
      <alignment vertical="center"/>
    </xf>
    <xf numFmtId="0" fontId="3" fillId="0" borderId="39" applyAlignment="1" pivotButton="0" quotePrefix="0" xfId="0">
      <alignment vertical="center"/>
    </xf>
    <xf numFmtId="0" fontId="3" fillId="0" borderId="27" applyAlignment="1" pivotButton="0" quotePrefix="0" xfId="0">
      <alignment vertical="center"/>
    </xf>
    <xf numFmtId="0" fontId="1" fillId="5" borderId="40" applyAlignment="1" pivotButton="0" quotePrefix="0" xfId="0">
      <alignment horizontal="center" vertical="center"/>
    </xf>
    <xf numFmtId="0" fontId="1" fillId="3" borderId="9" applyAlignment="1" pivotButton="0" quotePrefix="0" xfId="0">
      <alignment horizontal="center" vertical="center"/>
    </xf>
    <xf numFmtId="0" fontId="1" fillId="6" borderId="64" applyAlignment="1" pivotButton="0" quotePrefix="0" xfId="0">
      <alignment horizontal="center" vertical="center"/>
    </xf>
    <xf numFmtId="0" fontId="2" fillId="0" borderId="50" applyAlignment="1" pivotButton="0" quotePrefix="0" xfId="0">
      <alignment horizontal="center" vertical="center"/>
    </xf>
    <xf numFmtId="0" fontId="2" fillId="0" borderId="9" applyAlignment="1" pivotButton="0" quotePrefix="0" xfId="0">
      <alignment vertical="center" wrapText="1"/>
    </xf>
    <xf numFmtId="0" fontId="2" fillId="0" borderId="9" applyAlignment="1" pivotButton="0" quotePrefix="0" xfId="0">
      <alignment vertical="center"/>
    </xf>
    <xf numFmtId="0" fontId="2" fillId="0" borderId="26" applyAlignment="1" pivotButton="0" quotePrefix="0" xfId="0">
      <alignment vertical="center"/>
    </xf>
    <xf numFmtId="0" fontId="5" fillId="0" borderId="9" applyAlignment="1" pivotButton="0" quotePrefix="0" xfId="0">
      <alignment vertical="center"/>
    </xf>
    <xf numFmtId="0" fontId="2" fillId="0" borderId="17" applyAlignment="1" pivotButton="0" quotePrefix="0" xfId="0">
      <alignment horizontal="center" vertical="center"/>
    </xf>
    <xf numFmtId="0" fontId="1" fillId="4" borderId="4" applyAlignment="1" pivotButton="0" quotePrefix="0" xfId="0">
      <alignment vertical="center" wrapText="1"/>
    </xf>
    <xf numFmtId="0" fontId="1" fillId="4" borderId="0" applyAlignment="1" pivotButton="0" quotePrefix="0" xfId="0">
      <alignment vertical="center" wrapText="1"/>
    </xf>
    <xf numFmtId="0" fontId="1" fillId="4" borderId="5" applyAlignment="1" pivotButton="0" quotePrefix="0" xfId="0">
      <alignment vertical="center" wrapText="1"/>
    </xf>
    <xf numFmtId="0" fontId="5" fillId="0" borderId="0" applyAlignment="1" pivotButton="0" quotePrefix="0" xfId="0">
      <alignment vertical="center"/>
    </xf>
    <xf numFmtId="0" fontId="1" fillId="4" borderId="21" applyAlignment="1" pivotButton="0" quotePrefix="0" xfId="0">
      <alignment vertical="center" wrapText="1"/>
    </xf>
    <xf numFmtId="0" fontId="1" fillId="4" borderId="22" applyAlignment="1" pivotButton="0" quotePrefix="0" xfId="0">
      <alignment vertical="center" wrapText="1"/>
    </xf>
    <xf numFmtId="0" fontId="1" fillId="4" borderId="23" applyAlignment="1" pivotButton="0" quotePrefix="0" xfId="0">
      <alignment vertical="center" wrapText="1"/>
    </xf>
    <xf numFmtId="0" fontId="2" fillId="0" borderId="26" applyAlignment="1" pivotButton="0" quotePrefix="0" xfId="0">
      <alignment horizontal="left" vertical="center"/>
    </xf>
    <xf numFmtId="0" fontId="2" fillId="0" borderId="29" applyAlignment="1" pivotButton="0" quotePrefix="0" xfId="0">
      <alignment horizontal="left" vertical="center"/>
    </xf>
    <xf numFmtId="0" fontId="5" fillId="0" borderId="30" applyAlignment="1" pivotButton="0" quotePrefix="0" xfId="0">
      <alignment horizontal="center" vertical="center"/>
    </xf>
    <xf numFmtId="0" fontId="7" fillId="4" borderId="4" applyAlignment="1" pivotButton="0" quotePrefix="0" xfId="0">
      <alignment vertical="center" wrapText="1"/>
    </xf>
    <xf numFmtId="0" fontId="5" fillId="0" borderId="50" applyAlignment="1" pivotButton="0" quotePrefix="0" xfId="0">
      <alignment horizontal="center" vertical="center"/>
    </xf>
    <xf numFmtId="0" fontId="5" fillId="0" borderId="19"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horizontal="center" vertical="center"/>
    </xf>
    <xf numFmtId="14" fontId="2" fillId="0" borderId="0" applyAlignment="1" pivotButton="0" quotePrefix="0" xfId="0">
      <alignment horizontal="right" vertical="center"/>
    </xf>
    <xf numFmtId="0" fontId="2" fillId="0" borderId="0" applyAlignment="1" pivotButton="0" quotePrefix="0" xfId="0">
      <alignment horizontal="right" vertical="center"/>
    </xf>
    <xf numFmtId="0" fontId="3" fillId="0" borderId="5" applyAlignment="1" pivotButton="0" quotePrefix="0" xfId="0">
      <alignment vertical="center"/>
    </xf>
    <xf numFmtId="0" fontId="10" fillId="0" borderId="53" applyAlignment="1" pivotButton="0" quotePrefix="0" xfId="0">
      <alignment horizontal="center" vertical="center"/>
    </xf>
    <xf numFmtId="0" fontId="10" fillId="0" borderId="49" applyAlignment="1" pivotButton="0" quotePrefix="0" xfId="0">
      <alignment horizontal="center" vertical="center"/>
    </xf>
    <xf numFmtId="0" fontId="11" fillId="0" borderId="54" applyAlignment="1" pivotButton="0" quotePrefix="0" xfId="0">
      <alignment horizontal="center" vertical="center"/>
    </xf>
    <xf numFmtId="0" fontId="2" fillId="0" borderId="48" applyAlignment="1" pivotButton="0" quotePrefix="0" xfId="0">
      <alignment horizontal="left" vertical="center"/>
    </xf>
    <xf numFmtId="0" fontId="2" fillId="0" borderId="49" applyAlignment="1" pivotButton="0" quotePrefix="0" xfId="0">
      <alignment horizontal="center" vertical="center"/>
    </xf>
    <xf numFmtId="0" fontId="1" fillId="0" borderId="50" applyAlignment="1" pivotButton="0" quotePrefix="0" xfId="0">
      <alignment horizontal="center" vertical="center"/>
    </xf>
    <xf numFmtId="0" fontId="2" fillId="0" borderId="51" applyAlignment="1" pivotButton="0" quotePrefix="0" xfId="0">
      <alignment horizontal="left" vertical="center"/>
    </xf>
    <xf numFmtId="0" fontId="2" fillId="0" borderId="53" applyAlignment="1" pivotButton="0" quotePrefix="0" xfId="0">
      <alignment horizontal="left" vertical="center"/>
    </xf>
    <xf numFmtId="0" fontId="5" fillId="0" borderId="65" applyAlignment="1" pivotButton="0" quotePrefix="0" xfId="0">
      <alignment horizontal="center" vertical="center"/>
    </xf>
    <xf numFmtId="0" fontId="1" fillId="0" borderId="70" applyAlignment="1" pivotButton="0" quotePrefix="0" xfId="0">
      <alignment horizontal="center" vertical="center"/>
    </xf>
    <xf numFmtId="0" fontId="5" fillId="0" borderId="71" applyAlignment="1" pivotButton="0" quotePrefix="0" xfId="0">
      <alignment vertical="center"/>
    </xf>
    <xf numFmtId="0" fontId="5" fillId="0" borderId="65" applyAlignment="1" pivotButton="0" quotePrefix="0" xfId="0">
      <alignment vertical="center"/>
    </xf>
    <xf numFmtId="0" fontId="5" fillId="0" borderId="72" applyAlignment="1" pivotButton="0" quotePrefix="0" xfId="0">
      <alignment horizontal="center" vertical="center"/>
    </xf>
    <xf numFmtId="0" fontId="3" fillId="0" borderId="68" applyAlignment="1" pivotButton="0" quotePrefix="0" xfId="0">
      <alignment vertical="center"/>
    </xf>
    <xf numFmtId="0" fontId="5" fillId="0" borderId="70" applyAlignment="1" pivotButton="0" quotePrefix="0" xfId="0">
      <alignment vertical="center"/>
    </xf>
    <xf numFmtId="0" fontId="1" fillId="0" borderId="27" applyAlignment="1" pivotButton="0" quotePrefix="0" xfId="0">
      <alignment horizontal="center" vertical="center"/>
    </xf>
    <xf numFmtId="0" fontId="11" fillId="0" borderId="67" applyAlignment="1" pivotButton="0" quotePrefix="0" xfId="0">
      <alignment horizontal="center" vertical="center"/>
    </xf>
    <xf numFmtId="0" fontId="10" fillId="0" borderId="65" applyAlignment="1" pivotButton="0" quotePrefix="0" xfId="0">
      <alignment horizontal="center" vertical="center"/>
    </xf>
    <xf numFmtId="0" fontId="10" fillId="0" borderId="64" applyAlignment="1" pivotButton="0" quotePrefix="0" xfId="0">
      <alignment horizontal="center" vertical="center"/>
    </xf>
    <xf numFmtId="0" fontId="1" fillId="4" borderId="2" applyAlignment="1" pivotButton="0" quotePrefix="0" xfId="0">
      <alignment vertical="center" wrapText="1"/>
    </xf>
    <xf numFmtId="0" fontId="5" fillId="0" borderId="7" applyAlignment="1" pivotButton="0" quotePrefix="0" xfId="0">
      <alignment horizontal="left" vertical="center"/>
    </xf>
    <xf numFmtId="0" fontId="3" fillId="0" borderId="7" pivotButton="0" quotePrefix="0" xfId="0"/>
    <xf numFmtId="0" fontId="2" fillId="0" borderId="1" applyAlignment="1" pivotButton="0" quotePrefix="0" xfId="0">
      <alignment horizontal="center" vertical="center" wrapText="1"/>
    </xf>
    <xf numFmtId="0" fontId="3" fillId="0" borderId="2" pivotButton="0" quotePrefix="0" xfId="0"/>
    <xf numFmtId="0" fontId="3" fillId="0" borderId="3" pivotButton="0" quotePrefix="0" xfId="0"/>
    <xf numFmtId="0" fontId="3" fillId="0" borderId="4" pivotButton="0" quotePrefix="0" xfId="0"/>
    <xf numFmtId="0" fontId="3" fillId="0" borderId="0" applyAlignment="1" pivotButton="0" quotePrefix="0" xfId="0">
      <alignment vertical="center"/>
    </xf>
    <xf numFmtId="0" fontId="3" fillId="0" borderId="5" pivotButton="0" quotePrefix="0" xfId="0"/>
    <xf numFmtId="0" fontId="3" fillId="0" borderId="6" pivotButton="0" quotePrefix="0" xfId="0"/>
    <xf numFmtId="0" fontId="3" fillId="0" borderId="8" pivotButton="0" quotePrefix="0" xfId="0"/>
    <xf numFmtId="0" fontId="4" fillId="2" borderId="9" applyAlignment="1" pivotButton="0" quotePrefix="0" xfId="0">
      <alignment horizontal="left" vertical="center"/>
    </xf>
    <xf numFmtId="0" fontId="3" fillId="0" borderId="10" pivotButton="0" quotePrefix="0" xfId="0"/>
    <xf numFmtId="0" fontId="3" fillId="0" borderId="13" pivotButton="0" quotePrefix="0" xfId="0"/>
    <xf numFmtId="0" fontId="5" fillId="0" borderId="0" applyAlignment="1" pivotButton="0" quotePrefix="0" xfId="0">
      <alignment horizontal="left" vertical="center"/>
    </xf>
    <xf numFmtId="0" fontId="4" fillId="2" borderId="12" applyAlignment="1" pivotButton="0" quotePrefix="0" xfId="0">
      <alignment horizontal="left" vertical="center"/>
    </xf>
    <xf numFmtId="0" fontId="1" fillId="0" borderId="12" applyAlignment="1" pivotButton="0" quotePrefix="0" xfId="0">
      <alignment horizontal="left" vertical="center" wrapText="1"/>
    </xf>
    <xf numFmtId="0" fontId="4" fillId="2" borderId="14" applyAlignment="1" pivotButton="0" quotePrefix="0" xfId="0">
      <alignment horizontal="left" vertical="center"/>
    </xf>
    <xf numFmtId="0" fontId="3" fillId="0" borderId="15" pivotButton="0" quotePrefix="0" xfId="0"/>
    <xf numFmtId="0" fontId="3" fillId="0" borderId="16" pivotButton="0" quotePrefix="0" xfId="0"/>
    <xf numFmtId="0" fontId="2" fillId="0" borderId="26" applyAlignment="1" pivotButton="0" quotePrefix="0" xfId="0">
      <alignment horizontal="center" vertical="center"/>
    </xf>
    <xf numFmtId="0" fontId="2" fillId="0" borderId="37" applyAlignment="1" pivotButton="0" quotePrefix="0" xfId="0">
      <alignment horizontal="center" vertical="center"/>
    </xf>
    <xf numFmtId="0" fontId="3" fillId="0" borderId="47" pivotButton="0" quotePrefix="0" xfId="0"/>
    <xf numFmtId="0" fontId="2" fillId="0" borderId="39" applyAlignment="1" pivotButton="0" quotePrefix="0" xfId="0">
      <alignment horizontal="center" vertical="center"/>
    </xf>
    <xf numFmtId="0" fontId="7" fillId="0" borderId="17" applyAlignment="1" pivotButton="0" quotePrefix="0" xfId="0">
      <alignment horizontal="left" vertical="center" wrapText="1"/>
    </xf>
    <xf numFmtId="0" fontId="8" fillId="0" borderId="10" pivotButton="0" quotePrefix="0" xfId="0"/>
    <xf numFmtId="0" fontId="8" fillId="0" borderId="13" pivotButton="0" quotePrefix="0" xfId="0"/>
    <xf numFmtId="0" fontId="1" fillId="0" borderId="41" applyAlignment="1" pivotButton="0" quotePrefix="0" xfId="0">
      <alignment horizontal="left" vertical="center"/>
    </xf>
    <xf numFmtId="0" fontId="3" fillId="0" borderId="45" pivotButton="0" quotePrefix="0" xfId="0"/>
    <xf numFmtId="0" fontId="5" fillId="0" borderId="46" applyAlignment="1" pivotButton="0" quotePrefix="0" xfId="0">
      <alignment horizontal="center" vertical="center"/>
    </xf>
    <xf numFmtId="0" fontId="3" fillId="0" borderId="62" applyAlignment="1" pivotButton="0" quotePrefix="0" xfId="0">
      <alignment horizontal="center"/>
    </xf>
    <xf numFmtId="0" fontId="3" fillId="0" borderId="63" applyAlignment="1" pivotButton="0" quotePrefix="0" xfId="0">
      <alignment horizontal="center"/>
    </xf>
    <xf numFmtId="0" fontId="1" fillId="0" borderId="17" applyAlignment="1" pivotButton="0" quotePrefix="0" xfId="0">
      <alignment horizontal="left" vertical="center"/>
    </xf>
    <xf numFmtId="0" fontId="3" fillId="0" borderId="11" pivotButton="0" quotePrefix="0" xfId="0"/>
    <xf numFmtId="0" fontId="5" fillId="0" borderId="18" applyAlignment="1" pivotButton="0" quotePrefix="0" xfId="0">
      <alignment horizontal="center" vertical="center"/>
    </xf>
    <xf numFmtId="0" fontId="3" fillId="0" borderId="10" applyAlignment="1" pivotButton="0" quotePrefix="0" xfId="0">
      <alignment horizontal="center"/>
    </xf>
    <xf numFmtId="0" fontId="3" fillId="0" borderId="13" applyAlignment="1" pivotButton="0" quotePrefix="0" xfId="0">
      <alignment horizontal="center"/>
    </xf>
    <xf numFmtId="0" fontId="1" fillId="0" borderId="65" applyAlignment="1" pivotButton="0" quotePrefix="0" xfId="0">
      <alignment horizontal="left" vertical="center"/>
    </xf>
    <xf numFmtId="0" fontId="3" fillId="0" borderId="66" pivotButton="0" quotePrefix="0" xfId="0"/>
    <xf numFmtId="0" fontId="5" fillId="0" borderId="67" applyAlignment="1" pivotButton="0" quotePrefix="0" xfId="0">
      <alignment horizontal="center" vertical="center"/>
    </xf>
    <xf numFmtId="0" fontId="3" fillId="0" borderId="68" applyAlignment="1" pivotButton="0" quotePrefix="0" xfId="0">
      <alignment horizontal="center"/>
    </xf>
    <xf numFmtId="0" fontId="3" fillId="0" borderId="69" applyAlignment="1" pivotButton="0" quotePrefix="0" xfId="0">
      <alignment horizontal="center"/>
    </xf>
    <xf numFmtId="0" fontId="2" fillId="0" borderId="48" applyAlignment="1" pivotButton="0" quotePrefix="0" xfId="0">
      <alignment horizontal="left" vertical="center"/>
    </xf>
    <xf numFmtId="0" fontId="3" fillId="0" borderId="53" pivotButton="0" quotePrefix="0" xfId="0"/>
    <xf numFmtId="0" fontId="2" fillId="0" borderId="54" applyAlignment="1" pivotButton="0" quotePrefix="0" xfId="0">
      <alignment horizontal="center" vertical="center"/>
    </xf>
    <xf numFmtId="0" fontId="1" fillId="0" borderId="20" applyAlignment="1" pivotButton="0" quotePrefix="0" xfId="0">
      <alignment horizontal="left" vertical="center" wrapText="1"/>
    </xf>
    <xf numFmtId="0" fontId="3" fillId="0" borderId="15" applyAlignment="1" pivotButton="0" quotePrefix="0" xfId="0">
      <alignment horizontal="left" vertical="center"/>
    </xf>
    <xf numFmtId="0" fontId="3" fillId="0" borderId="16" applyAlignment="1" pivotButton="0" quotePrefix="0" xfId="0">
      <alignment horizontal="left" vertical="center"/>
    </xf>
    <xf numFmtId="0" fontId="3" fillId="0" borderId="4" applyAlignment="1" pivotButton="0" quotePrefix="0" xfId="0">
      <alignment horizontal="left" vertical="center"/>
    </xf>
    <xf numFmtId="0" fontId="3" fillId="0" borderId="0" applyAlignment="1" pivotButton="0" quotePrefix="0" xfId="0">
      <alignment horizontal="left" vertical="center"/>
    </xf>
    <xf numFmtId="0" fontId="3" fillId="0" borderId="5" applyAlignment="1" pivotButton="0" quotePrefix="0" xfId="0">
      <alignment horizontal="left" vertical="center"/>
    </xf>
    <xf numFmtId="0" fontId="3" fillId="0" borderId="21" applyAlignment="1" pivotButton="0" quotePrefix="0" xfId="0">
      <alignment horizontal="left" vertical="center"/>
    </xf>
    <xf numFmtId="0" fontId="3" fillId="0" borderId="22" applyAlignment="1" pivotButton="0" quotePrefix="0" xfId="0">
      <alignment horizontal="left" vertical="center"/>
    </xf>
    <xf numFmtId="0" fontId="3" fillId="0" borderId="23" applyAlignment="1" pivotButton="0" quotePrefix="0" xfId="0">
      <alignment horizontal="left" vertical="center"/>
    </xf>
    <xf numFmtId="0" fontId="4" fillId="2" borderId="1" applyAlignment="1" pivotButton="0" quotePrefix="0" xfId="0">
      <alignment horizontal="left" vertical="center"/>
    </xf>
    <xf numFmtId="0" fontId="3" fillId="0" borderId="24" pivotButton="0" quotePrefix="0" xfId="0"/>
    <xf numFmtId="0" fontId="3" fillId="0" borderId="25" pivotButton="0" quotePrefix="0" xfId="0"/>
    <xf numFmtId="0" fontId="1" fillId="0" borderId="18" applyAlignment="1" pivotButton="0" quotePrefix="0" xfId="0">
      <alignment horizontal="left" vertical="center" wrapText="1"/>
    </xf>
    <xf numFmtId="0" fontId="3" fillId="0" borderId="10" applyAlignment="1" pivotButton="0" quotePrefix="0" xfId="0">
      <alignment horizontal="left"/>
    </xf>
    <xf numFmtId="0" fontId="3" fillId="0" borderId="13" applyAlignment="1" pivotButton="0" quotePrefix="0" xfId="0">
      <alignment horizontal="left"/>
    </xf>
    <xf numFmtId="0" fontId="1" fillId="0" borderId="19" applyAlignment="1" pivotButton="0" quotePrefix="0" xfId="0">
      <alignment horizontal="left" vertical="center" wrapText="1"/>
    </xf>
    <xf numFmtId="0" fontId="1" fillId="0" borderId="10" applyAlignment="1" pivotButton="0" quotePrefix="0" xfId="0">
      <alignment horizontal="left" vertical="center" wrapText="1"/>
    </xf>
    <xf numFmtId="0" fontId="1" fillId="0" borderId="13" applyAlignment="1" pivotButton="0" quotePrefix="0" xfId="0">
      <alignment horizontal="left" vertical="center" wrapText="1"/>
    </xf>
    <xf numFmtId="0" fontId="7" fillId="0" borderId="19" applyAlignment="1" pivotButton="0" quotePrefix="0" xfId="0">
      <alignment horizontal="left" vertical="center" wrapText="1"/>
    </xf>
    <xf numFmtId="0" fontId="7" fillId="0" borderId="10" applyAlignment="1" pivotButton="0" quotePrefix="0" xfId="0">
      <alignment horizontal="left" vertical="center" wrapText="1"/>
    </xf>
    <xf numFmtId="0" fontId="7" fillId="0" borderId="13" applyAlignment="1" pivotButton="0" quotePrefix="0" xfId="0">
      <alignment horizontal="left" vertical="center" wrapText="1"/>
    </xf>
    <xf numFmtId="0" fontId="1" fillId="0" borderId="27" applyAlignment="1" pivotButton="0" quotePrefix="0" xfId="0">
      <alignment horizontal="left" vertical="center" wrapText="1"/>
    </xf>
    <xf numFmtId="0" fontId="3" fillId="0" borderId="15" applyAlignment="1" pivotButton="0" quotePrefix="0" xfId="0">
      <alignment horizontal="left"/>
    </xf>
    <xf numFmtId="0" fontId="3" fillId="0" borderId="16" applyAlignment="1" pivotButton="0" quotePrefix="0" xfId="0">
      <alignment horizontal="left"/>
    </xf>
    <xf numFmtId="0" fontId="2" fillId="0" borderId="18" applyAlignment="1" pivotButton="0" quotePrefix="0" xfId="0">
      <alignment horizontal="left" vertical="center"/>
    </xf>
    <xf numFmtId="0" fontId="5" fillId="0" borderId="27" applyAlignment="1" pivotButton="0" quotePrefix="0" xfId="0">
      <alignment horizontal="center" vertical="center"/>
    </xf>
    <xf numFmtId="0" fontId="3" fillId="0" borderId="15" applyAlignment="1" pivotButton="0" quotePrefix="0" xfId="0">
      <alignment horizontal="center"/>
    </xf>
    <xf numFmtId="0" fontId="3" fillId="0" borderId="16" applyAlignment="1" pivotButton="0" quotePrefix="0" xfId="0">
      <alignment horizontal="center"/>
    </xf>
    <xf numFmtId="0" fontId="5" fillId="0" borderId="31" applyAlignment="1" pivotButton="0" quotePrefix="0" xfId="0">
      <alignment horizontal="center" vertical="center"/>
    </xf>
    <xf numFmtId="0" fontId="3" fillId="0" borderId="32" applyAlignment="1" pivotButton="0" quotePrefix="0" xfId="0">
      <alignment horizontal="center"/>
    </xf>
    <xf numFmtId="0" fontId="3" fillId="0" borderId="33" applyAlignment="1" pivotButton="0" quotePrefix="0" xfId="0">
      <alignment horizontal="center"/>
    </xf>
    <xf numFmtId="0" fontId="1" fillId="0" borderId="12" applyAlignment="1" pivotButton="0" quotePrefix="0" xfId="0">
      <alignment horizontal="left" vertical="center"/>
    </xf>
    <xf numFmtId="0" fontId="5" fillId="0" borderId="73" applyAlignment="1" pivotButton="0" quotePrefix="0" xfId="0">
      <alignment horizontal="left" vertical="center"/>
    </xf>
    <xf numFmtId="0" fontId="5" fillId="0" borderId="10" applyAlignment="1" pivotButton="0" quotePrefix="0" xfId="0">
      <alignment horizontal="left" vertical="center"/>
    </xf>
    <xf numFmtId="0" fontId="5" fillId="0" borderId="13" applyAlignment="1" pivotButton="0" quotePrefix="0" xfId="0">
      <alignment horizontal="left" vertical="center"/>
    </xf>
    <xf numFmtId="0" fontId="1" fillId="0" borderId="73" applyAlignment="1" pivotButton="0" quotePrefix="0" xfId="0">
      <alignment horizontal="left" vertical="center"/>
    </xf>
    <xf numFmtId="0" fontId="1" fillId="0" borderId="10" applyAlignment="1" pivotButton="0" quotePrefix="0" xfId="0">
      <alignment horizontal="left" vertical="center"/>
    </xf>
    <xf numFmtId="0" fontId="1" fillId="0" borderId="13" applyAlignment="1" pivotButton="0" quotePrefix="0" xfId="0">
      <alignment horizontal="left" vertical="center"/>
    </xf>
    <xf numFmtId="0" fontId="5" fillId="0" borderId="27" applyAlignment="1" pivotButton="0" quotePrefix="0" xfId="0">
      <alignment horizontal="left" vertical="center"/>
    </xf>
    <xf numFmtId="0" fontId="1" fillId="0" borderId="20" applyAlignment="1" pivotButton="0" quotePrefix="0" xfId="0">
      <alignment horizontal="left" vertical="top" wrapText="1"/>
    </xf>
    <xf numFmtId="0" fontId="3" fillId="0" borderId="15" applyAlignment="1" pivotButton="0" quotePrefix="0" xfId="0">
      <alignment horizontal="left" vertical="top"/>
    </xf>
    <xf numFmtId="0" fontId="3" fillId="0" borderId="16" applyAlignment="1" pivotButton="0" quotePrefix="0" xfId="0">
      <alignment horizontal="left" vertical="top"/>
    </xf>
    <xf numFmtId="0" fontId="3" fillId="0" borderId="4" applyAlignment="1" pivotButton="0" quotePrefix="0" xfId="0">
      <alignment horizontal="left" vertical="top"/>
    </xf>
    <xf numFmtId="0" fontId="3" fillId="0" borderId="0" applyAlignment="1" pivotButton="0" quotePrefix="0" xfId="0">
      <alignment horizontal="left" vertical="top"/>
    </xf>
    <xf numFmtId="0" fontId="3" fillId="0" borderId="5" applyAlignment="1" pivotButton="0" quotePrefix="0" xfId="0">
      <alignment horizontal="left" vertical="top"/>
    </xf>
    <xf numFmtId="0" fontId="3" fillId="0" borderId="21" applyAlignment="1" pivotButton="0" quotePrefix="0" xfId="0">
      <alignment horizontal="left" vertical="top"/>
    </xf>
    <xf numFmtId="0" fontId="3" fillId="0" borderId="22" applyAlignment="1" pivotButton="0" quotePrefix="0" xfId="0">
      <alignment horizontal="left" vertical="top"/>
    </xf>
    <xf numFmtId="0" fontId="3" fillId="0" borderId="23" applyAlignment="1" pivotButton="0" quotePrefix="0" xfId="0">
      <alignment horizontal="left" vertical="top"/>
    </xf>
    <xf numFmtId="0" fontId="5" fillId="0" borderId="15" applyAlignment="1" pivotButton="0" quotePrefix="0" xfId="0">
      <alignment horizontal="center" vertical="center"/>
    </xf>
    <xf numFmtId="0" fontId="5" fillId="0" borderId="36"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15" pivotButton="0" quotePrefix="0" xfId="0"/>
    <xf numFmtId="0" fontId="0" fillId="0" borderId="16" pivotButton="0" quotePrefix="0" xfId="0"/>
    <xf numFmtId="0" fontId="0" fillId="0" borderId="39" pivotButton="0" quotePrefix="0" xfId="0"/>
    <xf numFmtId="0" fontId="0" fillId="0" borderId="45" pivotButton="0" quotePrefix="0" xfId="0"/>
    <xf numFmtId="0" fontId="0" fillId="0" borderId="62" pivotButton="0" quotePrefix="0" xfId="0"/>
    <xf numFmtId="0" fontId="0" fillId="0" borderId="63" pivotButton="0" quotePrefix="0" xfId="0"/>
    <xf numFmtId="0" fontId="0" fillId="0" borderId="66" pivotButton="0" quotePrefix="0" xfId="0"/>
    <xf numFmtId="0" fontId="0" fillId="0" borderId="68" pivotButton="0" quotePrefix="0" xfId="0"/>
    <xf numFmtId="0" fontId="0" fillId="0" borderId="69" pivotButton="0" quotePrefix="0" xfId="0"/>
    <xf numFmtId="0" fontId="0" fillId="0" borderId="53"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7" fillId="0" borderId="18" applyAlignment="1" pivotButton="0" quotePrefix="0" xfId="0">
      <alignment horizontal="left" vertical="center" wrapText="1"/>
    </xf>
    <xf numFmtId="0" fontId="0" fillId="0" borderId="32" pivotButton="0" quotePrefix="0" xfId="0"/>
    <xf numFmtId="0" fontId="0" fillId="0" borderId="33" pivotButton="0" quotePrefix="0" xfId="0"/>
    <xf numFmtId="0" fontId="5" fillId="0" borderId="12"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L224"/>
  <sheetViews>
    <sheetView view="pageBreakPreview" topLeftCell="A21" zoomScale="55" zoomScaleNormal="55" zoomScaleSheetLayoutView="55" workbookViewId="0">
      <selection activeCell="A63" sqref="A63:I66"/>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45962</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16-250C,  Wind:  50 km/h SSW, Precip: 0.2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row>
    <row r="17" ht="23.25" customHeight="1">
      <c r="A17" s="24" t="inlineStr">
        <is>
          <t>O"SHEA, John</t>
        </is>
      </c>
      <c r="B17" s="25" t="inlineStr">
        <is>
          <t>Senior Project Engineer</t>
        </is>
      </c>
      <c r="C17" s="26" t="n"/>
      <c r="D17" s="27" t="n"/>
      <c r="E17" s="25" t="n"/>
      <c r="F17" s="28" t="n"/>
      <c r="G17" s="29" t="inlineStr">
        <is>
          <t>Griffiths, Jaquai</t>
        </is>
      </c>
      <c r="H17" s="25" t="inlineStr">
        <is>
          <t>Operator</t>
        </is>
      </c>
      <c r="I17" s="30" t="n"/>
    </row>
    <row r="18" ht="23.25" customHeight="1">
      <c r="A18" s="24" t="inlineStr">
        <is>
          <t>GRIFFITHS, Ashley</t>
        </is>
      </c>
      <c r="B18" s="25" t="inlineStr">
        <is>
          <t>Supervisor</t>
        </is>
      </c>
      <c r="C18" s="26" t="n"/>
      <c r="D18" s="31" t="n"/>
      <c r="E18" s="32" t="n"/>
      <c r="F18" s="28" t="n"/>
      <c r="G18" s="29" t="inlineStr">
        <is>
          <t>McConnell, Adam</t>
        </is>
      </c>
      <c r="H18" s="25" t="inlineStr">
        <is>
          <t>Labourer</t>
        </is>
      </c>
      <c r="I18" s="30" t="n">
        <v>12</v>
      </c>
    </row>
    <row r="19" ht="23.25" customHeight="1">
      <c r="A19" s="24" t="inlineStr">
        <is>
          <t>THOMPSON,Cheryl</t>
        </is>
      </c>
      <c r="B19" s="25" t="inlineStr">
        <is>
          <t>HSET</t>
        </is>
      </c>
      <c r="C19" s="26" t="n"/>
      <c r="D19" s="31" t="n"/>
      <c r="E19" s="32" t="n"/>
      <c r="F19" s="28" t="n"/>
      <c r="G19" s="29" t="inlineStr">
        <is>
          <t>Henelly, DJ</t>
        </is>
      </c>
      <c r="H19" s="25" t="inlineStr">
        <is>
          <t>Labourer</t>
        </is>
      </c>
      <c r="I19" s="30" t="n">
        <v>12</v>
      </c>
    </row>
    <row r="20" ht="23.25" customHeight="1">
      <c r="A20" s="24" t="inlineStr">
        <is>
          <t>TONER, Ultan</t>
        </is>
      </c>
      <c r="B20" s="25" t="inlineStr">
        <is>
          <t>Supervisor</t>
        </is>
      </c>
      <c r="C20" s="26" t="n">
        <v>12</v>
      </c>
      <c r="D20" s="31" t="n"/>
      <c r="E20" s="32" t="n"/>
      <c r="F20" s="28" t="n"/>
      <c r="G20" s="29" t="inlineStr">
        <is>
          <t>Pavers</t>
        </is>
      </c>
      <c r="H20" s="25" t="inlineStr">
        <is>
          <t>Pavers</t>
        </is>
      </c>
      <c r="I20" s="30" t="n">
        <v>40</v>
      </c>
    </row>
    <row r="21" ht="23.25" customHeight="1">
      <c r="A21" s="24" t="inlineStr">
        <is>
          <t>JOGI, Amit</t>
        </is>
      </c>
      <c r="B21" s="25" t="inlineStr">
        <is>
          <t>Project Engineer</t>
        </is>
      </c>
      <c r="C21" s="26" t="n">
        <v>12</v>
      </c>
      <c r="D21" s="31" t="n"/>
      <c r="E21" s="32" t="n"/>
      <c r="F21" s="28" t="n"/>
      <c r="G21" s="29" t="n"/>
      <c r="H21" s="25" t="n"/>
      <c r="I21" s="30" t="n"/>
    </row>
    <row r="22" ht="23.25" customHeight="1">
      <c r="A22" s="24" t="n"/>
      <c r="B22" s="25" t="n"/>
      <c r="C22" s="26" t="n"/>
      <c r="D22" s="31" t="n"/>
      <c r="E22" s="32" t="n"/>
      <c r="F22" s="28" t="n"/>
      <c r="G22" s="29" t="n"/>
      <c r="H22" s="34" t="n"/>
      <c r="I22" s="30" t="n"/>
    </row>
    <row r="23" ht="23.25" customHeight="1" thickBot="1">
      <c r="A23" s="33" t="n"/>
      <c r="B23" s="34" t="n"/>
      <c r="C23" s="35" t="n"/>
      <c r="D23" s="36" t="n"/>
      <c r="E23" s="37" t="n"/>
      <c r="F23" s="38" t="n"/>
      <c r="H23" s="37" t="n"/>
      <c r="I23" s="111" t="n"/>
    </row>
    <row r="24" ht="23.25" customHeight="1" thickTop="1">
      <c r="A24" s="39" t="n"/>
      <c r="B24" s="40" t="n"/>
      <c r="C24" s="41" t="n"/>
      <c r="D24" s="42" t="n"/>
      <c r="E24" s="43" t="n"/>
      <c r="F24" s="44" t="n"/>
      <c r="G24" s="45" t="n"/>
      <c r="H24" s="46" t="n"/>
      <c r="I24" s="47" t="n"/>
    </row>
    <row r="25" ht="23.25" customHeight="1">
      <c r="A25" s="48" t="inlineStr">
        <is>
          <t xml:space="preserve">Total Indirect Personnel onsite: </t>
        </is>
      </c>
      <c r="B25" s="93">
        <f>COUNT(C15:C23)</f>
        <v/>
      </c>
      <c r="C25" s="26" t="n"/>
      <c r="D25" s="50" t="inlineStr">
        <is>
          <t xml:space="preserve">Total Direct Personnel onsite:  </t>
        </is>
      </c>
      <c r="E25" s="93">
        <f>COUNT(F15:F23)</f>
        <v/>
      </c>
      <c r="F25" s="28" t="n"/>
      <c r="G25" s="51" t="inlineStr">
        <is>
          <t>Total Subcontractor on-site:</t>
        </is>
      </c>
      <c r="H25" s="93">
        <f>COUNT(I15:I22)</f>
        <v/>
      </c>
      <c r="I25" s="30" t="n"/>
    </row>
    <row r="26" ht="23.25" customHeight="1">
      <c r="A26" s="48" t="inlineStr">
        <is>
          <t xml:space="preserve">Total Indirect Personnel hours: </t>
        </is>
      </c>
      <c r="B26" s="93">
        <f>SUM(C15:C22)</f>
        <v/>
      </c>
      <c r="C26" s="52" t="n"/>
      <c r="D26" s="50" t="inlineStr">
        <is>
          <t xml:space="preserve">Total Direct Personnel hours: </t>
        </is>
      </c>
      <c r="E26" s="93">
        <f>SUM(F15:F16)</f>
        <v/>
      </c>
      <c r="F26" s="53" t="n"/>
      <c r="G26" s="51" t="inlineStr">
        <is>
          <t>Total Subcontractor hours:</t>
        </is>
      </c>
      <c r="H26" s="93">
        <f>SUM(I11:I22)</f>
        <v/>
      </c>
      <c r="I26" s="200" t="n"/>
    </row>
    <row r="27" ht="23.25" customHeight="1">
      <c r="A27" s="48" t="n"/>
      <c r="B27" s="49" t="n"/>
      <c r="C27" s="52" t="n"/>
      <c r="D27" s="50" t="n"/>
      <c r="E27" s="49" t="n"/>
      <c r="F27" s="55" t="n"/>
      <c r="G27" s="51" t="n"/>
      <c r="H27" s="49" t="n"/>
      <c r="I27" s="200" t="n"/>
    </row>
    <row r="28" ht="25" customHeight="1">
      <c r="A28" s="56" t="inlineStr">
        <is>
          <t>PLANT &amp; EQUIPMENT</t>
        </is>
      </c>
      <c r="B28" s="57" t="n"/>
      <c r="C28" s="57" t="n"/>
      <c r="D28" s="57" t="n"/>
      <c r="E28" s="57" t="n"/>
      <c r="F28" s="57" t="n"/>
      <c r="G28" s="57" t="n"/>
      <c r="H28" s="57" t="n"/>
      <c r="I28" s="58" t="n"/>
    </row>
    <row r="29" ht="24" customHeight="1" thickBot="1">
      <c r="A29" s="59" t="inlineStr">
        <is>
          <t>Plant</t>
        </is>
      </c>
      <c r="B29" s="60" t="inlineStr">
        <is>
          <t>ID</t>
        </is>
      </c>
      <c r="C29" s="61" t="inlineStr">
        <is>
          <t>Hrs</t>
        </is>
      </c>
      <c r="D29" s="62" t="inlineStr">
        <is>
          <t xml:space="preserve"> Vehicles</t>
        </is>
      </c>
      <c r="E29" s="60" t="inlineStr">
        <is>
          <t>ID</t>
        </is>
      </c>
      <c r="F29" s="63" t="inlineStr">
        <is>
          <t>QTY</t>
        </is>
      </c>
      <c r="G29" s="64" t="inlineStr">
        <is>
          <t>Site Facilities</t>
        </is>
      </c>
      <c r="H29" s="65" t="inlineStr">
        <is>
          <t>ID</t>
        </is>
      </c>
      <c r="I29" s="66" t="inlineStr">
        <is>
          <t>Qty</t>
        </is>
      </c>
    </row>
    <row r="30" ht="23.25" customHeight="1" thickTop="1">
      <c r="A30" s="17" t="inlineStr">
        <is>
          <t>Komatsu WA320</t>
        </is>
      </c>
      <c r="B30" s="18" t="inlineStr">
        <is>
          <t>FWL18</t>
        </is>
      </c>
      <c r="C30" s="105" t="n"/>
      <c r="D30" s="67" t="inlineStr">
        <is>
          <t>Hilux</t>
        </is>
      </c>
      <c r="E30" s="68" t="inlineStr">
        <is>
          <t>DLV90</t>
        </is>
      </c>
      <c r="F30" s="69" t="n">
        <v>1</v>
      </c>
      <c r="G30" s="70" t="inlineStr">
        <is>
          <t>Office 40ft</t>
        </is>
      </c>
      <c r="H30" s="68" t="n">
        <v>9255540</v>
      </c>
      <c r="I30" s="23" t="n">
        <v>1</v>
      </c>
    </row>
    <row r="31" ht="23.25" customHeight="1">
      <c r="A31" s="24" t="inlineStr">
        <is>
          <t>Wacker Neuson DPU</t>
        </is>
      </c>
      <c r="B31" s="25" t="inlineStr">
        <is>
          <t>DPC15</t>
        </is>
      </c>
      <c r="C31" s="106" t="n"/>
      <c r="D31" s="71" t="inlineStr">
        <is>
          <t>Hilux</t>
        </is>
      </c>
      <c r="E31" s="72" t="inlineStr">
        <is>
          <t>1DLV04</t>
        </is>
      </c>
      <c r="F31" s="73" t="n">
        <v>1</v>
      </c>
      <c r="G31" s="74" t="inlineStr">
        <is>
          <t>Sea Container 20ft</t>
        </is>
      </c>
      <c r="H31" s="25" t="n">
        <v>951200</v>
      </c>
      <c r="I31" s="30" t="n">
        <v>1</v>
      </c>
    </row>
    <row r="32" ht="23.25" customHeight="1">
      <c r="A32" s="75" t="inlineStr">
        <is>
          <t>Watercart</t>
        </is>
      </c>
      <c r="B32" s="72" t="inlineStr">
        <is>
          <t>A119</t>
        </is>
      </c>
      <c r="C32" s="106" t="n">
        <v>9</v>
      </c>
      <c r="D32" s="71" t="n"/>
      <c r="E32" s="25" t="n"/>
      <c r="F32" s="73" t="n"/>
      <c r="G32" s="74" t="inlineStr">
        <is>
          <t>Site Sentry Tower</t>
        </is>
      </c>
      <c r="H32" s="72" t="inlineStr">
        <is>
          <t>NA</t>
        </is>
      </c>
      <c r="I32" s="30" t="n">
        <v>2</v>
      </c>
    </row>
    <row r="33" ht="23.25" customHeight="1">
      <c r="A33" s="75" t="inlineStr">
        <is>
          <t>8T Excavator</t>
        </is>
      </c>
      <c r="B33" s="76" t="inlineStr">
        <is>
          <t>AMG 014</t>
        </is>
      </c>
      <c r="C33" s="106" t="n"/>
      <c r="D33" s="71" t="n"/>
      <c r="E33" s="72" t="n"/>
      <c r="F33" s="73" t="n"/>
      <c r="G33" s="74" t="inlineStr">
        <is>
          <t>Skip Bin</t>
        </is>
      </c>
      <c r="H33" s="72" t="inlineStr">
        <is>
          <t>NA</t>
        </is>
      </c>
      <c r="I33" s="30" t="n">
        <v>1</v>
      </c>
    </row>
    <row r="34" ht="23.25" customHeight="1">
      <c r="A34" s="75" t="inlineStr">
        <is>
          <t>Mini Tipper</t>
        </is>
      </c>
      <c r="B34" s="72" t="inlineStr">
        <is>
          <t>SLS04</t>
        </is>
      </c>
      <c r="C34" s="26" t="n">
        <v>4</v>
      </c>
      <c r="D34" s="71" t="n"/>
      <c r="E34" s="72" t="n"/>
      <c r="F34" s="73" t="n"/>
      <c r="G34" s="74" t="inlineStr">
        <is>
          <t>Hydrocarbon Bund</t>
        </is>
      </c>
      <c r="H34" s="72" t="inlineStr">
        <is>
          <t>NA</t>
        </is>
      </c>
      <c r="I34" s="30" t="n">
        <v>1</v>
      </c>
    </row>
    <row r="35" ht="23.25" customHeight="1">
      <c r="A35" s="75" t="inlineStr">
        <is>
          <t>Skid Steer</t>
        </is>
      </c>
      <c r="B35" s="72" t="inlineStr">
        <is>
          <t>SLS03</t>
        </is>
      </c>
      <c r="C35" s="26" t="n"/>
      <c r="D35" s="71" t="n"/>
      <c r="E35" s="72" t="n"/>
      <c r="F35" s="73" t="n"/>
      <c r="G35" s="74" t="inlineStr">
        <is>
          <t>Temp Fence</t>
        </is>
      </c>
      <c r="H35" s="25" t="inlineStr">
        <is>
          <t>NA</t>
        </is>
      </c>
      <c r="I35" s="30" t="n">
        <v>1</v>
      </c>
    </row>
    <row r="36" ht="23.25" customHeight="1">
      <c r="A36" s="75" t="inlineStr">
        <is>
          <t>1t Excavator</t>
        </is>
      </c>
      <c r="B36" s="72" t="inlineStr">
        <is>
          <t>SLS02</t>
        </is>
      </c>
      <c r="C36" s="26" t="n"/>
      <c r="D36" s="71" t="n"/>
      <c r="E36" s="72" t="n"/>
      <c r="F36" s="73" t="n"/>
      <c r="G36" s="74" t="n"/>
      <c r="H36" s="25" t="n"/>
      <c r="I36" s="30" t="n"/>
    </row>
    <row r="37" ht="24" customHeight="1">
      <c r="A37" s="75" t="inlineStr">
        <is>
          <t>8T Excavator (Wheeled)</t>
        </is>
      </c>
      <c r="B37" s="72" t="inlineStr">
        <is>
          <t>BCC12</t>
        </is>
      </c>
      <c r="C37" s="26" t="n"/>
      <c r="D37" s="71" t="n"/>
      <c r="E37" s="72" t="n"/>
      <c r="F37" s="73" t="n"/>
      <c r="G37" s="77" t="n"/>
      <c r="H37" s="78" t="n"/>
      <c r="I37" s="79" t="n"/>
    </row>
    <row r="38" ht="24" customHeight="1">
      <c r="A38" s="75" t="inlineStr">
        <is>
          <t>14t Excavator with GPS</t>
        </is>
      </c>
      <c r="B38" s="72" t="inlineStr">
        <is>
          <t>EX197</t>
        </is>
      </c>
      <c r="C38" s="26" t="n"/>
      <c r="D38" s="71" t="n"/>
      <c r="E38" s="72" t="n"/>
      <c r="F38" s="73" t="n"/>
      <c r="G38" s="77" t="n"/>
      <c r="H38" s="78" t="n"/>
      <c r="I38" s="79" t="n"/>
    </row>
    <row r="39" ht="24" customHeight="1">
      <c r="A39" s="75" t="inlineStr">
        <is>
          <t>Roller</t>
        </is>
      </c>
      <c r="B39" s="72" t="inlineStr">
        <is>
          <t>R538</t>
        </is>
      </c>
      <c r="C39" s="106" t="n">
        <v>2</v>
      </c>
      <c r="D39" s="71" t="n"/>
      <c r="E39" s="72" t="n"/>
      <c r="F39" s="73" t="n"/>
      <c r="G39" s="77" t="n"/>
      <c r="H39" s="78" t="n"/>
      <c r="I39" s="79" t="n"/>
    </row>
    <row r="40" ht="24" customHeight="1" thickBot="1">
      <c r="A40" s="75" t="inlineStr">
        <is>
          <t>IT Loader</t>
        </is>
      </c>
      <c r="B40" s="72" t="inlineStr">
        <is>
          <t>LD011</t>
        </is>
      </c>
      <c r="C40" s="26" t="n">
        <v>2</v>
      </c>
      <c r="D40" s="80" t="n"/>
      <c r="E40" s="81" t="n"/>
      <c r="F40" s="82" t="n"/>
      <c r="G40" s="83" t="n"/>
      <c r="H40" s="81" t="n"/>
      <c r="I40" s="84" t="n"/>
    </row>
    <row r="41" ht="24" customHeight="1" thickTop="1">
      <c r="A41" s="85" t="n">
        <v>0</v>
      </c>
      <c r="B41" s="158" t="inlineStr">
        <is>
          <t xml:space="preserve">Repairs Required </t>
        </is>
      </c>
      <c r="C41" s="239" t="n"/>
      <c r="D41" s="160" t="inlineStr">
        <is>
          <t>NA</t>
        </is>
      </c>
      <c r="E41" s="240" t="n"/>
      <c r="F41" s="240" t="n"/>
      <c r="G41" s="240" t="n"/>
      <c r="H41" s="240" t="n"/>
      <c r="I41" s="241" t="n"/>
    </row>
    <row r="42" ht="24" customHeight="1">
      <c r="A42" s="86" t="n">
        <v>0</v>
      </c>
      <c r="B42" s="163" t="inlineStr">
        <is>
          <t>Scheduled Service</t>
        </is>
      </c>
      <c r="C42" s="234" t="n"/>
      <c r="D42" s="165" t="inlineStr">
        <is>
          <t>NA</t>
        </is>
      </c>
      <c r="E42" s="233" t="n"/>
      <c r="F42" s="233" t="n"/>
      <c r="G42" s="233" t="n"/>
      <c r="H42" s="233" t="n"/>
      <c r="I42" s="235" t="n"/>
    </row>
    <row r="43" ht="24" customHeight="1" thickBot="1">
      <c r="A43" s="87" t="n">
        <v>0</v>
      </c>
      <c r="B43" s="168" t="inlineStr">
        <is>
          <t>Repairs Required but Operable</t>
        </is>
      </c>
      <c r="C43" s="242" t="n"/>
      <c r="D43" s="170" t="inlineStr">
        <is>
          <t>NA</t>
        </is>
      </c>
      <c r="E43" s="243" t="n"/>
      <c r="F43" s="243" t="n"/>
      <c r="G43" s="243" t="n"/>
      <c r="H43" s="243" t="n"/>
      <c r="I43" s="244" t="n"/>
    </row>
    <row r="44" ht="23.25" customHeight="1" thickTop="1">
      <c r="A44" s="173" t="inlineStr">
        <is>
          <t xml:space="preserve">Total Plant and Equipment Hours: </t>
        </is>
      </c>
      <c r="B44" s="245" t="n"/>
      <c r="C44" s="88">
        <f>SUM(C30:C40)</f>
        <v/>
      </c>
      <c r="D44" s="175" t="n"/>
      <c r="E44" s="231" t="n"/>
      <c r="F44" s="231" t="n"/>
      <c r="G44" s="231" t="n"/>
      <c r="H44" s="231" t="n"/>
      <c r="I44" s="232" t="n"/>
    </row>
    <row r="45" ht="25" customHeight="1">
      <c r="A45" s="146" t="inlineStr">
        <is>
          <t>DELAYS-OPPORTUNITY</t>
        </is>
      </c>
      <c r="B45" s="233" t="n"/>
      <c r="C45" s="233" t="n"/>
      <c r="D45" s="233" t="n"/>
      <c r="E45" s="233" t="n"/>
      <c r="F45" s="233" t="n"/>
      <c r="G45" s="233" t="n"/>
      <c r="H45" s="233" t="n"/>
      <c r="I45" s="235" t="n"/>
    </row>
    <row r="46" ht="69" customHeight="1" thickBot="1">
      <c r="A46" s="176"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forrest street to advise if additional adjustments required.
Lateral reticulation pipes hit multiple times during NBN pit installation due to relocation within NBN alignment. Multitude of rework identified.
Vacuum truck used for lightpoles in locations indicating possible service interfaces. 
Issues around Watercorp Connection Identified
</t>
        </is>
      </c>
      <c r="B46" s="236" t="n"/>
      <c r="C46" s="236" t="n"/>
      <c r="D46" s="236" t="n"/>
      <c r="E46" s="236" t="n"/>
      <c r="F46" s="236" t="n"/>
      <c r="G46" s="236" t="n"/>
      <c r="H46" s="236" t="n"/>
      <c r="I46" s="237" t="n"/>
    </row>
    <row r="47" ht="36" customHeight="1" thickBot="1">
      <c r="A47" s="228" t="n"/>
      <c r="I47" s="229" t="n"/>
    </row>
    <row r="48" hidden="1" ht="9.75" customHeight="1" thickBot="1">
      <c r="A48" s="246" t="n"/>
      <c r="B48" s="247" t="n"/>
      <c r="C48" s="247" t="n"/>
      <c r="D48" s="247" t="n"/>
      <c r="E48" s="247" t="n"/>
      <c r="F48" s="247" t="n"/>
      <c r="G48" s="247" t="n"/>
      <c r="H48" s="247" t="n"/>
      <c r="I48" s="248" t="n"/>
    </row>
    <row r="49" ht="25" customHeight="1">
      <c r="A49" s="185" t="inlineStr">
        <is>
          <t>HSEQ MESSAGES</t>
        </is>
      </c>
      <c r="B49" s="249" t="n"/>
      <c r="C49" s="249" t="n"/>
      <c r="D49" s="249" t="n"/>
      <c r="E49" s="249" t="n"/>
      <c r="F49" s="249" t="n"/>
      <c r="G49" s="249" t="n"/>
      <c r="H49" s="249" t="n"/>
      <c r="I49" s="250" t="n"/>
    </row>
    <row r="50" ht="20" customHeight="1">
      <c r="A50" s="89" t="inlineStr">
        <is>
          <t>TCD - Monthly Safety Focus:</t>
        </is>
      </c>
      <c r="B50" s="155" t="inlineStr">
        <is>
          <t>Cyclones &amp; Wet Weather</t>
        </is>
      </c>
      <c r="C50" s="233" t="n"/>
      <c r="D50" s="233" t="n"/>
      <c r="E50" s="233" t="n"/>
      <c r="F50" s="233" t="n"/>
      <c r="G50" s="233" t="n"/>
      <c r="H50" s="233" t="n"/>
      <c r="I50" s="234" t="n"/>
    </row>
    <row r="51" ht="20" customHeight="1">
      <c r="A51" s="89" t="inlineStr">
        <is>
          <t>TCD - Daily Safety Focus:</t>
        </is>
      </c>
      <c r="B51" s="188" t="inlineStr">
        <is>
          <t>Attention to details</t>
        </is>
      </c>
      <c r="C51" s="233" t="n"/>
      <c r="D51" s="233" t="n"/>
      <c r="E51" s="233" t="n"/>
      <c r="F51" s="233" t="n"/>
      <c r="G51" s="233" t="n"/>
      <c r="H51" s="233" t="n"/>
      <c r="I51" s="235" t="n"/>
    </row>
    <row r="52" ht="20" customHeight="1">
      <c r="A52" s="90" t="inlineStr">
        <is>
          <t xml:space="preserve">Hazards Reported: </t>
        </is>
      </c>
      <c r="B52" s="188" t="inlineStr">
        <is>
          <t>Nil</t>
        </is>
      </c>
      <c r="C52" s="233" t="n"/>
      <c r="D52" s="233" t="n"/>
      <c r="E52" s="233" t="n"/>
      <c r="F52" s="233" t="n"/>
      <c r="G52" s="233" t="n"/>
      <c r="H52" s="233" t="n"/>
      <c r="I52" s="235" t="n"/>
    </row>
    <row r="53" ht="20" customHeight="1">
      <c r="A53" s="90" t="inlineStr">
        <is>
          <t>Incident Free Days</t>
        </is>
      </c>
      <c r="B53" s="251" t="n">
        <v>3</v>
      </c>
      <c r="C53" s="233" t="n"/>
      <c r="D53" s="233" t="n"/>
      <c r="E53" s="233" t="n"/>
      <c r="F53" s="233" t="n"/>
      <c r="G53" s="233" t="n"/>
      <c r="H53" s="233" t="n"/>
      <c r="I53" s="235" t="n"/>
    </row>
    <row r="54" ht="20" customHeight="1">
      <c r="A54" s="91" t="inlineStr">
        <is>
          <t>Other Notes</t>
        </is>
      </c>
      <c r="B54" s="197" t="inlineStr">
        <is>
          <t>NA</t>
        </is>
      </c>
      <c r="C54" s="236" t="n"/>
      <c r="D54" s="236" t="n"/>
      <c r="E54" s="236" t="n"/>
      <c r="F54" s="236" t="n"/>
      <c r="G54" s="236" t="n"/>
      <c r="H54" s="236" t="n"/>
      <c r="I54" s="237" t="n"/>
    </row>
    <row r="55" ht="20.25" customHeight="1">
      <c r="A55" s="146" t="inlineStr">
        <is>
          <t xml:space="preserve">INCIDENTS &amp; REPORTS </t>
        </is>
      </c>
      <c r="B55" s="233" t="n"/>
      <c r="C55" s="233" t="n"/>
      <c r="D55" s="233" t="n"/>
      <c r="E55" s="233" t="n"/>
      <c r="F55" s="233" t="n"/>
      <c r="G55" s="233" t="n"/>
      <c r="H55" s="233" t="n"/>
      <c r="I55" s="235" t="n"/>
    </row>
    <row r="56" ht="20" customHeight="1">
      <c r="A56" s="92" t="n"/>
      <c r="B56" s="93" t="inlineStr">
        <is>
          <t>QTY</t>
        </is>
      </c>
      <c r="C56" s="200" t="inlineStr">
        <is>
          <t>Comments</t>
        </is>
      </c>
      <c r="D56" s="233" t="n"/>
      <c r="E56" s="233" t="n"/>
      <c r="F56" s="233" t="n"/>
      <c r="G56" s="233" t="n"/>
      <c r="H56" s="233" t="n"/>
      <c r="I56" s="235" t="n"/>
    </row>
    <row r="57" ht="20" customHeight="1">
      <c r="A57" s="48" t="inlineStr">
        <is>
          <t>INCIDENT</t>
        </is>
      </c>
      <c r="B57" s="25" t="n">
        <v>0</v>
      </c>
      <c r="C57" s="201" t="inlineStr">
        <is>
          <t>NA</t>
        </is>
      </c>
      <c r="D57" s="236" t="n"/>
      <c r="E57" s="236" t="n"/>
      <c r="F57" s="236" t="n"/>
      <c r="G57" s="236" t="n"/>
      <c r="H57" s="236" t="n"/>
      <c r="I57" s="237" t="n"/>
    </row>
    <row r="58" ht="20" customHeight="1">
      <c r="A58" s="101" t="inlineStr">
        <is>
          <t>IR</t>
        </is>
      </c>
      <c r="B58" s="34" t="n">
        <v>0</v>
      </c>
      <c r="C58" s="201" t="inlineStr">
        <is>
          <t>NA</t>
        </is>
      </c>
      <c r="D58" s="236" t="n"/>
      <c r="E58" s="236" t="n"/>
      <c r="F58" s="236" t="n"/>
      <c r="G58" s="236" t="n"/>
      <c r="H58" s="236" t="n"/>
      <c r="I58" s="237" t="n"/>
    </row>
    <row r="59" ht="20" customHeight="1" thickBot="1">
      <c r="A59" s="102" t="inlineStr">
        <is>
          <t>NCR</t>
        </is>
      </c>
      <c r="B59" s="103" t="n">
        <v>0</v>
      </c>
      <c r="C59" s="204" t="inlineStr">
        <is>
          <t>NA</t>
        </is>
      </c>
      <c r="D59" s="252" t="n"/>
      <c r="E59" s="252" t="n"/>
      <c r="F59" s="252" t="n"/>
      <c r="G59" s="252" t="n"/>
      <c r="H59" s="252" t="n"/>
      <c r="I59" s="253" t="n"/>
    </row>
    <row r="60" ht="20.25" customHeight="1">
      <c r="A60" s="185" t="inlineStr">
        <is>
          <t>COMMUNICATIONS</t>
        </is>
      </c>
      <c r="B60" s="249" t="n"/>
      <c r="C60" s="249" t="n"/>
      <c r="D60" s="249" t="n"/>
      <c r="E60" s="249" t="n"/>
      <c r="F60" s="249" t="n"/>
      <c r="G60" s="249" t="n"/>
      <c r="H60" s="249" t="n"/>
      <c r="I60" s="250" t="n"/>
    </row>
    <row r="61" ht="25" customHeight="1">
      <c r="A61" s="207" t="inlineStr">
        <is>
          <t>TGS MB1119-05 Scheme D implemented</t>
        </is>
      </c>
      <c r="B61" s="233" t="n"/>
      <c r="C61" s="233" t="n"/>
      <c r="D61" s="233" t="n"/>
      <c r="E61" s="233" t="n"/>
      <c r="F61" s="233" t="n"/>
      <c r="G61" s="233" t="n"/>
      <c r="H61" s="233" t="n"/>
      <c r="I61" s="235" t="n"/>
    </row>
    <row r="62" ht="25" customHeight="1">
      <c r="A62" s="146" t="inlineStr">
        <is>
          <t>PRODUCTION (CONSTRUCTION STATUS &amp; PROGRESS)</t>
        </is>
      </c>
      <c r="B62" s="233" t="n"/>
      <c r="C62" s="233" t="n"/>
      <c r="D62" s="233" t="n"/>
      <c r="E62" s="233" t="n"/>
      <c r="F62" s="233" t="n"/>
      <c r="G62" s="233" t="n"/>
      <c r="H62" s="233" t="n"/>
      <c r="I62" s="235" t="n"/>
    </row>
    <row r="63" ht="20" customHeight="1">
      <c r="A63" s="207" t="inlineStr">
        <is>
          <t>Ground Prep works, conditioning and rolling for Paving is ongoing</t>
        </is>
      </c>
      <c r="B63" s="233" t="n"/>
      <c r="C63" s="233" t="n"/>
      <c r="D63" s="233" t="n"/>
      <c r="E63" s="233" t="n"/>
      <c r="F63" s="233" t="n"/>
      <c r="G63" s="233" t="n"/>
      <c r="H63" s="233" t="n"/>
      <c r="I63" s="235" t="n"/>
    </row>
    <row r="64" ht="20" customHeight="1">
      <c r="A64" s="207" t="inlineStr">
        <is>
          <t>Paver placement at south-east started</t>
        </is>
      </c>
      <c r="B64" s="233" t="n"/>
      <c r="C64" s="233" t="n"/>
      <c r="D64" s="233" t="n"/>
      <c r="E64" s="233" t="n"/>
      <c r="F64" s="233" t="n"/>
      <c r="G64" s="233" t="n"/>
      <c r="H64" s="233" t="n"/>
      <c r="I64" s="235" t="n"/>
    </row>
    <row r="65" ht="20" customHeight="1">
      <c r="A65" s="207" t="inlineStr">
        <is>
          <t>Holes dug for signages using Vac Trailer</t>
        </is>
      </c>
      <c r="B65" s="233" t="n"/>
      <c r="C65" s="233" t="n"/>
      <c r="D65" s="233" t="n"/>
      <c r="E65" s="233" t="n"/>
      <c r="F65" s="233" t="n"/>
      <c r="G65" s="233" t="n"/>
      <c r="H65" s="233" t="n"/>
      <c r="I65" s="235" t="n"/>
    </row>
    <row r="66" ht="20" customHeight="1">
      <c r="A66" s="207" t="inlineStr">
        <is>
          <t xml:space="preserve">Root Deflectors placement in the tree pits </t>
        </is>
      </c>
      <c r="B66" s="233" t="n"/>
      <c r="C66" s="233" t="n"/>
      <c r="D66" s="233" t="n"/>
      <c r="E66" s="233" t="n"/>
      <c r="F66" s="233" t="n"/>
      <c r="G66" s="233" t="n"/>
      <c r="H66" s="233" t="n"/>
      <c r="I66" s="235" t="n"/>
    </row>
    <row r="67" ht="20" customHeight="1">
      <c r="A67" s="254" t="n"/>
      <c r="B67" s="233" t="n"/>
      <c r="C67" s="233" t="n"/>
      <c r="D67" s="233" t="n"/>
      <c r="E67" s="233" t="n"/>
      <c r="F67" s="233" t="n"/>
      <c r="G67" s="233" t="n"/>
      <c r="H67" s="233" t="n"/>
      <c r="I67" s="235" t="n"/>
    </row>
    <row r="68" ht="26.25" customHeight="1">
      <c r="A68" s="148" t="inlineStr">
        <is>
          <t>Photos</t>
        </is>
      </c>
      <c r="B68" s="236" t="n"/>
      <c r="C68" s="236" t="n"/>
      <c r="D68" s="236" t="n"/>
      <c r="E68" s="236" t="n"/>
      <c r="F68" s="236" t="n"/>
      <c r="G68" s="236" t="n"/>
      <c r="H68" s="236" t="n"/>
      <c r="I68" s="237"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94" t="n"/>
      <c r="B74" s="95" t="n"/>
      <c r="C74" s="95" t="n"/>
      <c r="D74" s="95" t="n"/>
      <c r="E74" s="95" t="n"/>
      <c r="F74" s="95" t="n"/>
      <c r="G74" s="95" t="n"/>
      <c r="H74" s="95" t="n"/>
      <c r="I74" s="96" t="n"/>
    </row>
    <row r="75" ht="23.25" customHeight="1">
      <c r="A75" s="10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15" customHeight="1">
      <c r="A96" s="94" t="n"/>
      <c r="B96" s="95" t="n"/>
      <c r="C96" s="95" t="n"/>
      <c r="D96" s="95" t="n"/>
      <c r="E96" s="95" t="n"/>
      <c r="F96" s="95" t="n"/>
      <c r="G96" s="95" t="n"/>
      <c r="H96" s="95" t="n"/>
      <c r="I96" s="96" t="n"/>
    </row>
    <row r="97" ht="25" customFormat="1" customHeight="1" s="97">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c r="A103" s="94" t="n"/>
      <c r="B103" s="95" t="n"/>
      <c r="C103" s="95" t="n"/>
      <c r="D103" s="95" t="n"/>
      <c r="E103" s="95" t="n"/>
      <c r="F103" s="95" t="n"/>
      <c r="G103" s="95" t="n"/>
      <c r="H103" s="95" t="n"/>
      <c r="I103" s="96"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15" customHeight="1">
      <c r="A120" s="94" t="n"/>
      <c r="B120" s="95" t="n"/>
      <c r="C120" s="95" t="n"/>
      <c r="D120" s="95" t="n"/>
      <c r="E120" s="95" t="n"/>
      <c r="F120" s="95" t="n"/>
      <c r="G120" s="95" t="n"/>
      <c r="H120" s="95" t="n"/>
      <c r="I120" s="96" t="n"/>
    </row>
    <row r="121" ht="2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15" customHeight="1">
      <c r="A123" s="94" t="n"/>
      <c r="B123" s="95" t="n"/>
      <c r="C123" s="95" t="n"/>
      <c r="D123" s="95" t="n"/>
      <c r="E123" s="95" t="n"/>
      <c r="F123" s="95" t="n"/>
      <c r="G123" s="95" t="n"/>
      <c r="H123" s="95" t="n"/>
      <c r="I123" s="96" t="n"/>
    </row>
    <row r="124" ht="28"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5" customHeight="1">
      <c r="A143" s="94" t="n"/>
      <c r="B143" s="95" t="n"/>
      <c r="C143" s="95" t="n"/>
      <c r="D143" s="95" t="n"/>
      <c r="E143" s="95" t="n"/>
      <c r="F143" s="95" t="n"/>
      <c r="G143" s="95" t="n"/>
      <c r="H143" s="95" t="n"/>
      <c r="I143" s="96" t="n"/>
    </row>
    <row r="144" ht="16" customHeight="1">
      <c r="A144" s="94" t="n"/>
      <c r="B144" s="95" t="n"/>
      <c r="C144" s="95" t="n"/>
      <c r="D144" s="95" t="n"/>
      <c r="E144" s="95" t="n"/>
      <c r="F144" s="95" t="n"/>
      <c r="G144" s="95" t="n"/>
      <c r="H144" s="95" t="n"/>
      <c r="I144" s="96" t="n"/>
    </row>
    <row r="145" ht="56.25" customHeight="1">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row>
    <row r="150">
      <c r="A150" s="94" t="n"/>
      <c r="B150" s="95" t="n"/>
      <c r="C150" s="95" t="n"/>
      <c r="D150" s="95" t="n"/>
      <c r="E150" s="95" t="n"/>
      <c r="F150" s="95" t="n"/>
      <c r="G150" s="95" t="n"/>
      <c r="H150" s="95" t="n"/>
      <c r="I150" s="96" t="n"/>
      <c r="J150" s="95" t="n"/>
      <c r="K150" s="95" t="n"/>
      <c r="L150" s="95"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row>
    <row r="171">
      <c r="A171" s="94" t="n"/>
      <c r="B171" s="95" t="n"/>
      <c r="C171" s="95" t="n"/>
      <c r="D171" s="95" t="n"/>
      <c r="E171" s="95" t="n"/>
      <c r="F171" s="95" t="n"/>
      <c r="G171" s="95" t="n"/>
      <c r="H171" s="95" t="n"/>
      <c r="I171" s="96" t="n"/>
    </row>
    <row r="172">
      <c r="A172" s="94" t="n"/>
      <c r="B172" s="95" t="n"/>
      <c r="C172" s="95" t="n"/>
      <c r="D172" s="95" t="n"/>
      <c r="E172" s="95" t="n"/>
      <c r="F172" s="95" t="n"/>
      <c r="G172" s="95" t="n"/>
      <c r="H172" s="95" t="n"/>
      <c r="I172" s="96" t="n"/>
    </row>
    <row r="173">
      <c r="A173" s="94" t="n"/>
      <c r="B173" s="95" t="n"/>
      <c r="C173" s="95" t="n"/>
      <c r="D173" s="95" t="n"/>
      <c r="E173" s="95" t="n"/>
      <c r="F173" s="95" t="n"/>
      <c r="G173" s="95" t="n"/>
      <c r="H173" s="95" t="n"/>
      <c r="I173" s="96" t="n"/>
    </row>
    <row r="174">
      <c r="A174" s="94" t="n"/>
      <c r="B174" s="95" t="n"/>
      <c r="C174" s="95" t="n"/>
      <c r="D174" s="95" t="n"/>
      <c r="E174" s="95" t="n"/>
      <c r="F174" s="95" t="n"/>
      <c r="G174" s="95" t="n"/>
      <c r="H174" s="95" t="n"/>
      <c r="I174" s="96" t="n"/>
    </row>
    <row r="175">
      <c r="A175" s="94" t="n"/>
      <c r="B175" s="95" t="n"/>
      <c r="C175" s="95" t="n"/>
      <c r="D175" s="95" t="n"/>
      <c r="E175" s="95" t="n"/>
      <c r="F175" s="95" t="n"/>
      <c r="G175" s="95" t="n"/>
      <c r="H175" s="95" t="n"/>
      <c r="I175" s="96" t="n"/>
    </row>
    <row r="176">
      <c r="A176" s="94" t="n"/>
      <c r="B176" s="95" t="n"/>
      <c r="C176" s="95" t="n"/>
      <c r="D176" s="95" t="n"/>
      <c r="E176" s="95" t="n"/>
      <c r="F176" s="95" t="n"/>
      <c r="G176" s="95" t="n"/>
      <c r="H176" s="95" t="n"/>
      <c r="I176" s="96" t="n"/>
    </row>
    <row r="177">
      <c r="A177" s="94" t="n"/>
      <c r="B177" s="95" t="n"/>
      <c r="C177" s="95" t="n"/>
      <c r="D177" s="95" t="n"/>
      <c r="E177" s="95" t="n"/>
      <c r="F177" s="95" t="n"/>
      <c r="G177" s="95" t="n"/>
      <c r="H177" s="95" t="n"/>
      <c r="I177" s="96" t="n"/>
      <c r="J177" s="95" t="n"/>
    </row>
    <row r="178">
      <c r="A178" s="94" t="n"/>
      <c r="B178" s="95" t="n"/>
      <c r="C178" s="95" t="n"/>
      <c r="D178" s="95" t="n"/>
      <c r="E178" s="95" t="n"/>
      <c r="F178" s="95" t="n"/>
      <c r="G178" s="95" t="n"/>
      <c r="H178" s="95" t="n"/>
      <c r="I178" s="96" t="n"/>
      <c r="J178" s="95" t="n"/>
      <c r="K178" s="95" t="n"/>
    </row>
    <row r="179">
      <c r="A179" s="94" t="n"/>
      <c r="B179" s="95" t="n"/>
      <c r="C179" s="95" t="n"/>
      <c r="D179" s="95" t="n"/>
      <c r="E179" s="95" t="n"/>
      <c r="F179" s="95" t="n"/>
      <c r="G179" s="95" t="n"/>
      <c r="H179" s="95" t="n"/>
      <c r="I179" s="96" t="n"/>
      <c r="J179" s="95" t="n"/>
    </row>
    <row r="180">
      <c r="A180" s="94" t="n"/>
      <c r="B180" s="95" t="n"/>
      <c r="C180" s="95" t="n"/>
      <c r="D180" s="95" t="n"/>
      <c r="E180" s="95" t="n"/>
      <c r="F180" s="95" t="n"/>
      <c r="G180" s="95" t="n"/>
      <c r="H180" s="95" t="n"/>
      <c r="I180" s="96" t="n"/>
    </row>
    <row r="181">
      <c r="A181" s="94" t="n"/>
      <c r="B181" s="95" t="n"/>
      <c r="C181" s="95" t="n"/>
      <c r="D181" s="95" t="n"/>
      <c r="E181" s="95" t="n"/>
      <c r="F181" s="95" t="n"/>
      <c r="G181" s="95" t="n"/>
      <c r="H181" s="95" t="n"/>
      <c r="I181" s="96" t="n"/>
    </row>
    <row r="182">
      <c r="A182" s="94" t="n"/>
      <c r="B182" s="95" t="n"/>
      <c r="C182" s="95" t="n"/>
      <c r="D182" s="95" t="n"/>
      <c r="E182" s="95" t="n"/>
      <c r="F182" s="95" t="n"/>
      <c r="G182" s="95" t="n"/>
      <c r="H182" s="95" t="n"/>
      <c r="I182" s="96" t="n"/>
    </row>
    <row r="183">
      <c r="A183" s="94" t="n"/>
      <c r="B183" s="95" t="n"/>
      <c r="C183" s="95" t="n"/>
      <c r="D183" s="95" t="n"/>
      <c r="E183" s="95" t="n"/>
      <c r="F183" s="95" t="n"/>
      <c r="G183" s="95" t="n"/>
      <c r="H183" s="95" t="n"/>
      <c r="I183" s="96" t="n"/>
    </row>
    <row r="184">
      <c r="A184" s="94" t="n"/>
      <c r="B184" s="95" t="n"/>
      <c r="C184" s="95" t="n"/>
      <c r="D184" s="95" t="n"/>
      <c r="E184" s="95" t="n"/>
      <c r="F184" s="95" t="n"/>
      <c r="G184" s="95" t="n"/>
      <c r="H184" s="95" t="n"/>
      <c r="I184" s="96" t="n"/>
    </row>
    <row r="185">
      <c r="A185" s="94" t="n"/>
      <c r="B185" s="95" t="n"/>
      <c r="C185" s="95" t="n"/>
      <c r="D185" s="95" t="n"/>
      <c r="E185" s="95" t="n"/>
      <c r="F185" s="95" t="n"/>
      <c r="G185" s="95" t="n"/>
      <c r="H185" s="95" t="n"/>
      <c r="I185" s="96" t="n"/>
    </row>
    <row r="186">
      <c r="A186" s="94" t="n"/>
      <c r="B186" s="95" t="n"/>
      <c r="C186" s="95" t="n"/>
      <c r="D186" s="95" t="n"/>
      <c r="E186" s="95" t="n"/>
      <c r="F186" s="95" t="n"/>
      <c r="G186" s="95" t="n"/>
      <c r="H186" s="95" t="n"/>
      <c r="I186" s="96" t="n"/>
    </row>
    <row r="187">
      <c r="A187" s="94" t="n"/>
      <c r="B187" s="95" t="n"/>
      <c r="C187" s="95" t="n"/>
      <c r="D187" s="95" t="n"/>
      <c r="E187" s="95" t="n"/>
      <c r="F187" s="95" t="n"/>
      <c r="G187" s="95" t="n"/>
      <c r="H187" s="95" t="n"/>
      <c r="I187" s="96" t="n"/>
    </row>
    <row r="188">
      <c r="A188" s="94" t="n"/>
      <c r="B188" s="95" t="n"/>
      <c r="C188" s="95" t="n"/>
      <c r="D188" s="95" t="n"/>
      <c r="E188" s="95" t="n"/>
      <c r="F188" s="95" t="n"/>
      <c r="G188" s="95" t="n"/>
      <c r="H188" s="95" t="n"/>
      <c r="I188" s="96" t="n"/>
    </row>
    <row r="189">
      <c r="A189" s="94" t="n"/>
      <c r="B189" s="95" t="n"/>
      <c r="C189" s="95" t="n"/>
      <c r="D189" s="95" t="n"/>
      <c r="E189" s="95" t="n"/>
      <c r="F189" s="95" t="n"/>
      <c r="G189" s="95" t="n"/>
      <c r="H189" s="95" t="n"/>
      <c r="I189" s="96" t="n"/>
    </row>
    <row r="190">
      <c r="A190" s="94" t="n"/>
      <c r="B190" s="95" t="n"/>
      <c r="C190" s="95" t="n"/>
      <c r="D190" s="95" t="n"/>
      <c r="E190" s="95" t="n"/>
      <c r="F190" s="95" t="n"/>
      <c r="G190" s="95" t="n"/>
      <c r="H190" s="95" t="n"/>
      <c r="I190" s="96" t="n"/>
    </row>
    <row r="191">
      <c r="A191" s="94" t="n"/>
      <c r="B191" s="95" t="n"/>
      <c r="C191" s="95" t="n"/>
      <c r="D191" s="95" t="n"/>
      <c r="E191" s="95" t="n"/>
      <c r="F191" s="95" t="n"/>
      <c r="G191" s="95" t="n"/>
      <c r="H191" s="95" t="n"/>
      <c r="I191" s="96" t="n"/>
    </row>
    <row r="192">
      <c r="A192" s="94" t="n"/>
      <c r="B192" s="95" t="n"/>
      <c r="C192" s="95" t="n"/>
      <c r="D192" s="95" t="n"/>
      <c r="E192" s="95" t="n"/>
      <c r="F192" s="95" t="n"/>
      <c r="G192" s="95" t="n"/>
      <c r="H192" s="95" t="n"/>
      <c r="I192" s="96" t="n"/>
    </row>
    <row r="193">
      <c r="A193" s="94" t="n"/>
      <c r="B193" s="95" t="n"/>
      <c r="C193" s="95" t="n"/>
      <c r="D193" s="95" t="n"/>
      <c r="E193" s="95" t="n"/>
      <c r="F193" s="95" t="n"/>
      <c r="G193" s="95" t="n"/>
      <c r="H193" s="95" t="n"/>
      <c r="I193" s="96" t="n"/>
    </row>
    <row r="194">
      <c r="A194" s="94" t="n"/>
      <c r="B194" s="95" t="n"/>
      <c r="C194" s="95" t="n"/>
      <c r="D194" s="95" t="n"/>
      <c r="E194" s="95" t="n"/>
      <c r="F194" s="95" t="n"/>
      <c r="G194" s="95" t="n"/>
      <c r="H194" s="95" t="n"/>
      <c r="I194" s="96" t="n"/>
    </row>
    <row r="195" ht="19" customHeight="1" thickBot="1">
      <c r="A195" s="98" t="n"/>
      <c r="B195" s="99" t="n"/>
      <c r="C195" s="99" t="n"/>
      <c r="D195" s="99" t="n"/>
      <c r="E195" s="99" t="n"/>
      <c r="F195" s="99" t="n"/>
      <c r="G195" s="99" t="n"/>
      <c r="H195" s="99" t="n"/>
      <c r="I195" s="100" t="n"/>
    </row>
    <row r="196">
      <c r="L196" s="95" t="n"/>
    </row>
    <row r="200" ht="16" customHeight="1"/>
    <row r="204">
      <c r="L204" s="95" t="n"/>
    </row>
    <row r="205">
      <c r="L205" s="95" t="n"/>
    </row>
    <row r="206">
      <c r="L206" s="95" t="n"/>
    </row>
    <row r="207">
      <c r="L207" s="95" t="n"/>
    </row>
    <row r="208">
      <c r="L208" s="95" t="n"/>
    </row>
    <row r="209">
      <c r="L209" s="95" t="n"/>
    </row>
    <row r="210">
      <c r="L210" s="95" t="n"/>
    </row>
    <row r="211">
      <c r="L211" s="95" t="n"/>
    </row>
    <row r="212">
      <c r="L212" s="95" t="n"/>
    </row>
    <row r="213">
      <c r="L213" s="95" t="n"/>
    </row>
    <row r="214">
      <c r="L214" s="95" t="n"/>
    </row>
    <row r="215">
      <c r="L215" s="95" t="n"/>
    </row>
    <row r="216">
      <c r="L216" s="95" t="n"/>
    </row>
    <row r="217">
      <c r="L217" s="95" t="n"/>
    </row>
    <row r="218">
      <c r="L218" s="95" t="n"/>
    </row>
    <row r="219">
      <c r="L219" s="95" t="n"/>
    </row>
    <row r="220">
      <c r="L220" s="95" t="n"/>
    </row>
    <row r="221">
      <c r="L221" s="95" t="n"/>
    </row>
    <row r="222">
      <c r="L222" s="95" t="n"/>
    </row>
    <row r="223">
      <c r="L223" s="95" t="n"/>
    </row>
    <row r="224">
      <c r="L224" s="95" t="n"/>
    </row>
  </sheetData>
  <mergeCells count="42">
    <mergeCell ref="A65:I65"/>
    <mergeCell ref="D13:F13"/>
    <mergeCell ref="G13:I13"/>
    <mergeCell ref="B54:I54"/>
    <mergeCell ref="A66:I66"/>
    <mergeCell ref="D41:I41"/>
    <mergeCell ref="B8:D8"/>
    <mergeCell ref="A55:I55"/>
    <mergeCell ref="A12:I12"/>
    <mergeCell ref="C57:I57"/>
    <mergeCell ref="B43:C43"/>
    <mergeCell ref="D43:I43"/>
    <mergeCell ref="A46:I48"/>
    <mergeCell ref="B52:I52"/>
    <mergeCell ref="A5:I5"/>
    <mergeCell ref="B42:C42"/>
    <mergeCell ref="B9:D9"/>
    <mergeCell ref="B6:D6"/>
    <mergeCell ref="A62:I62"/>
    <mergeCell ref="C58:I58"/>
    <mergeCell ref="B53:I53"/>
    <mergeCell ref="A68:I68"/>
    <mergeCell ref="A63:I63"/>
    <mergeCell ref="D42:I42"/>
    <mergeCell ref="A10:I10"/>
    <mergeCell ref="A13:C13"/>
    <mergeCell ref="A1:I4"/>
    <mergeCell ref="A67:I67"/>
    <mergeCell ref="D44:I44"/>
    <mergeCell ref="B7:D7"/>
    <mergeCell ref="A64:I64"/>
    <mergeCell ref="A49:I49"/>
    <mergeCell ref="A11:I11"/>
    <mergeCell ref="C56:I56"/>
    <mergeCell ref="A60:I60"/>
    <mergeCell ref="B51:I51"/>
    <mergeCell ref="C59:I59"/>
    <mergeCell ref="A45:I45"/>
    <mergeCell ref="A44:B44"/>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67" min="0" max="8" man="1"/>
  </rowBreaks>
</worksheet>
</file>

<file path=xl/worksheets/sheet2.xml><?xml version="1.0" encoding="utf-8"?>
<worksheet xmlns="http://schemas.openxmlformats.org/spreadsheetml/2006/main">
  <sheetPr>
    <outlinePr summaryBelow="1" summaryRight="1"/>
    <pageSetUpPr fitToPage="1"/>
  </sheetPr>
  <dimension ref="A1:N224"/>
  <sheetViews>
    <sheetView view="pageBreakPreview" topLeftCell="A12" zoomScale="55" zoomScaleNormal="55" zoomScaleSheetLayoutView="55" workbookViewId="0">
      <selection activeCell="A63" sqref="A63:I67"/>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45964</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15-270C,  Wind:  15 km/h SW, Precip: 0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v>3</v>
      </c>
    </row>
    <row r="17" ht="23.25" customHeight="1">
      <c r="A17" s="24" t="inlineStr">
        <is>
          <t>O"SHEA, John</t>
        </is>
      </c>
      <c r="B17" s="25" t="inlineStr">
        <is>
          <t>Senior Project Engineer</t>
        </is>
      </c>
      <c r="C17" s="26" t="n"/>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c r="D18" s="31" t="n"/>
      <c r="E18" s="32" t="n"/>
      <c r="F18" s="28" t="n"/>
      <c r="G18" s="29" t="inlineStr">
        <is>
          <t>Griffiths, Jaquai</t>
        </is>
      </c>
      <c r="H18" s="25" t="inlineStr">
        <is>
          <t>Operator</t>
        </is>
      </c>
      <c r="I18" s="30" t="n"/>
    </row>
    <row r="19" ht="23.25" customHeight="1">
      <c r="A19" s="24" t="inlineStr">
        <is>
          <t>THOMPSON,Cheryl</t>
        </is>
      </c>
      <c r="B19" s="25" t="inlineStr">
        <is>
          <t>HSET</t>
        </is>
      </c>
      <c r="C19" s="26" t="n"/>
      <c r="D19" s="31" t="n"/>
      <c r="E19" s="32" t="n"/>
      <c r="F19" s="28" t="n"/>
      <c r="G19" s="29" t="inlineStr">
        <is>
          <t>McConnell, Adam</t>
        </is>
      </c>
      <c r="H19" s="25" t="inlineStr">
        <is>
          <t>Labourer</t>
        </is>
      </c>
      <c r="I19" s="30" t="n">
        <v>12</v>
      </c>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JOGI, Amit</t>
        </is>
      </c>
      <c r="B21" s="25" t="inlineStr">
        <is>
          <t>Project Engineer</t>
        </is>
      </c>
      <c r="C21" s="26" t="n">
        <v>12</v>
      </c>
      <c r="D21" s="31" t="n"/>
      <c r="E21" s="32" t="n"/>
      <c r="F21" s="28" t="n"/>
      <c r="G21" s="29" t="inlineStr">
        <is>
          <t>Pavers</t>
        </is>
      </c>
      <c r="H21" s="25" t="inlineStr">
        <is>
          <t>Pavers</t>
        </is>
      </c>
      <c r="I21" s="30" t="n">
        <v>40</v>
      </c>
    </row>
    <row r="22" ht="23.25" customHeight="1">
      <c r="A22" s="24" t="n"/>
      <c r="B22" s="25" t="n"/>
      <c r="C22" s="26" t="n"/>
      <c r="D22" s="31" t="n"/>
      <c r="E22" s="32" t="n"/>
      <c r="F22" s="28" t="n"/>
      <c r="G22" s="29" t="inlineStr">
        <is>
          <t>Think Water</t>
        </is>
      </c>
      <c r="H22" s="25" t="inlineStr">
        <is>
          <t>Irrigation</t>
        </is>
      </c>
      <c r="I22" s="30" t="n">
        <v>8</v>
      </c>
    </row>
    <row r="23" ht="23.25" customHeight="1" thickBot="1">
      <c r="A23" s="33" t="n"/>
      <c r="B23" s="34" t="n"/>
      <c r="C23" s="35" t="n"/>
      <c r="D23" s="36" t="n"/>
      <c r="E23" s="37" t="n"/>
      <c r="F23" s="38" t="n"/>
      <c r="H23" s="37" t="n"/>
      <c r="I23" s="111" t="n"/>
    </row>
    <row r="24" ht="23.25" customHeight="1" thickTop="1">
      <c r="A24" s="39" t="n"/>
      <c r="B24" s="40" t="n"/>
      <c r="C24" s="41" t="n"/>
      <c r="D24" s="42" t="n"/>
      <c r="E24" s="43" t="n"/>
      <c r="F24" s="44" t="n"/>
      <c r="G24" s="45" t="n"/>
      <c r="H24" s="46" t="n"/>
      <c r="I24" s="47" t="n"/>
    </row>
    <row r="25" ht="23.25" customHeight="1">
      <c r="A25" s="48" t="inlineStr">
        <is>
          <t xml:space="preserve">Total Indirect Personnel onsite: </t>
        </is>
      </c>
      <c r="B25" s="93">
        <f>COUNT(C15:C23)</f>
        <v/>
      </c>
      <c r="C25" s="26" t="n"/>
      <c r="D25" s="50" t="inlineStr">
        <is>
          <t xml:space="preserve">Total Direct Personnel onsite:  </t>
        </is>
      </c>
      <c r="E25" s="93">
        <f>COUNT(F15:F23)</f>
        <v/>
      </c>
      <c r="F25" s="28" t="n"/>
      <c r="G25" s="51" t="inlineStr">
        <is>
          <t>Total Subcontractor on-site:</t>
        </is>
      </c>
      <c r="H25" s="93">
        <f>COUNT(I15:I22)</f>
        <v/>
      </c>
      <c r="I25" s="30" t="n"/>
    </row>
    <row r="26" ht="23.25" customHeight="1">
      <c r="A26" s="48" t="inlineStr">
        <is>
          <t xml:space="preserve">Total Indirect Personnel hours: </t>
        </is>
      </c>
      <c r="B26" s="93">
        <f>SUM(C15:C22)</f>
        <v/>
      </c>
      <c r="C26" s="52" t="n"/>
      <c r="D26" s="50" t="inlineStr">
        <is>
          <t xml:space="preserve">Total Direct Personnel hours: </t>
        </is>
      </c>
      <c r="E26" s="93">
        <f>SUM(F15:F16)</f>
        <v/>
      </c>
      <c r="F26" s="53" t="n"/>
      <c r="G26" s="51" t="inlineStr">
        <is>
          <t>Total Subcontractor hours:</t>
        </is>
      </c>
      <c r="H26" s="93">
        <f>SUM(I11:I22)</f>
        <v/>
      </c>
      <c r="I26" s="200" t="n"/>
    </row>
    <row r="27" ht="23.25" customHeight="1">
      <c r="A27" s="48" t="n"/>
      <c r="B27" s="49" t="n"/>
      <c r="C27" s="52" t="n"/>
      <c r="D27" s="50" t="n"/>
      <c r="E27" s="49" t="n"/>
      <c r="F27" s="55" t="n"/>
      <c r="G27" s="51" t="n"/>
      <c r="H27" s="49" t="n"/>
      <c r="I27" s="200" t="n"/>
    </row>
    <row r="28" ht="25" customHeight="1">
      <c r="A28" s="56" t="inlineStr">
        <is>
          <t>PLANT &amp; EQUIPMENT</t>
        </is>
      </c>
      <c r="B28" s="57" t="n"/>
      <c r="C28" s="57" t="n"/>
      <c r="D28" s="57" t="n"/>
      <c r="E28" s="57" t="n"/>
      <c r="F28" s="57" t="n"/>
      <c r="G28" s="57" t="n"/>
      <c r="H28" s="57" t="n"/>
      <c r="I28" s="58" t="n"/>
    </row>
    <row r="29" ht="24" customHeight="1" thickBot="1">
      <c r="A29" s="59" t="inlineStr">
        <is>
          <t>Plant</t>
        </is>
      </c>
      <c r="B29" s="60" t="inlineStr">
        <is>
          <t>ID</t>
        </is>
      </c>
      <c r="C29" s="61" t="inlineStr">
        <is>
          <t>Hrs</t>
        </is>
      </c>
      <c r="D29" s="62" t="inlineStr">
        <is>
          <t xml:space="preserve"> Vehicles</t>
        </is>
      </c>
      <c r="E29" s="60" t="inlineStr">
        <is>
          <t>ID</t>
        </is>
      </c>
      <c r="F29" s="63" t="inlineStr">
        <is>
          <t>QTY</t>
        </is>
      </c>
      <c r="G29" s="64" t="inlineStr">
        <is>
          <t>Site Facilities</t>
        </is>
      </c>
      <c r="H29" s="65" t="inlineStr">
        <is>
          <t>ID</t>
        </is>
      </c>
      <c r="I29" s="66" t="inlineStr">
        <is>
          <t>Qty</t>
        </is>
      </c>
    </row>
    <row r="30" ht="23.25" customHeight="1" thickTop="1">
      <c r="A30" s="17" t="inlineStr">
        <is>
          <t>Komatsu WA320</t>
        </is>
      </c>
      <c r="B30" s="18" t="inlineStr">
        <is>
          <t>FWL18</t>
        </is>
      </c>
      <c r="C30" s="105" t="n"/>
      <c r="D30" s="67" t="inlineStr">
        <is>
          <t>Hilux</t>
        </is>
      </c>
      <c r="E30" s="68" t="inlineStr">
        <is>
          <t>DLV90</t>
        </is>
      </c>
      <c r="F30" s="69" t="n">
        <v>1</v>
      </c>
      <c r="G30" s="70" t="inlineStr">
        <is>
          <t>Office 40ft</t>
        </is>
      </c>
      <c r="H30" s="68" t="n">
        <v>9255540</v>
      </c>
      <c r="I30" s="23" t="n">
        <v>1</v>
      </c>
    </row>
    <row r="31" ht="23.25" customHeight="1">
      <c r="A31" s="24" t="inlineStr">
        <is>
          <t>Wacker Neuson DPU</t>
        </is>
      </c>
      <c r="B31" s="25" t="inlineStr">
        <is>
          <t>DPC15</t>
        </is>
      </c>
      <c r="C31" s="106" t="n"/>
      <c r="D31" s="71" t="inlineStr">
        <is>
          <t>Hilux</t>
        </is>
      </c>
      <c r="E31" s="72" t="inlineStr">
        <is>
          <t>1DLV04</t>
        </is>
      </c>
      <c r="F31" s="73" t="n">
        <v>1</v>
      </c>
      <c r="G31" s="74" t="inlineStr">
        <is>
          <t>Sea Container 20ft</t>
        </is>
      </c>
      <c r="H31" s="25" t="n">
        <v>951200</v>
      </c>
      <c r="I31" s="30" t="n">
        <v>1</v>
      </c>
    </row>
    <row r="32" ht="23.25" customHeight="1">
      <c r="A32" s="75" t="inlineStr">
        <is>
          <t>Watercart</t>
        </is>
      </c>
      <c r="B32" s="72" t="inlineStr">
        <is>
          <t>A119</t>
        </is>
      </c>
      <c r="C32" s="106" t="n">
        <v>4</v>
      </c>
      <c r="D32" s="71" t="n"/>
      <c r="E32" s="25" t="n"/>
      <c r="F32" s="73" t="n"/>
      <c r="G32" s="74" t="inlineStr">
        <is>
          <t>Site Sentry Tower</t>
        </is>
      </c>
      <c r="H32" s="72" t="inlineStr">
        <is>
          <t>NA</t>
        </is>
      </c>
      <c r="I32" s="30" t="n">
        <v>2</v>
      </c>
    </row>
    <row r="33" ht="23.25" customHeight="1">
      <c r="A33" s="75" t="inlineStr">
        <is>
          <t>8T Excavator</t>
        </is>
      </c>
      <c r="B33" s="76" t="inlineStr">
        <is>
          <t>AMG 014</t>
        </is>
      </c>
      <c r="C33" s="106" t="n"/>
      <c r="D33" s="71" t="n"/>
      <c r="E33" s="72" t="n"/>
      <c r="F33" s="73" t="n"/>
      <c r="G33" s="74" t="inlineStr">
        <is>
          <t>Skip Bin</t>
        </is>
      </c>
      <c r="H33" s="72" t="inlineStr">
        <is>
          <t>NA</t>
        </is>
      </c>
      <c r="I33" s="30" t="n">
        <v>1</v>
      </c>
    </row>
    <row r="34" ht="23.25" customHeight="1">
      <c r="A34" s="75" t="inlineStr">
        <is>
          <t>Mini Tipper</t>
        </is>
      </c>
      <c r="B34" s="72" t="inlineStr">
        <is>
          <t>SLS04</t>
        </is>
      </c>
      <c r="C34" s="26" t="n">
        <v>4</v>
      </c>
      <c r="D34" s="71" t="n"/>
      <c r="E34" s="72" t="n"/>
      <c r="F34" s="73" t="n"/>
      <c r="G34" s="74" t="inlineStr">
        <is>
          <t>Hydrocarbon Bund</t>
        </is>
      </c>
      <c r="H34" s="72" t="inlineStr">
        <is>
          <t>NA</t>
        </is>
      </c>
      <c r="I34" s="30" t="n">
        <v>1</v>
      </c>
    </row>
    <row r="35" ht="23.25" customHeight="1">
      <c r="A35" s="75" t="inlineStr">
        <is>
          <t>Skid Steer</t>
        </is>
      </c>
      <c r="B35" s="72" t="inlineStr">
        <is>
          <t>SLS03</t>
        </is>
      </c>
      <c r="C35" s="26" t="n"/>
      <c r="D35" s="71" t="n"/>
      <c r="E35" s="72" t="n"/>
      <c r="F35" s="73" t="n"/>
      <c r="G35" s="74" t="inlineStr">
        <is>
          <t>Temp Fence</t>
        </is>
      </c>
      <c r="H35" s="25" t="inlineStr">
        <is>
          <t>NA</t>
        </is>
      </c>
      <c r="I35" s="30" t="n">
        <v>1</v>
      </c>
    </row>
    <row r="36" ht="23.25" customHeight="1">
      <c r="A36" s="75" t="inlineStr">
        <is>
          <t>1t Excavator</t>
        </is>
      </c>
      <c r="B36" s="72" t="inlineStr">
        <is>
          <t>SLS02</t>
        </is>
      </c>
      <c r="C36" s="26" t="n"/>
      <c r="D36" s="71" t="n"/>
      <c r="E36" s="72" t="n"/>
      <c r="F36" s="73" t="n"/>
      <c r="G36" s="74" t="n"/>
      <c r="H36" s="25" t="n"/>
      <c r="I36" s="30" t="n"/>
    </row>
    <row r="37" ht="24" customHeight="1">
      <c r="A37" s="75" t="inlineStr">
        <is>
          <t>8T Excavator (Wheeled)</t>
        </is>
      </c>
      <c r="B37" s="72" t="inlineStr">
        <is>
          <t>BCC12</t>
        </is>
      </c>
      <c r="C37" s="26" t="n">
        <v>6</v>
      </c>
      <c r="D37" s="71" t="n"/>
      <c r="E37" s="72" t="n"/>
      <c r="F37" s="73" t="n"/>
      <c r="G37" s="77" t="n"/>
      <c r="H37" s="78" t="n"/>
      <c r="I37" s="79" t="n"/>
    </row>
    <row r="38" ht="24" customHeight="1">
      <c r="A38" s="75" t="inlineStr">
        <is>
          <t>14t Excavator with GPS</t>
        </is>
      </c>
      <c r="B38" s="72" t="inlineStr">
        <is>
          <t>EX197</t>
        </is>
      </c>
      <c r="C38" s="26" t="n">
        <v>2</v>
      </c>
      <c r="D38" s="71" t="n"/>
      <c r="E38" s="72" t="n"/>
      <c r="F38" s="73" t="n"/>
      <c r="G38" s="77" t="n"/>
      <c r="H38" s="78" t="n"/>
      <c r="I38" s="79" t="n"/>
    </row>
    <row r="39" ht="24" customHeight="1">
      <c r="A39" s="75" t="inlineStr">
        <is>
          <t>Roller</t>
        </is>
      </c>
      <c r="B39" s="72" t="inlineStr">
        <is>
          <t>R538</t>
        </is>
      </c>
      <c r="C39" s="106" t="n">
        <v>2</v>
      </c>
      <c r="D39" s="71" t="n"/>
      <c r="E39" s="72" t="n"/>
      <c r="F39" s="73" t="n"/>
      <c r="G39" s="77" t="n"/>
      <c r="H39" s="78" t="n"/>
      <c r="I39" s="79" t="n"/>
    </row>
    <row r="40" ht="24" customHeight="1" thickBot="1">
      <c r="A40" s="75" t="inlineStr">
        <is>
          <t>IT Loader</t>
        </is>
      </c>
      <c r="B40" s="72" t="inlineStr">
        <is>
          <t>LD011</t>
        </is>
      </c>
      <c r="C40" s="26" t="n">
        <v>6</v>
      </c>
      <c r="D40" s="80" t="n"/>
      <c r="E40" s="81" t="n"/>
      <c r="F40" s="82" t="n"/>
      <c r="G40" s="83" t="n"/>
      <c r="H40" s="81" t="n"/>
      <c r="I40" s="84" t="n"/>
    </row>
    <row r="41" ht="24" customHeight="1" thickTop="1">
      <c r="A41" s="85" t="n">
        <v>0</v>
      </c>
      <c r="B41" s="158" t="inlineStr">
        <is>
          <t xml:space="preserve">Repairs Required </t>
        </is>
      </c>
      <c r="C41" s="239" t="n"/>
      <c r="D41" s="160" t="inlineStr">
        <is>
          <t>NA</t>
        </is>
      </c>
      <c r="E41" s="240" t="n"/>
      <c r="F41" s="240" t="n"/>
      <c r="G41" s="240" t="n"/>
      <c r="H41" s="240" t="n"/>
      <c r="I41" s="241" t="n"/>
    </row>
    <row r="42" ht="24" customHeight="1">
      <c r="A42" s="86" t="n">
        <v>0</v>
      </c>
      <c r="B42" s="163" t="inlineStr">
        <is>
          <t>Scheduled Service</t>
        </is>
      </c>
      <c r="C42" s="234" t="n"/>
      <c r="D42" s="165" t="inlineStr">
        <is>
          <t>NA</t>
        </is>
      </c>
      <c r="E42" s="233" t="n"/>
      <c r="F42" s="233" t="n"/>
      <c r="G42" s="233" t="n"/>
      <c r="H42" s="233" t="n"/>
      <c r="I42" s="235" t="n"/>
    </row>
    <row r="43" ht="24" customHeight="1" thickBot="1">
      <c r="A43" s="87" t="n">
        <v>0</v>
      </c>
      <c r="B43" s="168" t="inlineStr">
        <is>
          <t>Repairs Required but Operable</t>
        </is>
      </c>
      <c r="C43" s="242" t="n"/>
      <c r="D43" s="170" t="inlineStr">
        <is>
          <t>NA</t>
        </is>
      </c>
      <c r="E43" s="243" t="n"/>
      <c r="F43" s="243" t="n"/>
      <c r="G43" s="243" t="n"/>
      <c r="H43" s="243" t="n"/>
      <c r="I43" s="244" t="n"/>
    </row>
    <row r="44" ht="23.25" customHeight="1" thickTop="1">
      <c r="A44" s="173" t="inlineStr">
        <is>
          <t xml:space="preserve">Total Plant and Equipment Hours: </t>
        </is>
      </c>
      <c r="B44" s="245" t="n"/>
      <c r="C44" s="88">
        <f>SUM(C30:C40)</f>
        <v/>
      </c>
      <c r="D44" s="175" t="n"/>
      <c r="E44" s="231" t="n"/>
      <c r="F44" s="231" t="n"/>
      <c r="G44" s="231" t="n"/>
      <c r="H44" s="231" t="n"/>
      <c r="I44" s="232" t="n"/>
    </row>
    <row r="45" ht="25" customHeight="1">
      <c r="A45" s="146" t="inlineStr">
        <is>
          <t>DELAYS-OPPORTUNITY</t>
        </is>
      </c>
      <c r="B45" s="233" t="n"/>
      <c r="C45" s="233" t="n"/>
      <c r="D45" s="233" t="n"/>
      <c r="E45" s="233" t="n"/>
      <c r="F45" s="233" t="n"/>
      <c r="G45" s="233" t="n"/>
      <c r="H45" s="233" t="n"/>
      <c r="I45" s="235" t="n"/>
    </row>
    <row r="46" ht="69" customHeight="1" thickBot="1">
      <c r="A46" s="176"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Lateral reticulation pipes hit multiple times during NBN pit installation due to relocation within NBN alignment. Multitude of rework identified.
Vacuum truck used for light poles in locations indicating possible service interfaces. 
Issues around Watercorp Connection Identified
</t>
        </is>
      </c>
      <c r="B46" s="236" t="n"/>
      <c r="C46" s="236" t="n"/>
      <c r="D46" s="236" t="n"/>
      <c r="E46" s="236" t="n"/>
      <c r="F46" s="236" t="n"/>
      <c r="G46" s="236" t="n"/>
      <c r="H46" s="236" t="n"/>
      <c r="I46" s="237" t="n"/>
    </row>
    <row r="47" ht="36" customHeight="1" thickBot="1">
      <c r="A47" s="228" t="n"/>
      <c r="I47" s="229" t="n"/>
    </row>
    <row r="48" hidden="1" ht="9.75" customHeight="1" thickBot="1">
      <c r="A48" s="246" t="n"/>
      <c r="B48" s="247" t="n"/>
      <c r="C48" s="247" t="n"/>
      <c r="D48" s="247" t="n"/>
      <c r="E48" s="247" t="n"/>
      <c r="F48" s="247" t="n"/>
      <c r="G48" s="247" t="n"/>
      <c r="H48" s="247" t="n"/>
      <c r="I48" s="248" t="n"/>
    </row>
    <row r="49" ht="25" customHeight="1">
      <c r="A49" s="185" t="inlineStr">
        <is>
          <t>HSEQ MESSAGES</t>
        </is>
      </c>
      <c r="B49" s="249" t="n"/>
      <c r="C49" s="249" t="n"/>
      <c r="D49" s="249" t="n"/>
      <c r="E49" s="249" t="n"/>
      <c r="F49" s="249" t="n"/>
      <c r="G49" s="249" t="n"/>
      <c r="H49" s="249" t="n"/>
      <c r="I49" s="250" t="n"/>
    </row>
    <row r="50" ht="24" customHeight="1">
      <c r="A50" s="89" t="inlineStr">
        <is>
          <t>TCD - Monthly Safety Focus:</t>
        </is>
      </c>
      <c r="B50" s="155" t="inlineStr">
        <is>
          <t>Cyclones &amp; Wet Weather</t>
        </is>
      </c>
      <c r="C50" s="233" t="n"/>
      <c r="D50" s="233" t="n"/>
      <c r="E50" s="233" t="n"/>
      <c r="F50" s="233" t="n"/>
      <c r="G50" s="233" t="n"/>
      <c r="H50" s="233" t="n"/>
      <c r="I50" s="234" t="n"/>
    </row>
    <row r="51" ht="24" customHeight="1">
      <c r="A51" s="89" t="inlineStr">
        <is>
          <t>TCD - Daily Safety Focus:</t>
        </is>
      </c>
      <c r="B51" s="188" t="inlineStr">
        <is>
          <t>Mind at task</t>
        </is>
      </c>
      <c r="C51" s="233" t="n"/>
      <c r="D51" s="233" t="n"/>
      <c r="E51" s="233" t="n"/>
      <c r="F51" s="233" t="n"/>
      <c r="G51" s="233" t="n"/>
      <c r="H51" s="233" t="n"/>
      <c r="I51" s="235" t="n"/>
    </row>
    <row r="52" ht="24" customHeight="1">
      <c r="A52" s="90" t="inlineStr">
        <is>
          <t xml:space="preserve">Hazards Reported: </t>
        </is>
      </c>
      <c r="B52" s="188" t="inlineStr">
        <is>
          <t>Nil</t>
        </is>
      </c>
      <c r="C52" s="233" t="n"/>
      <c r="D52" s="233" t="n"/>
      <c r="E52" s="233" t="n"/>
      <c r="F52" s="233" t="n"/>
      <c r="G52" s="233" t="n"/>
      <c r="H52" s="233" t="n"/>
      <c r="I52" s="235" t="n"/>
    </row>
    <row r="53" ht="24" customHeight="1">
      <c r="A53" s="90" t="inlineStr">
        <is>
          <t>Incident Free Days</t>
        </is>
      </c>
      <c r="B53" s="251" t="n">
        <v>0</v>
      </c>
      <c r="C53" s="233" t="n"/>
      <c r="D53" s="233" t="n"/>
      <c r="E53" s="233" t="n"/>
      <c r="F53" s="233" t="n"/>
      <c r="G53" s="233" t="n"/>
      <c r="H53" s="233" t="n"/>
      <c r="I53" s="235" t="n"/>
    </row>
    <row r="54" ht="24" customHeight="1">
      <c r="A54" s="91" t="inlineStr">
        <is>
          <t>Other Notes</t>
        </is>
      </c>
      <c r="B54" s="197" t="inlineStr">
        <is>
          <t>NA</t>
        </is>
      </c>
      <c r="C54" s="236" t="n"/>
      <c r="D54" s="236" t="n"/>
      <c r="E54" s="236" t="n"/>
      <c r="F54" s="236" t="n"/>
      <c r="G54" s="236" t="n"/>
      <c r="H54" s="236" t="n"/>
      <c r="I54" s="237" t="n"/>
    </row>
    <row r="55" ht="20.25" customHeight="1">
      <c r="A55" s="146" t="inlineStr">
        <is>
          <t xml:space="preserve">INCIDENTS &amp; REPORTS </t>
        </is>
      </c>
      <c r="B55" s="233" t="n"/>
      <c r="C55" s="233" t="n"/>
      <c r="D55" s="233" t="n"/>
      <c r="E55" s="233" t="n"/>
      <c r="F55" s="233" t="n"/>
      <c r="G55" s="233" t="n"/>
      <c r="H55" s="233" t="n"/>
      <c r="I55" s="235" t="n"/>
    </row>
    <row r="56" ht="20" customHeight="1">
      <c r="A56" s="92" t="n"/>
      <c r="B56" s="93" t="inlineStr">
        <is>
          <t>QTY</t>
        </is>
      </c>
      <c r="C56" s="200" t="inlineStr">
        <is>
          <t>Comments</t>
        </is>
      </c>
      <c r="D56" s="233" t="n"/>
      <c r="E56" s="233" t="n"/>
      <c r="F56" s="233" t="n"/>
      <c r="G56" s="233" t="n"/>
      <c r="H56" s="233" t="n"/>
      <c r="I56" s="235" t="n"/>
    </row>
    <row r="57" ht="24" customHeight="1">
      <c r="A57" s="48" t="inlineStr">
        <is>
          <t>INCIDENT</t>
        </is>
      </c>
      <c r="B57" s="25" t="n">
        <v>2</v>
      </c>
      <c r="C57" s="214" t="inlineStr">
        <is>
          <t>1) LV drove into tree pit , 2) Damaged Building window</t>
        </is>
      </c>
      <c r="D57" s="236" t="n"/>
      <c r="E57" s="236" t="n"/>
      <c r="F57" s="236" t="n"/>
      <c r="G57" s="236" t="n"/>
      <c r="H57" s="236" t="n"/>
      <c r="I57" s="237" t="n"/>
    </row>
    <row r="58" ht="24" customHeight="1">
      <c r="A58" s="101" t="inlineStr">
        <is>
          <t>IR</t>
        </is>
      </c>
      <c r="B58" s="34" t="n">
        <v>0</v>
      </c>
      <c r="C58" s="201" t="inlineStr">
        <is>
          <t>NA</t>
        </is>
      </c>
      <c r="D58" s="236" t="n"/>
      <c r="E58" s="236" t="n"/>
      <c r="F58" s="236" t="n"/>
      <c r="G58" s="236" t="n"/>
      <c r="H58" s="236" t="n"/>
      <c r="I58" s="237" t="n"/>
    </row>
    <row r="59" ht="24" customHeight="1" thickBot="1">
      <c r="A59" s="102" t="inlineStr">
        <is>
          <t>NCR</t>
        </is>
      </c>
      <c r="B59" s="103" t="n">
        <v>0</v>
      </c>
      <c r="C59" s="204" t="inlineStr">
        <is>
          <t>NA</t>
        </is>
      </c>
      <c r="D59" s="252" t="n"/>
      <c r="E59" s="252" t="n"/>
      <c r="F59" s="252" t="n"/>
      <c r="G59" s="252" t="n"/>
      <c r="H59" s="252" t="n"/>
      <c r="I59" s="253" t="n"/>
    </row>
    <row r="60" ht="20.25" customHeight="1">
      <c r="A60" s="185" t="inlineStr">
        <is>
          <t>COMMUNICATIONS</t>
        </is>
      </c>
      <c r="B60" s="249" t="n"/>
      <c r="C60" s="249" t="n"/>
      <c r="D60" s="249" t="n"/>
      <c r="E60" s="249" t="n"/>
      <c r="F60" s="249" t="n"/>
      <c r="G60" s="249" t="n"/>
      <c r="H60" s="249" t="n"/>
      <c r="I60" s="250" t="n"/>
    </row>
    <row r="61" ht="25" customHeight="1">
      <c r="A61" s="207" t="inlineStr">
        <is>
          <t>TGS MB1119-05 Scheme D implemented</t>
        </is>
      </c>
      <c r="B61" s="233" t="n"/>
      <c r="C61" s="233" t="n"/>
      <c r="D61" s="233" t="n"/>
      <c r="E61" s="233" t="n"/>
      <c r="F61" s="233" t="n"/>
      <c r="G61" s="233" t="n"/>
      <c r="H61" s="233" t="n"/>
      <c r="I61" s="235" t="n"/>
    </row>
    <row r="62" ht="25" customHeight="1">
      <c r="A62" s="146" t="inlineStr">
        <is>
          <t>PRODUCTION (CONSTRUCTION STATUS &amp; PROGRESS)</t>
        </is>
      </c>
      <c r="B62" s="233" t="n"/>
      <c r="C62" s="233" t="n"/>
      <c r="D62" s="233" t="n"/>
      <c r="E62" s="233" t="n"/>
      <c r="F62" s="233" t="n"/>
      <c r="G62" s="233" t="n"/>
      <c r="H62" s="233" t="n"/>
      <c r="I62" s="235" t="n"/>
    </row>
    <row r="63" ht="24" customHeight="1">
      <c r="A63" s="207" t="inlineStr">
        <is>
          <t>Ground Prep works, conditioning and rolling for Paving is ongoing</t>
        </is>
      </c>
      <c r="B63" s="233" t="n"/>
      <c r="C63" s="233" t="n"/>
      <c r="D63" s="233" t="n"/>
      <c r="E63" s="233" t="n"/>
      <c r="F63" s="233" t="n"/>
      <c r="G63" s="233" t="n"/>
      <c r="H63" s="233" t="n"/>
      <c r="I63" s="235" t="n"/>
    </row>
    <row r="64" ht="24" customHeight="1">
      <c r="A64" s="207" t="inlineStr">
        <is>
          <t>Commenced Haunching Eastern Side of the Project</t>
        </is>
      </c>
      <c r="B64" s="233" t="n"/>
      <c r="C64" s="233" t="n"/>
      <c r="D64" s="233" t="n"/>
      <c r="E64" s="233" t="n"/>
      <c r="F64" s="233" t="n"/>
      <c r="G64" s="233" t="n"/>
      <c r="H64" s="233" t="n"/>
      <c r="I64" s="235" t="n"/>
    </row>
    <row r="65" ht="24" customHeight="1">
      <c r="A65" s="207" t="inlineStr">
        <is>
          <t>Road marking for Foreshore Drive intersection is completed</t>
        </is>
      </c>
      <c r="B65" s="233" t="n"/>
      <c r="C65" s="233" t="n"/>
      <c r="D65" s="233" t="n"/>
      <c r="E65" s="233" t="n"/>
      <c r="F65" s="233" t="n"/>
      <c r="G65" s="233" t="n"/>
      <c r="H65" s="233" t="n"/>
      <c r="I65" s="235" t="n"/>
    </row>
    <row r="66" ht="24" customHeight="1">
      <c r="A66" s="207" t="inlineStr">
        <is>
          <t>Commissioned Irrigation Laterals</t>
        </is>
      </c>
      <c r="B66" s="233" t="n"/>
      <c r="C66" s="233" t="n"/>
      <c r="D66" s="233" t="n"/>
      <c r="E66" s="233" t="n"/>
      <c r="F66" s="233" t="n"/>
      <c r="G66" s="233" t="n"/>
      <c r="H66" s="233" t="n"/>
      <c r="I66" s="235" t="n"/>
    </row>
    <row r="67" ht="24" customHeight="1">
      <c r="A67" s="254" t="inlineStr">
        <is>
          <t>Delivery of Paver received and unloaded</t>
        </is>
      </c>
      <c r="B67" s="233" t="n"/>
      <c r="C67" s="233" t="n"/>
      <c r="D67" s="233" t="n"/>
      <c r="E67" s="233" t="n"/>
      <c r="F67" s="233" t="n"/>
      <c r="G67" s="233" t="n"/>
      <c r="H67" s="233" t="n"/>
      <c r="I67" s="235" t="n"/>
    </row>
    <row r="68" ht="26.25" customHeight="1">
      <c r="A68" s="148" t="inlineStr">
        <is>
          <t>Photos</t>
        </is>
      </c>
      <c r="B68" s="236" t="n"/>
      <c r="C68" s="236" t="n"/>
      <c r="D68" s="236" t="n"/>
      <c r="E68" s="236" t="n"/>
      <c r="F68" s="236" t="n"/>
      <c r="G68" s="236" t="n"/>
      <c r="H68" s="236" t="n"/>
      <c r="I68" s="237"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94" t="n"/>
      <c r="B74" s="95" t="n"/>
      <c r="C74" s="95" t="n"/>
      <c r="D74" s="95" t="n"/>
      <c r="E74" s="95" t="n"/>
      <c r="F74" s="95" t="n"/>
      <c r="G74" s="95" t="n"/>
      <c r="H74" s="95" t="n"/>
      <c r="I74" s="96" t="n"/>
    </row>
    <row r="75" ht="23.25" customHeight="1">
      <c r="A75" s="10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15" customHeight="1">
      <c r="A96" s="94" t="n"/>
      <c r="B96" s="95" t="n"/>
      <c r="C96" s="95" t="n"/>
      <c r="D96" s="95" t="n"/>
      <c r="E96" s="95" t="n"/>
      <c r="F96" s="95" t="n"/>
      <c r="G96" s="95" t="n"/>
      <c r="H96" s="95" t="n"/>
      <c r="I96" s="96" t="n"/>
    </row>
    <row r="97" ht="25" customFormat="1" customHeight="1" s="97">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c r="A103" s="94" t="n"/>
      <c r="B103" s="95" t="n"/>
      <c r="C103" s="95" t="n"/>
      <c r="D103" s="95" t="n"/>
      <c r="E103" s="95" t="n"/>
      <c r="F103" s="95" t="n"/>
      <c r="G103" s="95" t="n"/>
      <c r="H103" s="95" t="n"/>
      <c r="I103" s="96"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15" customHeight="1">
      <c r="A120" s="94" t="n"/>
      <c r="B120" s="95" t="n"/>
      <c r="C120" s="95" t="n"/>
      <c r="D120" s="95" t="n"/>
      <c r="E120" s="95" t="n"/>
      <c r="F120" s="95" t="n"/>
      <c r="G120" s="95" t="n"/>
      <c r="H120" s="95" t="n"/>
      <c r="I120" s="96" t="n"/>
    </row>
    <row r="121" ht="2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15" customHeight="1">
      <c r="A123" s="94" t="n"/>
      <c r="B123" s="95" t="n"/>
      <c r="C123" s="95" t="n"/>
      <c r="D123" s="95" t="n"/>
      <c r="E123" s="95" t="n"/>
      <c r="F123" s="95" t="n"/>
      <c r="G123" s="95" t="n"/>
      <c r="H123" s="95" t="n"/>
      <c r="I123" s="96" t="n"/>
    </row>
    <row r="124" ht="28"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5" customHeight="1">
      <c r="A143" s="94" t="n"/>
      <c r="B143" s="95" t="n"/>
      <c r="C143" s="95" t="n"/>
      <c r="D143" s="95" t="n"/>
      <c r="E143" s="95" t="n"/>
      <c r="F143" s="95" t="n"/>
      <c r="G143" s="95" t="n"/>
      <c r="H143" s="95" t="n"/>
      <c r="I143" s="96" t="n"/>
    </row>
    <row r="144" ht="16" customHeight="1">
      <c r="A144" s="94" t="n"/>
      <c r="B144" s="95" t="n"/>
      <c r="C144" s="95" t="n"/>
      <c r="D144" s="95" t="n"/>
      <c r="E144" s="95" t="n"/>
      <c r="F144" s="95" t="n"/>
      <c r="G144" s="95" t="n"/>
      <c r="H144" s="95" t="n"/>
      <c r="I144" s="96" t="n"/>
    </row>
    <row r="145" ht="56.25" customHeight="1">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row>
    <row r="150">
      <c r="A150" s="94" t="n"/>
      <c r="B150" s="95" t="n"/>
      <c r="C150" s="95" t="n"/>
      <c r="D150" s="95" t="n"/>
      <c r="E150" s="95" t="n"/>
      <c r="F150" s="95" t="n"/>
      <c r="G150" s="95" t="n"/>
      <c r="H150" s="95" t="n"/>
      <c r="I150" s="96" t="n"/>
      <c r="J150" s="95" t="n"/>
      <c r="K150" s="95" t="n"/>
      <c r="L150" s="95"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row>
    <row r="171" ht="19" customHeight="1" thickBot="1">
      <c r="A171" s="98" t="n"/>
      <c r="B171" s="99" t="n"/>
      <c r="C171" s="99" t="n"/>
      <c r="D171" s="99" t="n"/>
      <c r="E171" s="99" t="n"/>
      <c r="F171" s="99" t="n"/>
      <c r="G171" s="99" t="n"/>
      <c r="H171" s="99" t="n"/>
      <c r="I171" s="100" t="n"/>
    </row>
    <row r="172">
      <c r="A172" s="95" t="n"/>
      <c r="B172" s="95" t="n"/>
      <c r="C172" s="95" t="n"/>
      <c r="D172" s="95" t="n"/>
      <c r="E172" s="95" t="n"/>
      <c r="F172" s="95" t="n"/>
      <c r="G172" s="95" t="n"/>
      <c r="H172" s="95" t="n"/>
      <c r="I172" s="95" t="n"/>
      <c r="J172" s="95" t="n"/>
      <c r="K172" s="95" t="n"/>
      <c r="L172" s="95" t="n"/>
      <c r="M172" s="95" t="n"/>
      <c r="N172" s="95" t="n"/>
    </row>
    <row r="173">
      <c r="A173" s="95" t="n"/>
      <c r="B173" s="95" t="n"/>
      <c r="C173" s="95" t="n"/>
      <c r="D173" s="95" t="n"/>
      <c r="E173" s="95" t="n"/>
      <c r="F173" s="95" t="n"/>
      <c r="G173" s="95" t="n"/>
      <c r="H173" s="95" t="n"/>
      <c r="I173" s="95" t="n"/>
      <c r="J173" s="95" t="n"/>
      <c r="K173" s="95" t="n"/>
      <c r="L173" s="95" t="n"/>
      <c r="M173" s="95" t="n"/>
      <c r="N173" s="95" t="n"/>
    </row>
    <row r="174">
      <c r="A174" s="95" t="n"/>
      <c r="B174" s="95" t="n"/>
      <c r="C174" s="95" t="n"/>
      <c r="D174" s="95" t="n"/>
      <c r="E174" s="95" t="n"/>
      <c r="F174" s="95" t="n"/>
      <c r="G174" s="95" t="n"/>
      <c r="H174" s="95" t="n"/>
      <c r="I174" s="95" t="n"/>
      <c r="J174" s="95" t="n"/>
      <c r="K174" s="95" t="n"/>
      <c r="L174" s="95" t="n"/>
      <c r="M174" s="95" t="n"/>
      <c r="N174" s="95" t="n"/>
    </row>
    <row r="175">
      <c r="A175" s="95" t="n"/>
      <c r="B175" s="95" t="n"/>
      <c r="C175" s="95" t="n"/>
      <c r="D175" s="95" t="n"/>
      <c r="E175" s="95" t="n"/>
      <c r="F175" s="95" t="n"/>
      <c r="G175" s="95" t="n"/>
      <c r="H175" s="95" t="n"/>
      <c r="I175" s="95" t="n"/>
      <c r="J175" s="95" t="n"/>
      <c r="K175" s="95" t="n"/>
      <c r="L175" s="95" t="n"/>
      <c r="M175" s="95" t="n"/>
      <c r="N175" s="95" t="n"/>
    </row>
    <row r="176">
      <c r="A176" s="95" t="n"/>
      <c r="B176" s="95" t="n"/>
      <c r="C176" s="95" t="n"/>
      <c r="D176" s="95" t="n"/>
      <c r="E176" s="95" t="n"/>
      <c r="F176" s="95" t="n"/>
      <c r="G176" s="95" t="n"/>
      <c r="H176" s="95" t="n"/>
      <c r="I176" s="95" t="n"/>
      <c r="J176" s="95" t="n"/>
      <c r="K176" s="95" t="n"/>
      <c r="L176" s="95" t="n"/>
      <c r="M176" s="95" t="n"/>
      <c r="N176" s="95" t="n"/>
    </row>
    <row r="177">
      <c r="A177" s="95" t="n"/>
      <c r="B177" s="95" t="n"/>
      <c r="C177" s="95" t="n"/>
      <c r="D177" s="95" t="n"/>
      <c r="E177" s="95" t="n"/>
      <c r="F177" s="95" t="n"/>
      <c r="G177" s="95" t="n"/>
      <c r="H177" s="95" t="n"/>
      <c r="I177" s="95" t="n"/>
      <c r="J177" s="95" t="n"/>
      <c r="K177" s="95" t="n"/>
      <c r="L177" s="95" t="n"/>
      <c r="M177" s="95" t="n"/>
      <c r="N177" s="95" t="n"/>
    </row>
    <row r="178">
      <c r="A178" s="95" t="n"/>
      <c r="B178" s="95" t="n"/>
      <c r="C178" s="95" t="n"/>
      <c r="D178" s="95" t="n"/>
      <c r="E178" s="95" t="n"/>
      <c r="F178" s="95" t="n"/>
      <c r="G178" s="95" t="n"/>
      <c r="H178" s="95" t="n"/>
      <c r="I178" s="95" t="n"/>
      <c r="J178" s="95" t="n"/>
      <c r="K178" s="95" t="n"/>
      <c r="L178" s="95" t="n"/>
      <c r="M178" s="95" t="n"/>
      <c r="N178" s="95" t="n"/>
    </row>
    <row r="179">
      <c r="A179" s="95" t="n"/>
      <c r="B179" s="95" t="n"/>
      <c r="C179" s="95" t="n"/>
      <c r="D179" s="95" t="n"/>
      <c r="E179" s="95" t="n"/>
      <c r="F179" s="95" t="n"/>
      <c r="G179" s="95" t="n"/>
      <c r="H179" s="95" t="n"/>
      <c r="I179" s="95" t="n"/>
      <c r="J179" s="95" t="n"/>
      <c r="K179" s="95" t="n"/>
      <c r="L179" s="95" t="n"/>
      <c r="M179" s="95" t="n"/>
      <c r="N179" s="95" t="n"/>
    </row>
    <row r="180">
      <c r="A180" s="95" t="n"/>
      <c r="B180" s="95" t="n"/>
      <c r="C180" s="95" t="n"/>
      <c r="D180" s="95" t="n"/>
      <c r="E180" s="95" t="n"/>
      <c r="F180" s="95" t="n"/>
      <c r="G180" s="95" t="n"/>
      <c r="H180" s="95" t="n"/>
      <c r="I180" s="95" t="n"/>
      <c r="J180" s="95" t="n"/>
      <c r="K180" s="95" t="n"/>
      <c r="L180" s="95" t="n"/>
      <c r="M180" s="95" t="n"/>
      <c r="N180" s="95" t="n"/>
    </row>
    <row r="181">
      <c r="A181" s="95" t="n"/>
      <c r="B181" s="95" t="n"/>
      <c r="C181" s="95" t="n"/>
      <c r="D181" s="95" t="n"/>
      <c r="E181" s="95" t="n"/>
      <c r="F181" s="95" t="n"/>
      <c r="G181" s="95" t="n"/>
      <c r="H181" s="95" t="n"/>
      <c r="I181" s="95" t="n"/>
      <c r="J181" s="95" t="n"/>
      <c r="K181" s="95" t="n"/>
      <c r="L181" s="95" t="n"/>
      <c r="M181" s="95" t="n"/>
      <c r="N181" s="95" t="n"/>
    </row>
    <row r="182">
      <c r="A182" s="95" t="n"/>
      <c r="B182" s="95" t="n"/>
      <c r="C182" s="95" t="n"/>
      <c r="D182" s="95" t="n"/>
      <c r="E182" s="95" t="n"/>
      <c r="F182" s="95" t="n"/>
      <c r="G182" s="95" t="n"/>
      <c r="H182" s="95" t="n"/>
      <c r="I182" s="95" t="n"/>
      <c r="J182" s="95" t="n"/>
      <c r="K182" s="95" t="n"/>
      <c r="L182" s="95" t="n"/>
      <c r="M182" s="95" t="n"/>
      <c r="N182" s="95" t="n"/>
    </row>
    <row r="183">
      <c r="A183" s="95" t="n"/>
      <c r="B183" s="95" t="n"/>
      <c r="C183" s="95" t="n"/>
      <c r="D183" s="95" t="n"/>
      <c r="E183" s="95" t="n"/>
      <c r="F183" s="95" t="n"/>
      <c r="G183" s="95" t="n"/>
      <c r="H183" s="95" t="n"/>
      <c r="I183" s="95" t="n"/>
      <c r="J183" s="95" t="n"/>
      <c r="K183" s="95" t="n"/>
      <c r="L183" s="95" t="n"/>
      <c r="M183" s="95" t="n"/>
      <c r="N183" s="95" t="n"/>
    </row>
    <row r="184">
      <c r="A184" s="95" t="n"/>
      <c r="B184" s="95" t="n"/>
      <c r="C184" s="95" t="n"/>
      <c r="D184" s="95" t="n"/>
      <c r="E184" s="95" t="n"/>
      <c r="F184" s="95" t="n"/>
      <c r="G184" s="95" t="n"/>
      <c r="H184" s="95" t="n"/>
      <c r="I184" s="95" t="n"/>
      <c r="J184" s="95" t="n"/>
      <c r="K184" s="95" t="n"/>
      <c r="L184" s="95" t="n"/>
      <c r="M184" s="95" t="n"/>
      <c r="N184" s="95" t="n"/>
    </row>
    <row r="185">
      <c r="A185" s="95" t="n"/>
      <c r="B185" s="95" t="n"/>
      <c r="C185" s="95" t="n"/>
      <c r="D185" s="95" t="n"/>
      <c r="E185" s="95" t="n"/>
      <c r="F185" s="95" t="n"/>
      <c r="G185" s="95" t="n"/>
      <c r="H185" s="95" t="n"/>
      <c r="I185" s="95" t="n"/>
      <c r="J185" s="95" t="n"/>
      <c r="K185" s="95" t="n"/>
      <c r="L185" s="95" t="n"/>
      <c r="M185" s="95" t="n"/>
      <c r="N185" s="95" t="n"/>
    </row>
    <row r="186">
      <c r="A186" s="95" t="n"/>
      <c r="B186" s="95" t="n"/>
      <c r="C186" s="95" t="n"/>
      <c r="D186" s="95" t="n"/>
      <c r="E186" s="95" t="n"/>
      <c r="F186" s="95" t="n"/>
      <c r="G186" s="95" t="n"/>
      <c r="H186" s="95" t="n"/>
      <c r="I186" s="95" t="n"/>
      <c r="J186" s="95" t="n"/>
      <c r="K186" s="95" t="n"/>
      <c r="L186" s="95" t="n"/>
      <c r="M186" s="95" t="n"/>
      <c r="N186" s="95" t="n"/>
    </row>
    <row r="187">
      <c r="A187" s="95" t="n"/>
      <c r="B187" s="95" t="n"/>
      <c r="C187" s="95" t="n"/>
      <c r="D187" s="95" t="n"/>
      <c r="E187" s="95" t="n"/>
      <c r="F187" s="95" t="n"/>
      <c r="G187" s="95" t="n"/>
      <c r="H187" s="95" t="n"/>
      <c r="I187" s="95" t="n"/>
      <c r="J187" s="95" t="n"/>
      <c r="K187" s="95" t="n"/>
      <c r="L187" s="95" t="n"/>
      <c r="M187" s="95" t="n"/>
      <c r="N187" s="95" t="n"/>
    </row>
    <row r="188">
      <c r="A188" s="95" t="n"/>
      <c r="B188" s="95" t="n"/>
      <c r="C188" s="95" t="n"/>
      <c r="D188" s="95" t="n"/>
      <c r="E188" s="95" t="n"/>
      <c r="F188" s="95" t="n"/>
      <c r="G188" s="95" t="n"/>
      <c r="H188" s="95" t="n"/>
      <c r="I188" s="95" t="n"/>
      <c r="J188" s="95" t="n"/>
      <c r="K188" s="95" t="n"/>
      <c r="L188" s="95" t="n"/>
      <c r="M188" s="95" t="n"/>
      <c r="N188" s="95" t="n"/>
    </row>
    <row r="189">
      <c r="A189" s="95" t="n"/>
      <c r="B189" s="95" t="n"/>
      <c r="C189" s="95" t="n"/>
      <c r="D189" s="95" t="n"/>
      <c r="E189" s="95" t="n"/>
      <c r="F189" s="95" t="n"/>
      <c r="G189" s="95" t="n"/>
      <c r="H189" s="95" t="n"/>
      <c r="I189" s="95" t="n"/>
      <c r="J189" s="95" t="n"/>
      <c r="K189" s="95" t="n"/>
      <c r="L189" s="95" t="n"/>
      <c r="M189" s="95" t="n"/>
      <c r="N189" s="95" t="n"/>
    </row>
    <row r="190">
      <c r="A190" s="95" t="n"/>
      <c r="B190" s="95" t="n"/>
      <c r="C190" s="95" t="n"/>
      <c r="D190" s="95" t="n"/>
      <c r="E190" s="95" t="n"/>
      <c r="F190" s="95" t="n"/>
      <c r="G190" s="95" t="n"/>
      <c r="H190" s="95" t="n"/>
      <c r="I190" s="95" t="n"/>
      <c r="J190" s="95" t="n"/>
      <c r="K190" s="95" t="n"/>
      <c r="L190" s="95" t="n"/>
      <c r="M190" s="95" t="n"/>
      <c r="N190" s="95" t="n"/>
    </row>
    <row r="191">
      <c r="A191" s="95" t="n"/>
      <c r="B191" s="95" t="n"/>
      <c r="C191" s="95" t="n"/>
      <c r="D191" s="95" t="n"/>
      <c r="E191" s="95" t="n"/>
      <c r="F191" s="95" t="n"/>
      <c r="G191" s="95" t="n"/>
      <c r="H191" s="95" t="n"/>
      <c r="I191" s="95" t="n"/>
      <c r="J191" s="95" t="n"/>
      <c r="K191" s="95" t="n"/>
      <c r="L191" s="95" t="n"/>
      <c r="M191" s="95" t="n"/>
      <c r="N191" s="95" t="n"/>
    </row>
    <row r="192">
      <c r="A192" s="95" t="n"/>
      <c r="B192" s="95" t="n"/>
      <c r="C192" s="95" t="n"/>
      <c r="D192" s="95" t="n"/>
      <c r="E192" s="95" t="n"/>
      <c r="F192" s="95" t="n"/>
      <c r="G192" s="95" t="n"/>
      <c r="H192" s="95" t="n"/>
      <c r="I192" s="95" t="n"/>
      <c r="J192" s="95" t="n"/>
      <c r="K192" s="95" t="n"/>
      <c r="L192" s="95" t="n"/>
      <c r="M192" s="95" t="n"/>
      <c r="N192" s="95" t="n"/>
    </row>
    <row r="193">
      <c r="A193" s="95" t="n"/>
      <c r="B193" s="95" t="n"/>
      <c r="C193" s="95" t="n"/>
      <c r="D193" s="95" t="n"/>
      <c r="E193" s="95" t="n"/>
      <c r="F193" s="95" t="n"/>
      <c r="G193" s="95" t="n"/>
      <c r="H193" s="95" t="n"/>
      <c r="I193" s="95" t="n"/>
      <c r="J193" s="95" t="n"/>
      <c r="K193" s="95" t="n"/>
      <c r="L193" s="95" t="n"/>
      <c r="M193" s="95" t="n"/>
      <c r="N193" s="95" t="n"/>
    </row>
    <row r="194">
      <c r="A194" s="95" t="n"/>
      <c r="B194" s="95" t="n"/>
      <c r="C194" s="95" t="n"/>
      <c r="D194" s="95" t="n"/>
      <c r="E194" s="95" t="n"/>
      <c r="F194" s="95" t="n"/>
      <c r="G194" s="95" t="n"/>
      <c r="H194" s="95" t="n"/>
      <c r="I194" s="95" t="n"/>
      <c r="J194" s="95" t="n"/>
      <c r="K194" s="95" t="n"/>
      <c r="L194" s="95" t="n"/>
      <c r="M194" s="95" t="n"/>
      <c r="N194" s="95" t="n"/>
    </row>
    <row r="195">
      <c r="A195" s="95" t="n"/>
      <c r="B195" s="95" t="n"/>
      <c r="C195" s="95" t="n"/>
      <c r="D195" s="95" t="n"/>
      <c r="E195" s="95" t="n"/>
      <c r="F195" s="95" t="n"/>
      <c r="G195" s="95" t="n"/>
      <c r="H195" s="95" t="n"/>
      <c r="I195" s="95" t="n"/>
      <c r="J195" s="95" t="n"/>
      <c r="K195" s="95" t="n"/>
      <c r="L195" s="95" t="n"/>
      <c r="M195" s="95" t="n"/>
      <c r="N195" s="95" t="n"/>
    </row>
    <row r="196">
      <c r="A196" s="95" t="n"/>
      <c r="B196" s="95" t="n"/>
      <c r="C196" s="95" t="n"/>
      <c r="D196" s="95" t="n"/>
      <c r="E196" s="95" t="n"/>
      <c r="F196" s="95" t="n"/>
      <c r="G196" s="95" t="n"/>
      <c r="H196" s="95" t="n"/>
      <c r="I196" s="95" t="n"/>
      <c r="J196" s="95" t="n"/>
      <c r="K196" s="95" t="n"/>
      <c r="L196" s="95" t="n"/>
      <c r="M196" s="95" t="n"/>
      <c r="N196" s="95" t="n"/>
    </row>
    <row r="197">
      <c r="A197" s="95" t="n"/>
      <c r="B197" s="95" t="n"/>
      <c r="C197" s="95" t="n"/>
      <c r="D197" s="95" t="n"/>
      <c r="E197" s="95" t="n"/>
      <c r="F197" s="95" t="n"/>
      <c r="G197" s="95" t="n"/>
      <c r="H197" s="95" t="n"/>
      <c r="I197" s="95" t="n"/>
      <c r="J197" s="95" t="n"/>
      <c r="K197" s="95" t="n"/>
      <c r="L197" s="95" t="n"/>
      <c r="M197" s="95" t="n"/>
      <c r="N197" s="95" t="n"/>
    </row>
    <row r="198">
      <c r="A198" s="95" t="n"/>
      <c r="B198" s="95" t="n"/>
      <c r="C198" s="95" t="n"/>
      <c r="D198" s="95" t="n"/>
      <c r="E198" s="95" t="n"/>
      <c r="F198" s="95" t="n"/>
      <c r="G198" s="95" t="n"/>
      <c r="H198" s="95" t="n"/>
      <c r="I198" s="95" t="n"/>
      <c r="J198" s="95" t="n"/>
      <c r="K198" s="95" t="n"/>
      <c r="L198" s="95" t="n"/>
      <c r="M198" s="95" t="n"/>
      <c r="N198" s="95" t="n"/>
    </row>
    <row r="199">
      <c r="A199" s="95" t="n"/>
      <c r="B199" s="95" t="n"/>
      <c r="C199" s="95" t="n"/>
      <c r="D199" s="95" t="n"/>
      <c r="E199" s="95" t="n"/>
      <c r="F199" s="95" t="n"/>
      <c r="G199" s="95" t="n"/>
      <c r="H199" s="95" t="n"/>
      <c r="I199" s="95" t="n"/>
      <c r="J199" s="95" t="n"/>
      <c r="K199" s="95" t="n"/>
      <c r="L199" s="95" t="n"/>
      <c r="M199" s="95" t="n"/>
      <c r="N199" s="95" t="n"/>
    </row>
    <row r="200" ht="16" customHeight="1">
      <c r="A200" s="95" t="n"/>
      <c r="B200" s="95" t="n"/>
      <c r="C200" s="95" t="n"/>
      <c r="D200" s="95" t="n"/>
      <c r="E200" s="95" t="n"/>
      <c r="F200" s="95" t="n"/>
      <c r="G200" s="95" t="n"/>
      <c r="H200" s="95" t="n"/>
      <c r="I200" s="95" t="n"/>
      <c r="J200" s="95" t="n"/>
      <c r="K200" s="95" t="n"/>
      <c r="L200" s="95" t="n"/>
      <c r="M200" s="95" t="n"/>
      <c r="N200" s="95" t="n"/>
    </row>
    <row r="201">
      <c r="A201" s="95" t="n"/>
      <c r="B201" s="95" t="n"/>
      <c r="C201" s="95" t="n"/>
      <c r="D201" s="95" t="n"/>
      <c r="E201" s="95" t="n"/>
      <c r="F201" s="95" t="n"/>
      <c r="G201" s="95" t="n"/>
      <c r="H201" s="95" t="n"/>
      <c r="I201" s="95" t="n"/>
    </row>
    <row r="202">
      <c r="A202" s="95" t="n"/>
      <c r="B202" s="95" t="n"/>
      <c r="C202" s="95" t="n"/>
      <c r="D202" s="95" t="n"/>
      <c r="E202" s="95" t="n"/>
      <c r="F202" s="95" t="n"/>
      <c r="G202" s="95" t="n"/>
      <c r="H202" s="95" t="n"/>
      <c r="I202" s="95" t="n"/>
    </row>
    <row r="203">
      <c r="A203" s="95" t="n"/>
      <c r="B203" s="95" t="n"/>
      <c r="C203" s="95" t="n"/>
      <c r="D203" s="95" t="n"/>
      <c r="E203" s="95" t="n"/>
      <c r="F203" s="95" t="n"/>
      <c r="G203" s="95" t="n"/>
      <c r="H203" s="95" t="n"/>
      <c r="I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5" t="n"/>
      <c r="B207" s="95" t="n"/>
      <c r="C207" s="95" t="n"/>
      <c r="D207" s="95" t="n"/>
      <c r="E207" s="95" t="n"/>
      <c r="F207" s="95" t="n"/>
      <c r="G207" s="95" t="n"/>
      <c r="H207" s="95" t="n"/>
      <c r="I207" s="95" t="n"/>
      <c r="J207" s="95" t="n"/>
      <c r="K207" s="95" t="n"/>
      <c r="L207" s="95" t="n"/>
    </row>
    <row r="208">
      <c r="A208" s="95" t="n"/>
      <c r="B208" s="95" t="n"/>
      <c r="C208" s="95" t="n"/>
      <c r="D208" s="95" t="n"/>
      <c r="E208" s="95" t="n"/>
      <c r="F208" s="95" t="n"/>
      <c r="G208" s="95" t="n"/>
      <c r="H208" s="95" t="n"/>
      <c r="I208" s="95" t="n"/>
      <c r="J208" s="95" t="n"/>
      <c r="K208" s="95" t="n"/>
      <c r="L208" s="95" t="n"/>
    </row>
    <row r="209">
      <c r="A209" s="95" t="n"/>
      <c r="B209" s="95" t="n"/>
      <c r="C209" s="95" t="n"/>
      <c r="D209" s="95" t="n"/>
      <c r="E209" s="95" t="n"/>
      <c r="F209" s="95" t="n"/>
      <c r="G209" s="95" t="n"/>
      <c r="H209" s="95" t="n"/>
      <c r="I209" s="95" t="n"/>
      <c r="J209" s="95" t="n"/>
      <c r="K209" s="95" t="n"/>
      <c r="L209" s="95" t="n"/>
    </row>
    <row r="210">
      <c r="A210" s="95"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A218" s="94" t="n"/>
      <c r="B218" s="95" t="n"/>
      <c r="C218" s="95" t="n"/>
      <c r="D218" s="95" t="n"/>
      <c r="E218" s="95" t="n"/>
      <c r="F218" s="95" t="n"/>
      <c r="G218" s="95" t="n"/>
      <c r="H218" s="95" t="n"/>
      <c r="I218" s="95" t="n"/>
      <c r="J218" s="95" t="n"/>
      <c r="K218" s="95" t="n"/>
      <c r="L218" s="95" t="n"/>
    </row>
    <row r="219">
      <c r="A219" s="94" t="n"/>
      <c r="B219" s="95" t="n"/>
      <c r="C219" s="95" t="n"/>
      <c r="D219" s="95" t="n"/>
      <c r="E219" s="95" t="n"/>
      <c r="F219" s="95" t="n"/>
      <c r="G219" s="95" t="n"/>
      <c r="H219" s="95" t="n"/>
      <c r="I219" s="95" t="n"/>
      <c r="J219" s="95" t="n"/>
      <c r="K219" s="95" t="n"/>
      <c r="L219" s="95" t="n"/>
    </row>
    <row r="220">
      <c r="A220" s="94" t="n"/>
      <c r="B220" s="95" t="n"/>
      <c r="C220" s="95" t="n"/>
      <c r="D220" s="95" t="n"/>
      <c r="E220" s="95" t="n"/>
      <c r="F220" s="95" t="n"/>
      <c r="G220" s="95" t="n"/>
      <c r="H220" s="95" t="n"/>
      <c r="I220" s="95" t="n"/>
      <c r="J220" s="95" t="n"/>
      <c r="K220" s="95" t="n"/>
      <c r="L220" s="95" t="n"/>
    </row>
    <row r="221">
      <c r="A221" s="94" t="n"/>
      <c r="B221" s="95" t="n"/>
      <c r="C221" s="95" t="n"/>
      <c r="D221" s="95" t="n"/>
      <c r="E221" s="95" t="n"/>
      <c r="F221" s="95" t="n"/>
      <c r="G221" s="95" t="n"/>
      <c r="H221" s="95" t="n"/>
      <c r="I221" s="95" t="n"/>
      <c r="J221" s="95" t="n"/>
      <c r="K221" s="95" t="n"/>
      <c r="L221" s="95" t="n"/>
    </row>
    <row r="222">
      <c r="G222" s="95" t="n"/>
      <c r="H222" s="95" t="n"/>
      <c r="I222" s="95" t="n"/>
      <c r="J222" s="95" t="n"/>
      <c r="K222" s="95" t="n"/>
      <c r="L222" s="95" t="n"/>
    </row>
    <row r="223">
      <c r="G223" s="95" t="n"/>
      <c r="H223" s="95" t="n"/>
      <c r="I223" s="95" t="n"/>
      <c r="J223" s="95" t="n"/>
      <c r="K223" s="95" t="n"/>
      <c r="L223" s="95" t="n"/>
    </row>
    <row r="224">
      <c r="G224" s="95" t="n"/>
      <c r="H224" s="95" t="n"/>
      <c r="I224" s="95" t="n"/>
      <c r="J224" s="95" t="n"/>
      <c r="K224" s="95" t="n"/>
      <c r="L224" s="95" t="n"/>
    </row>
  </sheetData>
  <mergeCells count="42">
    <mergeCell ref="A65:I65"/>
    <mergeCell ref="D13:F13"/>
    <mergeCell ref="G13:I13"/>
    <mergeCell ref="B54:I54"/>
    <mergeCell ref="A66:I66"/>
    <mergeCell ref="D41:I41"/>
    <mergeCell ref="B8:D8"/>
    <mergeCell ref="A55:I55"/>
    <mergeCell ref="A12:I12"/>
    <mergeCell ref="C57:I57"/>
    <mergeCell ref="B43:C43"/>
    <mergeCell ref="D43:I43"/>
    <mergeCell ref="A46:I48"/>
    <mergeCell ref="B52:I52"/>
    <mergeCell ref="A5:I5"/>
    <mergeCell ref="B42:C42"/>
    <mergeCell ref="B9:D9"/>
    <mergeCell ref="B6:D6"/>
    <mergeCell ref="A62:I62"/>
    <mergeCell ref="C58:I58"/>
    <mergeCell ref="B53:I53"/>
    <mergeCell ref="A68:I68"/>
    <mergeCell ref="A63:I63"/>
    <mergeCell ref="D42:I42"/>
    <mergeCell ref="A10:I10"/>
    <mergeCell ref="A13:C13"/>
    <mergeCell ref="A1:I4"/>
    <mergeCell ref="A67:I67"/>
    <mergeCell ref="D44:I44"/>
    <mergeCell ref="B7:D7"/>
    <mergeCell ref="A64:I64"/>
    <mergeCell ref="A49:I49"/>
    <mergeCell ref="A11:I11"/>
    <mergeCell ref="C56:I56"/>
    <mergeCell ref="A60:I60"/>
    <mergeCell ref="B51:I51"/>
    <mergeCell ref="C59:I59"/>
    <mergeCell ref="A45:I45"/>
    <mergeCell ref="A44:B44"/>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67" min="0" max="8" man="1"/>
  </rowBreaks>
</worksheet>
</file>

<file path=xl/worksheets/sheet3.xml><?xml version="1.0" encoding="utf-8"?>
<worksheet xmlns="http://schemas.openxmlformats.org/spreadsheetml/2006/main">
  <sheetPr>
    <outlinePr summaryBelow="1" summaryRight="1"/>
    <pageSetUpPr fitToPage="1"/>
  </sheetPr>
  <dimension ref="A1:N224"/>
  <sheetViews>
    <sheetView view="pageBreakPreview" topLeftCell="D1" zoomScale="70" zoomScaleNormal="55" zoomScaleSheetLayoutView="70" workbookViewId="0">
      <selection activeCell="I6" sqref="I6"/>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45965</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16-240C,  Wind:  37 km/h SW, Precip: 0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6</v>
      </c>
      <c r="G15" s="22" t="inlineStr">
        <is>
          <t>McAuliffe, Daniel</t>
        </is>
      </c>
      <c r="H15" s="18" t="inlineStr">
        <is>
          <t>Operator</t>
        </is>
      </c>
      <c r="I15" s="23" t="n"/>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v>3</v>
      </c>
    </row>
    <row r="17" ht="23.25" customHeight="1">
      <c r="A17" s="24" t="inlineStr">
        <is>
          <t>O"SHEA, John</t>
        </is>
      </c>
      <c r="B17" s="25" t="inlineStr">
        <is>
          <t>Senior Project Engineer</t>
        </is>
      </c>
      <c r="C17" s="26" t="n"/>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v>10</v>
      </c>
      <c r="D18" s="31" t="n"/>
      <c r="E18" s="32" t="n"/>
      <c r="F18" s="28" t="n"/>
      <c r="G18" s="29" t="inlineStr">
        <is>
          <t>Griffiths, Jaquai</t>
        </is>
      </c>
      <c r="H18" s="25" t="inlineStr">
        <is>
          <t>Operator</t>
        </is>
      </c>
      <c r="I18" s="30" t="n">
        <v>10</v>
      </c>
    </row>
    <row r="19" ht="23.25" customHeight="1">
      <c r="A19" s="24" t="inlineStr">
        <is>
          <t>THOMPSON,Cheryl</t>
        </is>
      </c>
      <c r="B19" s="25" t="inlineStr">
        <is>
          <t>HSET</t>
        </is>
      </c>
      <c r="C19" s="26" t="n"/>
      <c r="D19" s="31" t="n"/>
      <c r="E19" s="32" t="n"/>
      <c r="F19" s="28" t="n"/>
      <c r="G19" s="29" t="inlineStr">
        <is>
          <t>McConnell, Adam</t>
        </is>
      </c>
      <c r="H19" s="25" t="inlineStr">
        <is>
          <t>Labourer</t>
        </is>
      </c>
      <c r="I19" s="30" t="n">
        <v>12</v>
      </c>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v>12</v>
      </c>
      <c r="D21" s="31" t="n"/>
      <c r="E21" s="32" t="n"/>
      <c r="F21" s="28" t="n"/>
      <c r="G21" s="29" t="inlineStr">
        <is>
          <t>Pavers</t>
        </is>
      </c>
      <c r="H21" s="25" t="inlineStr">
        <is>
          <t>Pavers</t>
        </is>
      </c>
      <c r="I21" s="30" t="n">
        <v>30</v>
      </c>
    </row>
    <row r="22" ht="23.25" customHeight="1">
      <c r="A22" s="24" t="inlineStr">
        <is>
          <t>JOGI, Amit</t>
        </is>
      </c>
      <c r="B22" s="25" t="inlineStr">
        <is>
          <t>Project Engineer</t>
        </is>
      </c>
      <c r="C22" s="26" t="n">
        <v>12</v>
      </c>
      <c r="D22" s="31" t="n"/>
      <c r="E22" s="32" t="n"/>
      <c r="F22" s="28" t="n"/>
      <c r="G22" s="29" t="inlineStr">
        <is>
          <t>Think Water</t>
        </is>
      </c>
      <c r="H22" s="25" t="inlineStr">
        <is>
          <t>Irrigation</t>
        </is>
      </c>
      <c r="I22" s="30" t="n"/>
    </row>
    <row r="23" ht="23.25" customHeight="1" thickBot="1">
      <c r="A23" s="33" t="n"/>
      <c r="B23" s="34" t="n"/>
      <c r="C23" s="35" t="n"/>
      <c r="D23" s="36" t="n"/>
      <c r="E23" s="37" t="n"/>
      <c r="F23" s="38" t="n"/>
      <c r="H23" s="37" t="n"/>
      <c r="I23" s="111" t="n"/>
    </row>
    <row r="24" ht="23.25" customHeight="1" thickTop="1">
      <c r="A24" s="39" t="n"/>
      <c r="B24" s="40" t="n"/>
      <c r="C24" s="41" t="n"/>
      <c r="D24" s="42" t="n"/>
      <c r="E24" s="43" t="n"/>
      <c r="F24" s="44" t="n"/>
      <c r="G24" s="45" t="n"/>
      <c r="H24" s="46" t="n"/>
      <c r="I24" s="47" t="n"/>
    </row>
    <row r="25" ht="23.25" customHeight="1">
      <c r="A25" s="48" t="inlineStr">
        <is>
          <t xml:space="preserve">Total Indirect Personnel onsite: </t>
        </is>
      </c>
      <c r="B25" s="93">
        <f>COUNT(C15:C23)</f>
        <v/>
      </c>
      <c r="C25" s="26" t="n"/>
      <c r="D25" s="50" t="inlineStr">
        <is>
          <t xml:space="preserve">Total Direct Personnel onsite:  </t>
        </is>
      </c>
      <c r="E25" s="93">
        <f>COUNT(F15:F23)</f>
        <v/>
      </c>
      <c r="F25" s="28" t="n"/>
      <c r="G25" s="51" t="inlineStr">
        <is>
          <t>Total Subcontractor on-site:</t>
        </is>
      </c>
      <c r="H25" s="93">
        <f>COUNT(I15:I22)</f>
        <v/>
      </c>
      <c r="I25" s="30" t="n"/>
    </row>
    <row r="26" ht="23.25" customHeight="1">
      <c r="A26" s="48" t="inlineStr">
        <is>
          <t xml:space="preserve">Total Indirect Personnel hours: </t>
        </is>
      </c>
      <c r="B26" s="93">
        <f>SUM(C15:C22)</f>
        <v/>
      </c>
      <c r="C26" s="52" t="n"/>
      <c r="D26" s="50" t="inlineStr">
        <is>
          <t xml:space="preserve">Total Direct Personnel hours: </t>
        </is>
      </c>
      <c r="E26" s="93">
        <f>SUM(F15:F16)</f>
        <v/>
      </c>
      <c r="F26" s="53" t="n"/>
      <c r="G26" s="51" t="inlineStr">
        <is>
          <t>Total Subcontractor hours:</t>
        </is>
      </c>
      <c r="H26" s="93">
        <f>SUM(I11:I22)</f>
        <v/>
      </c>
      <c r="I26" s="200" t="n"/>
    </row>
    <row r="27" ht="23.25" customHeight="1">
      <c r="A27" s="48" t="n"/>
      <c r="B27" s="49" t="n"/>
      <c r="C27" s="52" t="n"/>
      <c r="D27" s="50" t="n"/>
      <c r="E27" s="49" t="n"/>
      <c r="F27" s="55" t="n"/>
      <c r="G27" s="51" t="n"/>
      <c r="H27" s="49" t="n"/>
      <c r="I27" s="200" t="n"/>
    </row>
    <row r="28" ht="25" customHeight="1">
      <c r="A28" s="56" t="inlineStr">
        <is>
          <t>PLANT &amp; EQUIPMENT</t>
        </is>
      </c>
      <c r="B28" s="57" t="n"/>
      <c r="C28" s="57" t="n"/>
      <c r="D28" s="57" t="n"/>
      <c r="E28" s="57" t="n"/>
      <c r="F28" s="57" t="n"/>
      <c r="G28" s="57" t="n"/>
      <c r="H28" s="57" t="n"/>
      <c r="I28" s="58" t="n"/>
    </row>
    <row r="29" ht="24" customHeight="1" thickBot="1">
      <c r="A29" s="59" t="inlineStr">
        <is>
          <t>Plant</t>
        </is>
      </c>
      <c r="B29" s="60" t="inlineStr">
        <is>
          <t>ID</t>
        </is>
      </c>
      <c r="C29" s="61" t="inlineStr">
        <is>
          <t>Hrs</t>
        </is>
      </c>
      <c r="D29" s="62" t="inlineStr">
        <is>
          <t xml:space="preserve"> Vehicles</t>
        </is>
      </c>
      <c r="E29" s="60" t="inlineStr">
        <is>
          <t>ID</t>
        </is>
      </c>
      <c r="F29" s="63" t="inlineStr">
        <is>
          <t>QTY</t>
        </is>
      </c>
      <c r="G29" s="64" t="inlineStr">
        <is>
          <t>Site Facilities</t>
        </is>
      </c>
      <c r="H29" s="65" t="inlineStr">
        <is>
          <t>ID</t>
        </is>
      </c>
      <c r="I29" s="66" t="inlineStr">
        <is>
          <t>Qty</t>
        </is>
      </c>
    </row>
    <row r="30" ht="23.25" customHeight="1" thickTop="1">
      <c r="A30" s="75" t="inlineStr">
        <is>
          <t>IT Loader</t>
        </is>
      </c>
      <c r="B30" s="72" t="inlineStr">
        <is>
          <t>LD011</t>
        </is>
      </c>
      <c r="C30" s="26" t="n">
        <v>6</v>
      </c>
      <c r="D30" s="67" t="inlineStr">
        <is>
          <t>Hilux</t>
        </is>
      </c>
      <c r="E30" s="68" t="inlineStr">
        <is>
          <t>DLV90</t>
        </is>
      </c>
      <c r="F30" s="69" t="n">
        <v>1</v>
      </c>
      <c r="G30" s="70" t="inlineStr">
        <is>
          <t>Office 40ft</t>
        </is>
      </c>
      <c r="H30" s="68" t="n">
        <v>9255540</v>
      </c>
      <c r="I30" s="23" t="n">
        <v>1</v>
      </c>
    </row>
    <row r="31" ht="23.25" customHeight="1">
      <c r="A31" s="24" t="inlineStr">
        <is>
          <t>Wacker Neuson DPU</t>
        </is>
      </c>
      <c r="B31" s="25" t="inlineStr">
        <is>
          <t>DPC15</t>
        </is>
      </c>
      <c r="C31" s="106" t="n"/>
      <c r="D31" s="71" t="inlineStr">
        <is>
          <t>Hilux</t>
        </is>
      </c>
      <c r="E31" s="72" t="inlineStr">
        <is>
          <t>1DLV04</t>
        </is>
      </c>
      <c r="F31" s="73" t="n">
        <v>1</v>
      </c>
      <c r="G31" s="74" t="inlineStr">
        <is>
          <t>Sea Container 20ft</t>
        </is>
      </c>
      <c r="H31" s="25" t="n">
        <v>951200</v>
      </c>
      <c r="I31" s="30" t="n">
        <v>1</v>
      </c>
    </row>
    <row r="32" ht="23.25" customHeight="1">
      <c r="A32" s="75" t="inlineStr">
        <is>
          <t>Watercart</t>
        </is>
      </c>
      <c r="B32" s="72" t="inlineStr">
        <is>
          <t>A119</t>
        </is>
      </c>
      <c r="C32" s="106" t="n">
        <v>5</v>
      </c>
      <c r="D32" s="71" t="n"/>
      <c r="E32" s="25" t="n"/>
      <c r="F32" s="73" t="n"/>
      <c r="G32" s="74" t="inlineStr">
        <is>
          <t>Site Sentry Tower</t>
        </is>
      </c>
      <c r="H32" s="72" t="inlineStr">
        <is>
          <t>NA</t>
        </is>
      </c>
      <c r="I32" s="30" t="n">
        <v>2</v>
      </c>
    </row>
    <row r="33" ht="23.25" customHeight="1">
      <c r="A33" s="75" t="inlineStr">
        <is>
          <t>8T Excavator</t>
        </is>
      </c>
      <c r="B33" s="76" t="inlineStr">
        <is>
          <t>AMG 014</t>
        </is>
      </c>
      <c r="C33" s="106" t="n">
        <v>3</v>
      </c>
      <c r="D33" s="71" t="n"/>
      <c r="E33" s="72" t="n"/>
      <c r="F33" s="73" t="n"/>
      <c r="G33" s="74" t="inlineStr">
        <is>
          <t>Skip Bin</t>
        </is>
      </c>
      <c r="H33" s="72" t="inlineStr">
        <is>
          <t>NA</t>
        </is>
      </c>
      <c r="I33" s="30" t="n">
        <v>1</v>
      </c>
    </row>
    <row r="34" ht="23.25" customHeight="1">
      <c r="A34" s="75" t="inlineStr">
        <is>
          <t>Mini Tipper</t>
        </is>
      </c>
      <c r="B34" s="72" t="inlineStr">
        <is>
          <t>SLS04</t>
        </is>
      </c>
      <c r="C34" s="26" t="n"/>
      <c r="D34" s="71" t="n"/>
      <c r="E34" s="72" t="n"/>
      <c r="F34" s="73" t="n"/>
      <c r="G34" s="74" t="inlineStr">
        <is>
          <t>Hydrocarbon Bund</t>
        </is>
      </c>
      <c r="H34" s="72" t="inlineStr">
        <is>
          <t>NA</t>
        </is>
      </c>
      <c r="I34" s="30" t="n">
        <v>1</v>
      </c>
    </row>
    <row r="35" ht="23.25" customHeight="1">
      <c r="A35" s="75" t="inlineStr">
        <is>
          <t>Skid Steer</t>
        </is>
      </c>
      <c r="B35" s="72" t="inlineStr">
        <is>
          <t>SLS03</t>
        </is>
      </c>
      <c r="C35" s="26" t="n">
        <v>2</v>
      </c>
      <c r="D35" s="71" t="n"/>
      <c r="E35" s="72" t="n"/>
      <c r="F35" s="73" t="n"/>
      <c r="G35" s="74" t="inlineStr">
        <is>
          <t>Temp Fence</t>
        </is>
      </c>
      <c r="H35" s="25" t="inlineStr">
        <is>
          <t>NA</t>
        </is>
      </c>
      <c r="I35" s="30" t="n">
        <v>1</v>
      </c>
    </row>
    <row r="36" ht="23.25" customHeight="1">
      <c r="A36" s="75" t="inlineStr">
        <is>
          <t>1t Excavator</t>
        </is>
      </c>
      <c r="B36" s="72" t="inlineStr">
        <is>
          <t>SLS02</t>
        </is>
      </c>
      <c r="C36" s="26" t="n">
        <v>3</v>
      </c>
      <c r="D36" s="71" t="n"/>
      <c r="E36" s="72" t="n"/>
      <c r="F36" s="73" t="n"/>
      <c r="G36" s="74" t="n"/>
      <c r="H36" s="25" t="n"/>
      <c r="I36" s="30" t="n"/>
    </row>
    <row r="37" ht="23.25" customHeight="1">
      <c r="A37" s="75" t="inlineStr">
        <is>
          <t>1t Excavator</t>
        </is>
      </c>
      <c r="B37" s="72" t="inlineStr">
        <is>
          <t>DEX30</t>
        </is>
      </c>
      <c r="C37" s="26" t="n">
        <v>2</v>
      </c>
      <c r="D37" s="71" t="n"/>
      <c r="E37" s="72" t="n"/>
      <c r="F37" s="73" t="n"/>
      <c r="G37" s="74" t="n"/>
      <c r="H37" s="25" t="n"/>
      <c r="I37" s="30" t="n"/>
    </row>
    <row r="38" ht="24" customHeight="1">
      <c r="A38" s="75" t="inlineStr">
        <is>
          <t>8T Excavator (Wheeled)</t>
        </is>
      </c>
      <c r="B38" s="72" t="inlineStr">
        <is>
          <t>BCC12</t>
        </is>
      </c>
      <c r="C38" s="26" t="n">
        <v>4</v>
      </c>
      <c r="D38" s="71" t="n"/>
      <c r="E38" s="72" t="n"/>
      <c r="F38" s="73" t="n"/>
      <c r="G38" s="77" t="n"/>
      <c r="H38" s="78" t="n"/>
      <c r="I38" s="79" t="n"/>
    </row>
    <row r="39" ht="24" customHeight="1">
      <c r="A39" s="75" t="inlineStr">
        <is>
          <t>14t Excavator with GPS</t>
        </is>
      </c>
      <c r="B39" s="72" t="inlineStr">
        <is>
          <t>EX197</t>
        </is>
      </c>
      <c r="C39" s="26" t="n"/>
      <c r="D39" s="71" t="n"/>
      <c r="E39" s="72" t="n"/>
      <c r="F39" s="73" t="n"/>
      <c r="G39" s="77" t="n"/>
      <c r="H39" s="78" t="n"/>
      <c r="I39" s="79" t="n"/>
    </row>
    <row r="40" ht="24" customHeight="1" thickBot="1">
      <c r="A40" s="75" t="inlineStr">
        <is>
          <t>Roller</t>
        </is>
      </c>
      <c r="B40" s="72" t="inlineStr">
        <is>
          <t>R538</t>
        </is>
      </c>
      <c r="C40" s="106" t="n">
        <v>1</v>
      </c>
      <c r="D40" s="71" t="n"/>
      <c r="E40" s="72" t="n"/>
      <c r="F40" s="73" t="n"/>
      <c r="G40" s="77" t="n"/>
      <c r="H40" s="78" t="n"/>
      <c r="I40" s="79" t="n"/>
    </row>
    <row r="41" ht="24" customHeight="1" thickTop="1">
      <c r="A41" s="85" t="n">
        <v>0</v>
      </c>
      <c r="B41" s="158" t="inlineStr">
        <is>
          <t xml:space="preserve">Repairs Required </t>
        </is>
      </c>
      <c r="C41" s="239" t="n"/>
      <c r="D41" s="160" t="inlineStr">
        <is>
          <t>NA</t>
        </is>
      </c>
      <c r="E41" s="240" t="n"/>
      <c r="F41" s="240" t="n"/>
      <c r="G41" s="240" t="n"/>
      <c r="H41" s="240" t="n"/>
      <c r="I41" s="241" t="n"/>
    </row>
    <row r="42" ht="24" customHeight="1">
      <c r="A42" s="86" t="n">
        <v>0</v>
      </c>
      <c r="B42" s="163" t="inlineStr">
        <is>
          <t>Scheduled Service</t>
        </is>
      </c>
      <c r="C42" s="234" t="n"/>
      <c r="D42" s="165" t="inlineStr">
        <is>
          <t>NA</t>
        </is>
      </c>
      <c r="E42" s="233" t="n"/>
      <c r="F42" s="233" t="n"/>
      <c r="G42" s="233" t="n"/>
      <c r="H42" s="233" t="n"/>
      <c r="I42" s="235" t="n"/>
    </row>
    <row r="43" ht="24" customHeight="1" thickBot="1">
      <c r="A43" s="87" t="n">
        <v>0</v>
      </c>
      <c r="B43" s="168" t="inlineStr">
        <is>
          <t>Repairs Required but Operable</t>
        </is>
      </c>
      <c r="C43" s="242" t="n"/>
      <c r="D43" s="170" t="inlineStr">
        <is>
          <t>NA</t>
        </is>
      </c>
      <c r="E43" s="243" t="n"/>
      <c r="F43" s="243" t="n"/>
      <c r="G43" s="243" t="n"/>
      <c r="H43" s="243" t="n"/>
      <c r="I43" s="244" t="n"/>
    </row>
    <row r="44" ht="23.25" customHeight="1" thickTop="1">
      <c r="A44" s="173" t="inlineStr">
        <is>
          <t xml:space="preserve">Total Plant and Equipment Hours: </t>
        </is>
      </c>
      <c r="B44" s="245" t="n"/>
      <c r="C44" s="88">
        <f>SUM(C30:C40)</f>
        <v/>
      </c>
      <c r="D44" s="175" t="n"/>
      <c r="E44" s="231" t="n"/>
      <c r="F44" s="231" t="n"/>
      <c r="G44" s="231" t="n"/>
      <c r="H44" s="231" t="n"/>
      <c r="I44" s="232" t="n"/>
    </row>
    <row r="45" ht="25" customHeight="1">
      <c r="A45" s="146" t="inlineStr">
        <is>
          <t>DELAYS-OPPORTUNITY</t>
        </is>
      </c>
      <c r="B45" s="233" t="n"/>
      <c r="C45" s="233" t="n"/>
      <c r="D45" s="233" t="n"/>
      <c r="E45" s="233" t="n"/>
      <c r="F45" s="233" t="n"/>
      <c r="G45" s="233" t="n"/>
      <c r="H45" s="233" t="n"/>
      <c r="I45" s="235" t="n"/>
    </row>
    <row r="46" ht="69" customHeight="1" thickBot="1">
      <c r="A46" s="176"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Lateral reticulation pipes hit multiple times during NBN pit installation due to relocation within NBN alignment. Multitude of rework identified.
Vacuum truck used for light poles in locations indicating possible service interfaces. 
Issues around Watercorp Connection Identified
</t>
        </is>
      </c>
      <c r="B46" s="236" t="n"/>
      <c r="C46" s="236" t="n"/>
      <c r="D46" s="236" t="n"/>
      <c r="E46" s="236" t="n"/>
      <c r="F46" s="236" t="n"/>
      <c r="G46" s="236" t="n"/>
      <c r="H46" s="236" t="n"/>
      <c r="I46" s="237" t="n"/>
    </row>
    <row r="47" ht="36" customHeight="1" thickBot="1">
      <c r="A47" s="228" t="n"/>
      <c r="I47" s="229" t="n"/>
    </row>
    <row r="48" hidden="1" ht="9.75" customHeight="1" thickBot="1">
      <c r="A48" s="246" t="n"/>
      <c r="B48" s="247" t="n"/>
      <c r="C48" s="247" t="n"/>
      <c r="D48" s="247" t="n"/>
      <c r="E48" s="247" t="n"/>
      <c r="F48" s="247" t="n"/>
      <c r="G48" s="247" t="n"/>
      <c r="H48" s="247" t="n"/>
      <c r="I48" s="248" t="n"/>
    </row>
    <row r="49" ht="25" customHeight="1">
      <c r="A49" s="185" t="inlineStr">
        <is>
          <t>HSEQ MESSAGES</t>
        </is>
      </c>
      <c r="B49" s="249" t="n"/>
      <c r="C49" s="249" t="n"/>
      <c r="D49" s="249" t="n"/>
      <c r="E49" s="249" t="n"/>
      <c r="F49" s="249" t="n"/>
      <c r="G49" s="249" t="n"/>
      <c r="H49" s="249" t="n"/>
      <c r="I49" s="250" t="n"/>
    </row>
    <row r="50" ht="24" customHeight="1">
      <c r="A50" s="89" t="inlineStr">
        <is>
          <t>TCD - Monthly Safety Focus:</t>
        </is>
      </c>
      <c r="B50" s="155" t="inlineStr">
        <is>
          <t>Cyclones &amp; Wet Weather</t>
        </is>
      </c>
      <c r="C50" s="233" t="n"/>
      <c r="D50" s="233" t="n"/>
      <c r="E50" s="233" t="n"/>
      <c r="F50" s="233" t="n"/>
      <c r="G50" s="233" t="n"/>
      <c r="H50" s="233" t="n"/>
      <c r="I50" s="234" t="n"/>
    </row>
    <row r="51" ht="24" customHeight="1">
      <c r="A51" s="89" t="inlineStr">
        <is>
          <t>TCD - Daily Safety Focus:</t>
        </is>
      </c>
      <c r="B51" s="188" t="inlineStr">
        <is>
          <t>Vehicles and Driving Onsite</t>
        </is>
      </c>
      <c r="C51" s="233" t="n"/>
      <c r="D51" s="233" t="n"/>
      <c r="E51" s="233" t="n"/>
      <c r="F51" s="233" t="n"/>
      <c r="G51" s="233" t="n"/>
      <c r="H51" s="233" t="n"/>
      <c r="I51" s="235" t="n"/>
    </row>
    <row r="52" ht="24" customHeight="1">
      <c r="A52" s="90" t="inlineStr">
        <is>
          <t xml:space="preserve">Hazards Reported: </t>
        </is>
      </c>
      <c r="B52" s="188" t="inlineStr">
        <is>
          <t>Nil</t>
        </is>
      </c>
      <c r="C52" s="233" t="n"/>
      <c r="D52" s="233" t="n"/>
      <c r="E52" s="233" t="n"/>
      <c r="F52" s="233" t="n"/>
      <c r="G52" s="233" t="n"/>
      <c r="H52" s="233" t="n"/>
      <c r="I52" s="235" t="n"/>
    </row>
    <row r="53" ht="24" customHeight="1">
      <c r="A53" s="90" t="inlineStr">
        <is>
          <t>Incident Free Days</t>
        </is>
      </c>
      <c r="B53" s="251" t="n">
        <v>1</v>
      </c>
      <c r="C53" s="233" t="n"/>
      <c r="D53" s="233" t="n"/>
      <c r="E53" s="233" t="n"/>
      <c r="F53" s="233" t="n"/>
      <c r="G53" s="233" t="n"/>
      <c r="H53" s="233" t="n"/>
      <c r="I53" s="235" t="n"/>
    </row>
    <row r="54" ht="24" customHeight="1">
      <c r="A54" s="91" t="inlineStr">
        <is>
          <t>Other Notes</t>
        </is>
      </c>
      <c r="B54" s="197" t="inlineStr">
        <is>
          <t>NA</t>
        </is>
      </c>
      <c r="C54" s="236" t="n"/>
      <c r="D54" s="236" t="n"/>
      <c r="E54" s="236" t="n"/>
      <c r="F54" s="236" t="n"/>
      <c r="G54" s="236" t="n"/>
      <c r="H54" s="236" t="n"/>
      <c r="I54" s="237" t="n"/>
    </row>
    <row r="55" ht="20.25" customHeight="1">
      <c r="A55" s="146" t="inlineStr">
        <is>
          <t xml:space="preserve">INCIDENTS &amp; REPORTS </t>
        </is>
      </c>
      <c r="B55" s="233" t="n"/>
      <c r="C55" s="233" t="n"/>
      <c r="D55" s="233" t="n"/>
      <c r="E55" s="233" t="n"/>
      <c r="F55" s="233" t="n"/>
      <c r="G55" s="233" t="n"/>
      <c r="H55" s="233" t="n"/>
      <c r="I55" s="235" t="n"/>
    </row>
    <row r="56" ht="20" customHeight="1">
      <c r="A56" s="92" t="n"/>
      <c r="B56" s="93" t="inlineStr">
        <is>
          <t>QTY</t>
        </is>
      </c>
      <c r="C56" s="200" t="inlineStr">
        <is>
          <t>Comments</t>
        </is>
      </c>
      <c r="D56" s="233" t="n"/>
      <c r="E56" s="233" t="n"/>
      <c r="F56" s="233" t="n"/>
      <c r="G56" s="233" t="n"/>
      <c r="H56" s="233" t="n"/>
      <c r="I56" s="235" t="n"/>
    </row>
    <row r="57" ht="24" customHeight="1">
      <c r="A57" s="48" t="inlineStr">
        <is>
          <t>INCIDENT</t>
        </is>
      </c>
      <c r="B57" s="25" t="n">
        <v>0</v>
      </c>
      <c r="C57" s="201" t="inlineStr">
        <is>
          <t>NA</t>
        </is>
      </c>
      <c r="D57" s="236" t="n"/>
      <c r="E57" s="236" t="n"/>
      <c r="F57" s="236" t="n"/>
      <c r="G57" s="236" t="n"/>
      <c r="H57" s="236" t="n"/>
      <c r="I57" s="237" t="n"/>
    </row>
    <row r="58" ht="24" customHeight="1">
      <c r="A58" s="101" t="inlineStr">
        <is>
          <t>IR</t>
        </is>
      </c>
      <c r="B58" s="34" t="n">
        <v>0</v>
      </c>
      <c r="C58" s="201" t="inlineStr">
        <is>
          <t>NA</t>
        </is>
      </c>
      <c r="D58" s="236" t="n"/>
      <c r="E58" s="236" t="n"/>
      <c r="F58" s="236" t="n"/>
      <c r="G58" s="236" t="n"/>
      <c r="H58" s="236" t="n"/>
      <c r="I58" s="237" t="n"/>
    </row>
    <row r="59" ht="24" customHeight="1" thickBot="1">
      <c r="A59" s="102" t="inlineStr">
        <is>
          <t>NCR</t>
        </is>
      </c>
      <c r="B59" s="103" t="n">
        <v>0</v>
      </c>
      <c r="C59" s="204" t="inlineStr">
        <is>
          <t>NA</t>
        </is>
      </c>
      <c r="D59" s="252" t="n"/>
      <c r="E59" s="252" t="n"/>
      <c r="F59" s="252" t="n"/>
      <c r="G59" s="252" t="n"/>
      <c r="H59" s="252" t="n"/>
      <c r="I59" s="253" t="n"/>
    </row>
    <row r="60" ht="20.25" customHeight="1">
      <c r="A60" s="185" t="inlineStr">
        <is>
          <t>COMMUNICATIONS</t>
        </is>
      </c>
      <c r="B60" s="249" t="n"/>
      <c r="C60" s="249" t="n"/>
      <c r="D60" s="249" t="n"/>
      <c r="E60" s="249" t="n"/>
      <c r="F60" s="249" t="n"/>
      <c r="G60" s="249" t="n"/>
      <c r="H60" s="249" t="n"/>
      <c r="I60" s="250" t="n"/>
    </row>
    <row r="61" ht="25" customHeight="1">
      <c r="A61" s="207" t="inlineStr">
        <is>
          <t>TGS MB1119-05 Scheme D implemented</t>
        </is>
      </c>
      <c r="B61" s="233" t="n"/>
      <c r="C61" s="233" t="n"/>
      <c r="D61" s="233" t="n"/>
      <c r="E61" s="233" t="n"/>
      <c r="F61" s="233" t="n"/>
      <c r="G61" s="233" t="n"/>
      <c r="H61" s="233" t="n"/>
      <c r="I61" s="235" t="n"/>
    </row>
    <row r="62" ht="25" customHeight="1">
      <c r="A62" s="146" t="inlineStr">
        <is>
          <t>PRODUCTION (CONSTRUCTION STATUS &amp; PROGRESS)</t>
        </is>
      </c>
      <c r="B62" s="233" t="n"/>
      <c r="C62" s="233" t="n"/>
      <c r="D62" s="233" t="n"/>
      <c r="E62" s="233" t="n"/>
      <c r="F62" s="233" t="n"/>
      <c r="G62" s="233" t="n"/>
      <c r="H62" s="233" t="n"/>
      <c r="I62" s="235" t="n"/>
    </row>
    <row r="63" ht="24" customHeight="1">
      <c r="A63" s="207" t="inlineStr">
        <is>
          <t>Ground Prep works, conditioning and rolling for Paving at the intersection and Chamber's way footpath are ongoing</t>
        </is>
      </c>
      <c r="B63" s="233" t="n"/>
      <c r="C63" s="233" t="n"/>
      <c r="D63" s="233" t="n"/>
      <c r="E63" s="233" t="n"/>
      <c r="F63" s="233" t="n"/>
      <c r="G63" s="233" t="n"/>
      <c r="H63" s="233" t="n"/>
      <c r="I63" s="235" t="n"/>
    </row>
    <row r="64" ht="24" customHeight="1">
      <c r="A64" s="207" t="inlineStr">
        <is>
          <t>Paving at Forrest street entrance is ongoing</t>
        </is>
      </c>
      <c r="B64" s="233" t="n"/>
      <c r="C64" s="233" t="n"/>
      <c r="D64" s="233" t="n"/>
      <c r="E64" s="233" t="n"/>
      <c r="F64" s="233" t="n"/>
      <c r="G64" s="233" t="n"/>
      <c r="H64" s="233" t="n"/>
      <c r="I64" s="235" t="n"/>
    </row>
    <row r="65" ht="24" customHeight="1">
      <c r="A65" s="207" t="inlineStr">
        <is>
          <t>Preparation for tree placement is ongoing</t>
        </is>
      </c>
      <c r="B65" s="233" t="n"/>
      <c r="C65" s="233" t="n"/>
      <c r="D65" s="233" t="n"/>
      <c r="E65" s="233" t="n"/>
      <c r="F65" s="233" t="n"/>
      <c r="G65" s="233" t="n"/>
      <c r="H65" s="233" t="n"/>
      <c r="I65" s="235" t="n"/>
    </row>
    <row r="66" ht="24" customHeight="1">
      <c r="A66" s="207" t="inlineStr">
        <is>
          <t>Electrical conduits installation in Laneway is ongoing</t>
        </is>
      </c>
      <c r="B66" s="233" t="n"/>
      <c r="C66" s="233" t="n"/>
      <c r="D66" s="233" t="n"/>
      <c r="E66" s="233" t="n"/>
      <c r="F66" s="233" t="n"/>
      <c r="G66" s="233" t="n"/>
      <c r="H66" s="233" t="n"/>
      <c r="I66" s="235" t="n"/>
    </row>
    <row r="67" ht="24" customHeight="1">
      <c r="A67" s="254" t="n"/>
      <c r="B67" s="233" t="n"/>
      <c r="C67" s="233" t="n"/>
      <c r="D67" s="233" t="n"/>
      <c r="E67" s="233" t="n"/>
      <c r="F67" s="233" t="n"/>
      <c r="G67" s="233" t="n"/>
      <c r="H67" s="233" t="n"/>
      <c r="I67" s="235" t="n"/>
    </row>
    <row r="68" ht="26.25" customHeight="1">
      <c r="A68" s="148" t="inlineStr">
        <is>
          <t>Photos</t>
        </is>
      </c>
      <c r="B68" s="236" t="n"/>
      <c r="C68" s="236" t="n"/>
      <c r="D68" s="236" t="n"/>
      <c r="E68" s="236" t="n"/>
      <c r="F68" s="236" t="n"/>
      <c r="G68" s="236" t="n"/>
      <c r="H68" s="236" t="n"/>
      <c r="I68" s="237"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94" t="n"/>
      <c r="B74" s="95" t="n"/>
      <c r="C74" s="95" t="n"/>
      <c r="D74" s="95" t="n"/>
      <c r="E74" s="95" t="n"/>
      <c r="F74" s="95" t="n"/>
      <c r="G74" s="95" t="n"/>
      <c r="H74" s="95" t="n"/>
      <c r="I74" s="96" t="n"/>
    </row>
    <row r="75" ht="23.25" customHeight="1">
      <c r="A75" s="10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15" customHeight="1">
      <c r="A96" s="94" t="n"/>
      <c r="B96" s="95" t="n"/>
      <c r="C96" s="95" t="n"/>
      <c r="D96" s="95" t="n"/>
      <c r="E96" s="95" t="n"/>
      <c r="F96" s="95" t="n"/>
      <c r="G96" s="95" t="n"/>
      <c r="H96" s="95" t="n"/>
      <c r="I96" s="96" t="n"/>
    </row>
    <row r="97" ht="25" customFormat="1" customHeight="1" s="97">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c r="A103" s="94" t="n"/>
      <c r="B103" s="95" t="n"/>
      <c r="C103" s="95" t="n"/>
      <c r="D103" s="95" t="n"/>
      <c r="E103" s="95" t="n"/>
      <c r="F103" s="95" t="n"/>
      <c r="G103" s="95" t="n"/>
      <c r="H103" s="95" t="n"/>
      <c r="I103" s="96"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15" customHeight="1">
      <c r="A120" s="94" t="n"/>
      <c r="B120" s="95" t="n"/>
      <c r="C120" s="95" t="n"/>
      <c r="D120" s="95" t="n"/>
      <c r="E120" s="95" t="n"/>
      <c r="F120" s="95" t="n"/>
      <c r="G120" s="95" t="n"/>
      <c r="H120" s="95" t="n"/>
      <c r="I120" s="96" t="n"/>
    </row>
    <row r="121" ht="2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15" customHeight="1">
      <c r="A123" s="94" t="n"/>
      <c r="B123" s="95" t="n"/>
      <c r="C123" s="95" t="n"/>
      <c r="D123" s="95" t="n"/>
      <c r="E123" s="95" t="n"/>
      <c r="F123" s="95" t="n"/>
      <c r="G123" s="95" t="n"/>
      <c r="H123" s="95" t="n"/>
      <c r="I123" s="96" t="n"/>
    </row>
    <row r="124" ht="28"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5" customHeight="1">
      <c r="A143" s="94" t="n"/>
      <c r="B143" s="95" t="n"/>
      <c r="C143" s="95" t="n"/>
      <c r="D143" s="95" t="n"/>
      <c r="E143" s="95" t="n"/>
      <c r="F143" s="95" t="n"/>
      <c r="G143" s="95" t="n"/>
      <c r="H143" s="95" t="n"/>
      <c r="I143" s="96" t="n"/>
    </row>
    <row r="144" ht="16" customHeight="1">
      <c r="A144" s="94" t="n"/>
      <c r="B144" s="95" t="n"/>
      <c r="C144" s="95" t="n"/>
      <c r="D144" s="95" t="n"/>
      <c r="E144" s="95" t="n"/>
      <c r="F144" s="95" t="n"/>
      <c r="G144" s="95" t="n"/>
      <c r="H144" s="95" t="n"/>
      <c r="I144" s="96" t="n"/>
    </row>
    <row r="145" ht="56.25" customHeight="1">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row>
    <row r="150">
      <c r="A150" s="94" t="n"/>
      <c r="B150" s="95" t="n"/>
      <c r="C150" s="95" t="n"/>
      <c r="D150" s="95" t="n"/>
      <c r="E150" s="95" t="n"/>
      <c r="F150" s="95" t="n"/>
      <c r="G150" s="95" t="n"/>
      <c r="H150" s="95" t="n"/>
      <c r="I150" s="96" t="n"/>
      <c r="J150" s="95" t="n"/>
      <c r="K150" s="95" t="n"/>
      <c r="L150" s="95"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row>
    <row r="171" ht="19" customHeight="1" thickBot="1">
      <c r="A171" s="98" t="n"/>
      <c r="B171" s="99" t="n"/>
      <c r="C171" s="99" t="n"/>
      <c r="D171" s="99" t="n"/>
      <c r="E171" s="99" t="n"/>
      <c r="F171" s="99" t="n"/>
      <c r="G171" s="99" t="n"/>
      <c r="H171" s="99" t="n"/>
      <c r="I171" s="100" t="n"/>
    </row>
    <row r="172">
      <c r="A172" s="95" t="n"/>
      <c r="B172" s="95" t="n"/>
      <c r="C172" s="95" t="n"/>
      <c r="D172" s="95" t="n"/>
      <c r="E172" s="95" t="n"/>
      <c r="F172" s="95" t="n"/>
      <c r="G172" s="95" t="n"/>
      <c r="H172" s="95" t="n"/>
      <c r="I172" s="95" t="n"/>
      <c r="J172" s="95" t="n"/>
      <c r="K172" s="95" t="n"/>
      <c r="L172" s="95" t="n"/>
      <c r="M172" s="95" t="n"/>
      <c r="N172" s="95" t="n"/>
    </row>
    <row r="173">
      <c r="A173" s="95" t="n"/>
      <c r="B173" s="95" t="n"/>
      <c r="C173" s="95" t="n"/>
      <c r="D173" s="95" t="n"/>
      <c r="E173" s="95" t="n"/>
      <c r="F173" s="95" t="n"/>
      <c r="G173" s="95" t="n"/>
      <c r="H173" s="95" t="n"/>
      <c r="I173" s="95" t="n"/>
      <c r="J173" s="95" t="n"/>
      <c r="K173" s="95" t="n"/>
      <c r="L173" s="95" t="n"/>
      <c r="M173" s="95" t="n"/>
      <c r="N173" s="95" t="n"/>
    </row>
    <row r="174">
      <c r="A174" s="95" t="n"/>
      <c r="B174" s="95" t="n"/>
      <c r="C174" s="95" t="n"/>
      <c r="D174" s="95" t="n"/>
      <c r="E174" s="95" t="n"/>
      <c r="F174" s="95" t="n"/>
      <c r="G174" s="95" t="n"/>
      <c r="H174" s="95" t="n"/>
      <c r="I174" s="95" t="n"/>
      <c r="J174" s="95" t="n"/>
      <c r="K174" s="95" t="n"/>
      <c r="L174" s="95" t="n"/>
      <c r="M174" s="95" t="n"/>
      <c r="N174" s="95" t="n"/>
    </row>
    <row r="175">
      <c r="A175" s="95" t="n"/>
      <c r="B175" s="95" t="n"/>
      <c r="C175" s="95" t="n"/>
      <c r="D175" s="95" t="n"/>
      <c r="E175" s="95" t="n"/>
      <c r="F175" s="95" t="n"/>
      <c r="G175" s="95" t="n"/>
      <c r="H175" s="95" t="n"/>
      <c r="I175" s="95" t="n"/>
      <c r="J175" s="95" t="n"/>
      <c r="K175" s="95" t="n"/>
      <c r="L175" s="95" t="n"/>
      <c r="M175" s="95" t="n"/>
      <c r="N175" s="95" t="n"/>
    </row>
    <row r="176">
      <c r="A176" s="95" t="n"/>
      <c r="B176" s="95" t="n"/>
      <c r="C176" s="95" t="n"/>
      <c r="D176" s="95" t="n"/>
      <c r="E176" s="95" t="n"/>
      <c r="F176" s="95" t="n"/>
      <c r="G176" s="95" t="n"/>
      <c r="H176" s="95" t="n"/>
      <c r="I176" s="95" t="n"/>
      <c r="J176" s="95" t="n"/>
      <c r="K176" s="95" t="n"/>
      <c r="L176" s="95" t="n"/>
      <c r="M176" s="95" t="n"/>
      <c r="N176" s="95" t="n"/>
    </row>
    <row r="177">
      <c r="A177" s="95" t="n"/>
      <c r="B177" s="95" t="n"/>
      <c r="C177" s="95" t="n"/>
      <c r="D177" s="95" t="n"/>
      <c r="E177" s="95" t="n"/>
      <c r="F177" s="95" t="n"/>
      <c r="G177" s="95" t="n"/>
      <c r="H177" s="95" t="n"/>
      <c r="I177" s="95" t="n"/>
      <c r="J177" s="95" t="n"/>
      <c r="K177" s="95" t="n"/>
      <c r="L177" s="95" t="n"/>
      <c r="M177" s="95" t="n"/>
      <c r="N177" s="95" t="n"/>
    </row>
    <row r="178">
      <c r="A178" s="95" t="n"/>
      <c r="B178" s="95" t="n"/>
      <c r="C178" s="95" t="n"/>
      <c r="D178" s="95" t="n"/>
      <c r="E178" s="95" t="n"/>
      <c r="F178" s="95" t="n"/>
      <c r="G178" s="95" t="n"/>
      <c r="H178" s="95" t="n"/>
      <c r="I178" s="95" t="n"/>
      <c r="J178" s="95" t="n"/>
      <c r="K178" s="95" t="n"/>
      <c r="L178" s="95" t="n"/>
      <c r="M178" s="95" t="n"/>
      <c r="N178" s="95" t="n"/>
    </row>
    <row r="179">
      <c r="A179" s="95" t="n"/>
      <c r="B179" s="95" t="n"/>
      <c r="C179" s="95" t="n"/>
      <c r="D179" s="95" t="n"/>
      <c r="E179" s="95" t="n"/>
      <c r="F179" s="95" t="n"/>
      <c r="G179" s="95" t="n"/>
      <c r="H179" s="95" t="n"/>
      <c r="I179" s="95" t="n"/>
      <c r="J179" s="95" t="n"/>
      <c r="K179" s="95" t="n"/>
      <c r="L179" s="95" t="n"/>
      <c r="M179" s="95" t="n"/>
      <c r="N179" s="95" t="n"/>
    </row>
    <row r="180">
      <c r="A180" s="95" t="n"/>
      <c r="B180" s="95" t="n"/>
      <c r="C180" s="95" t="n"/>
      <c r="D180" s="95" t="n"/>
      <c r="E180" s="95" t="n"/>
      <c r="F180" s="95" t="n"/>
      <c r="G180" s="95" t="n"/>
      <c r="H180" s="95" t="n"/>
      <c r="I180" s="95" t="n"/>
      <c r="J180" s="95" t="n"/>
      <c r="K180" s="95" t="n"/>
      <c r="L180" s="95" t="n"/>
      <c r="M180" s="95" t="n"/>
      <c r="N180" s="95" t="n"/>
    </row>
    <row r="181">
      <c r="A181" s="95" t="n"/>
      <c r="B181" s="95" t="n"/>
      <c r="C181" s="95" t="n"/>
      <c r="D181" s="95" t="n"/>
      <c r="E181" s="95" t="n"/>
      <c r="F181" s="95" t="n"/>
      <c r="G181" s="95" t="n"/>
      <c r="H181" s="95" t="n"/>
      <c r="I181" s="95" t="n"/>
      <c r="J181" s="95" t="n"/>
      <c r="K181" s="95" t="n"/>
      <c r="L181" s="95" t="n"/>
      <c r="M181" s="95" t="n"/>
      <c r="N181" s="95" t="n"/>
    </row>
    <row r="182">
      <c r="A182" s="95" t="n"/>
      <c r="B182" s="95" t="n"/>
      <c r="C182" s="95" t="n"/>
      <c r="D182" s="95" t="n"/>
      <c r="E182" s="95" t="n"/>
      <c r="F182" s="95" t="n"/>
      <c r="G182" s="95" t="n"/>
      <c r="H182" s="95" t="n"/>
      <c r="I182" s="95" t="n"/>
      <c r="J182" s="95" t="n"/>
      <c r="K182" s="95" t="n"/>
      <c r="L182" s="95" t="n"/>
      <c r="M182" s="95" t="n"/>
      <c r="N182" s="95" t="n"/>
    </row>
    <row r="183">
      <c r="A183" s="95" t="n"/>
      <c r="B183" s="95" t="n"/>
      <c r="C183" s="95" t="n"/>
      <c r="D183" s="95" t="n"/>
      <c r="E183" s="95" t="n"/>
      <c r="F183" s="95" t="n"/>
      <c r="G183" s="95" t="n"/>
      <c r="H183" s="95" t="n"/>
      <c r="I183" s="95" t="n"/>
      <c r="J183" s="95" t="n"/>
      <c r="K183" s="95" t="n"/>
      <c r="L183" s="95" t="n"/>
      <c r="M183" s="95" t="n"/>
      <c r="N183" s="95" t="n"/>
    </row>
    <row r="184">
      <c r="A184" s="95" t="n"/>
      <c r="B184" s="95" t="n"/>
      <c r="C184" s="95" t="n"/>
      <c r="D184" s="95" t="n"/>
      <c r="E184" s="95" t="n"/>
      <c r="F184" s="95" t="n"/>
      <c r="G184" s="95" t="n"/>
      <c r="H184" s="95" t="n"/>
      <c r="I184" s="95" t="n"/>
      <c r="J184" s="95" t="n"/>
      <c r="K184" s="95" t="n"/>
      <c r="L184" s="95" t="n"/>
      <c r="M184" s="95" t="n"/>
      <c r="N184" s="95" t="n"/>
    </row>
    <row r="185">
      <c r="A185" s="95" t="n"/>
      <c r="B185" s="95" t="n"/>
      <c r="C185" s="95" t="n"/>
      <c r="D185" s="95" t="n"/>
      <c r="E185" s="95" t="n"/>
      <c r="F185" s="95" t="n"/>
      <c r="G185" s="95" t="n"/>
      <c r="H185" s="95" t="n"/>
      <c r="I185" s="95" t="n"/>
      <c r="J185" s="95" t="n"/>
      <c r="K185" s="95" t="n"/>
      <c r="L185" s="95" t="n"/>
      <c r="M185" s="95" t="n"/>
      <c r="N185" s="95" t="n"/>
    </row>
    <row r="186">
      <c r="A186" s="95" t="n"/>
      <c r="B186" s="95" t="n"/>
      <c r="C186" s="95" t="n"/>
      <c r="D186" s="95" t="n"/>
      <c r="E186" s="95" t="n"/>
      <c r="F186" s="95" t="n"/>
      <c r="G186" s="95" t="n"/>
      <c r="H186" s="95" t="n"/>
      <c r="I186" s="95" t="n"/>
      <c r="J186" s="95" t="n"/>
      <c r="K186" s="95" t="n"/>
      <c r="L186" s="95" t="n"/>
      <c r="M186" s="95" t="n"/>
      <c r="N186" s="95" t="n"/>
    </row>
    <row r="187">
      <c r="A187" s="95" t="n"/>
      <c r="B187" s="95" t="n"/>
      <c r="C187" s="95" t="n"/>
      <c r="D187" s="95" t="n"/>
      <c r="E187" s="95" t="n"/>
      <c r="F187" s="95" t="n"/>
      <c r="G187" s="95" t="n"/>
      <c r="H187" s="95" t="n"/>
      <c r="I187" s="95" t="n"/>
      <c r="J187" s="95" t="n"/>
      <c r="K187" s="95" t="n"/>
      <c r="L187" s="95" t="n"/>
      <c r="M187" s="95" t="n"/>
      <c r="N187" s="95" t="n"/>
    </row>
    <row r="188">
      <c r="A188" s="95" t="n"/>
      <c r="B188" s="95" t="n"/>
      <c r="C188" s="95" t="n"/>
      <c r="D188" s="95" t="n"/>
      <c r="E188" s="95" t="n"/>
      <c r="F188" s="95" t="n"/>
      <c r="G188" s="95" t="n"/>
      <c r="H188" s="95" t="n"/>
      <c r="I188" s="95" t="n"/>
      <c r="J188" s="95" t="n"/>
      <c r="K188" s="95" t="n"/>
      <c r="L188" s="95" t="n"/>
      <c r="M188" s="95" t="n"/>
      <c r="N188" s="95" t="n"/>
    </row>
    <row r="189">
      <c r="A189" s="95" t="n"/>
      <c r="B189" s="95" t="n"/>
      <c r="C189" s="95" t="n"/>
      <c r="D189" s="95" t="n"/>
      <c r="E189" s="95" t="n"/>
      <c r="F189" s="95" t="n"/>
      <c r="G189" s="95" t="n"/>
      <c r="H189" s="95" t="n"/>
      <c r="I189" s="95" t="n"/>
      <c r="J189" s="95" t="n"/>
      <c r="K189" s="95" t="n"/>
      <c r="L189" s="95" t="n"/>
      <c r="M189" s="95" t="n"/>
      <c r="N189" s="95" t="n"/>
    </row>
    <row r="190">
      <c r="A190" s="95" t="n"/>
      <c r="B190" s="95" t="n"/>
      <c r="C190" s="95" t="n"/>
      <c r="D190" s="95" t="n"/>
      <c r="E190" s="95" t="n"/>
      <c r="F190" s="95" t="n"/>
      <c r="G190" s="95" t="n"/>
      <c r="H190" s="95" t="n"/>
      <c r="I190" s="95" t="n"/>
      <c r="J190" s="95" t="n"/>
      <c r="K190" s="95" t="n"/>
      <c r="L190" s="95" t="n"/>
      <c r="M190" s="95" t="n"/>
      <c r="N190" s="95" t="n"/>
    </row>
    <row r="191">
      <c r="A191" s="95" t="n"/>
      <c r="B191" s="95" t="n"/>
      <c r="C191" s="95" t="n"/>
      <c r="D191" s="95" t="n"/>
      <c r="E191" s="95" t="n"/>
      <c r="F191" s="95" t="n"/>
      <c r="G191" s="95" t="n"/>
      <c r="H191" s="95" t="n"/>
      <c r="I191" s="95" t="n"/>
      <c r="J191" s="95" t="n"/>
      <c r="K191" s="95" t="n"/>
      <c r="L191" s="95" t="n"/>
      <c r="M191" s="95" t="n"/>
      <c r="N191" s="95" t="n"/>
    </row>
    <row r="192">
      <c r="A192" s="95" t="n"/>
      <c r="B192" s="95" t="n"/>
      <c r="C192" s="95" t="n"/>
      <c r="D192" s="95" t="n"/>
      <c r="E192" s="95" t="n"/>
      <c r="F192" s="95" t="n"/>
      <c r="G192" s="95" t="n"/>
      <c r="H192" s="95" t="n"/>
      <c r="I192" s="95" t="n"/>
      <c r="J192" s="95" t="n"/>
      <c r="K192" s="95" t="n"/>
      <c r="L192" s="95" t="n"/>
      <c r="M192" s="95" t="n"/>
      <c r="N192" s="95" t="n"/>
    </row>
    <row r="193">
      <c r="A193" s="95" t="n"/>
      <c r="B193" s="95" t="n"/>
      <c r="C193" s="95" t="n"/>
      <c r="D193" s="95" t="n"/>
      <c r="E193" s="95" t="n"/>
      <c r="F193" s="95" t="n"/>
      <c r="G193" s="95" t="n"/>
      <c r="H193" s="95" t="n"/>
      <c r="I193" s="95" t="n"/>
      <c r="J193" s="95" t="n"/>
      <c r="K193" s="95" t="n"/>
      <c r="L193" s="95" t="n"/>
      <c r="M193" s="95" t="n"/>
      <c r="N193" s="95" t="n"/>
    </row>
    <row r="194">
      <c r="A194" s="95" t="n"/>
      <c r="B194" s="95" t="n"/>
      <c r="C194" s="95" t="n"/>
      <c r="D194" s="95" t="n"/>
      <c r="E194" s="95" t="n"/>
      <c r="F194" s="95" t="n"/>
      <c r="G194" s="95" t="n"/>
      <c r="H194" s="95" t="n"/>
      <c r="I194" s="95" t="n"/>
      <c r="J194" s="95" t="n"/>
      <c r="K194" s="95" t="n"/>
      <c r="L194" s="95" t="n"/>
      <c r="M194" s="95" t="n"/>
      <c r="N194" s="95" t="n"/>
    </row>
    <row r="195">
      <c r="A195" s="95" t="n"/>
      <c r="B195" s="95" t="n"/>
      <c r="C195" s="95" t="n"/>
      <c r="D195" s="95" t="n"/>
      <c r="E195" s="95" t="n"/>
      <c r="F195" s="95" t="n"/>
      <c r="G195" s="95" t="n"/>
      <c r="H195" s="95" t="n"/>
      <c r="I195" s="95" t="n"/>
      <c r="J195" s="95" t="n"/>
      <c r="K195" s="95" t="n"/>
      <c r="L195" s="95" t="n"/>
      <c r="M195" s="95" t="n"/>
      <c r="N195" s="95" t="n"/>
    </row>
    <row r="196">
      <c r="A196" s="95" t="n"/>
      <c r="B196" s="95" t="n"/>
      <c r="C196" s="95" t="n"/>
      <c r="D196" s="95" t="n"/>
      <c r="E196" s="95" t="n"/>
      <c r="F196" s="95" t="n"/>
      <c r="G196" s="95" t="n"/>
      <c r="H196" s="95" t="n"/>
      <c r="I196" s="95" t="n"/>
      <c r="J196" s="95" t="n"/>
      <c r="K196" s="95" t="n"/>
      <c r="L196" s="95" t="n"/>
      <c r="M196" s="95" t="n"/>
      <c r="N196" s="95" t="n"/>
    </row>
    <row r="197">
      <c r="A197" s="95" t="n"/>
      <c r="B197" s="95" t="n"/>
      <c r="C197" s="95" t="n"/>
      <c r="D197" s="95" t="n"/>
      <c r="E197" s="95" t="n"/>
      <c r="F197" s="95" t="n"/>
      <c r="G197" s="95" t="n"/>
      <c r="H197" s="95" t="n"/>
      <c r="I197" s="95" t="n"/>
      <c r="J197" s="95" t="n"/>
      <c r="K197" s="95" t="n"/>
      <c r="L197" s="95" t="n"/>
      <c r="M197" s="95" t="n"/>
      <c r="N197" s="95" t="n"/>
    </row>
    <row r="198">
      <c r="A198" s="95" t="n"/>
      <c r="B198" s="95" t="n"/>
      <c r="C198" s="95" t="n"/>
      <c r="D198" s="95" t="n"/>
      <c r="E198" s="95" t="n"/>
      <c r="F198" s="95" t="n"/>
      <c r="G198" s="95" t="n"/>
      <c r="H198" s="95" t="n"/>
      <c r="I198" s="95" t="n"/>
      <c r="J198" s="95" t="n"/>
      <c r="K198" s="95" t="n"/>
      <c r="L198" s="95" t="n"/>
      <c r="M198" s="95" t="n"/>
      <c r="N198" s="95" t="n"/>
    </row>
    <row r="199">
      <c r="A199" s="95" t="n"/>
      <c r="B199" s="95" t="n"/>
      <c r="C199" s="95" t="n"/>
      <c r="D199" s="95" t="n"/>
      <c r="E199" s="95" t="n"/>
      <c r="F199" s="95" t="n"/>
      <c r="G199" s="95" t="n"/>
      <c r="H199" s="95" t="n"/>
      <c r="I199" s="95" t="n"/>
      <c r="J199" s="95" t="n"/>
      <c r="K199" s="95" t="n"/>
      <c r="L199" s="95" t="n"/>
      <c r="M199" s="95" t="n"/>
      <c r="N199" s="95" t="n"/>
    </row>
    <row r="200" ht="16" customHeight="1">
      <c r="A200" s="95" t="n"/>
      <c r="B200" s="95" t="n"/>
      <c r="C200" s="95" t="n"/>
      <c r="D200" s="95" t="n"/>
      <c r="E200" s="95" t="n"/>
      <c r="F200" s="95" t="n"/>
      <c r="G200" s="95" t="n"/>
      <c r="H200" s="95" t="n"/>
      <c r="I200" s="95" t="n"/>
      <c r="J200" s="95" t="n"/>
      <c r="K200" s="95" t="n"/>
      <c r="L200" s="95" t="n"/>
      <c r="M200" s="95" t="n"/>
      <c r="N200" s="95" t="n"/>
    </row>
    <row r="201">
      <c r="A201" s="95" t="n"/>
      <c r="B201" s="95" t="n"/>
      <c r="C201" s="95" t="n"/>
      <c r="D201" s="95" t="n"/>
      <c r="E201" s="95" t="n"/>
      <c r="F201" s="95" t="n"/>
      <c r="G201" s="95" t="n"/>
      <c r="H201" s="95" t="n"/>
      <c r="I201" s="95" t="n"/>
    </row>
    <row r="202">
      <c r="A202" s="95" t="n"/>
      <c r="B202" s="95" t="n"/>
      <c r="C202" s="95" t="n"/>
      <c r="D202" s="95" t="n"/>
      <c r="E202" s="95" t="n"/>
      <c r="F202" s="95" t="n"/>
      <c r="G202" s="95" t="n"/>
      <c r="H202" s="95" t="n"/>
      <c r="I202" s="95" t="n"/>
    </row>
    <row r="203">
      <c r="A203" s="95" t="n"/>
      <c r="B203" s="95" t="n"/>
      <c r="C203" s="95" t="n"/>
      <c r="D203" s="95" t="n"/>
      <c r="E203" s="95" t="n"/>
      <c r="F203" s="95" t="n"/>
      <c r="G203" s="95" t="n"/>
      <c r="H203" s="95" t="n"/>
      <c r="I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5" t="n"/>
      <c r="B207" s="95" t="n"/>
      <c r="C207" s="95" t="n"/>
      <c r="D207" s="95" t="n"/>
      <c r="E207" s="95" t="n"/>
      <c r="F207" s="95" t="n"/>
      <c r="G207" s="95" t="n"/>
      <c r="H207" s="95" t="n"/>
      <c r="I207" s="95" t="n"/>
      <c r="J207" s="95" t="n"/>
      <c r="K207" s="95" t="n"/>
      <c r="L207" s="95" t="n"/>
    </row>
    <row r="208">
      <c r="A208" s="95" t="n"/>
      <c r="B208" s="95" t="n"/>
      <c r="C208" s="95" t="n"/>
      <c r="D208" s="95" t="n"/>
      <c r="E208" s="95" t="n"/>
      <c r="F208" s="95" t="n"/>
      <c r="G208" s="95" t="n"/>
      <c r="H208" s="95" t="n"/>
      <c r="I208" s="95" t="n"/>
      <c r="J208" s="95" t="n"/>
      <c r="K208" s="95" t="n"/>
      <c r="L208" s="95" t="n"/>
    </row>
    <row r="209">
      <c r="A209" s="95" t="n"/>
      <c r="B209" s="95" t="n"/>
      <c r="C209" s="95" t="n"/>
      <c r="D209" s="95" t="n"/>
      <c r="E209" s="95" t="n"/>
      <c r="F209" s="95" t="n"/>
      <c r="G209" s="95" t="n"/>
      <c r="H209" s="95" t="n"/>
      <c r="I209" s="95" t="n"/>
      <c r="J209" s="95" t="n"/>
      <c r="K209" s="95" t="n"/>
      <c r="L209" s="95" t="n"/>
    </row>
    <row r="210">
      <c r="A210" s="95"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A218" s="94" t="n"/>
      <c r="B218" s="95" t="n"/>
      <c r="C218" s="95" t="n"/>
      <c r="D218" s="95" t="n"/>
      <c r="E218" s="95" t="n"/>
      <c r="F218" s="95" t="n"/>
      <c r="G218" s="95" t="n"/>
      <c r="H218" s="95" t="n"/>
      <c r="I218" s="95" t="n"/>
      <c r="J218" s="95" t="n"/>
      <c r="K218" s="95" t="n"/>
      <c r="L218" s="95" t="n"/>
    </row>
    <row r="219">
      <c r="A219" s="94" t="n"/>
      <c r="B219" s="95" t="n"/>
      <c r="C219" s="95" t="n"/>
      <c r="D219" s="95" t="n"/>
      <c r="E219" s="95" t="n"/>
      <c r="F219" s="95" t="n"/>
      <c r="G219" s="95" t="n"/>
      <c r="H219" s="95" t="n"/>
      <c r="I219" s="95" t="n"/>
      <c r="J219" s="95" t="n"/>
      <c r="K219" s="95" t="n"/>
      <c r="L219" s="95" t="n"/>
    </row>
    <row r="220">
      <c r="A220" s="94" t="n"/>
      <c r="B220" s="95" t="n"/>
      <c r="C220" s="95" t="n"/>
      <c r="D220" s="95" t="n"/>
      <c r="E220" s="95" t="n"/>
      <c r="F220" s="95" t="n"/>
      <c r="G220" s="95" t="n"/>
      <c r="H220" s="95" t="n"/>
      <c r="I220" s="95" t="n"/>
      <c r="J220" s="95" t="n"/>
      <c r="K220" s="95" t="n"/>
      <c r="L220" s="95" t="n"/>
    </row>
    <row r="221">
      <c r="A221" s="94" t="n"/>
      <c r="B221" s="95" t="n"/>
      <c r="C221" s="95" t="n"/>
      <c r="D221" s="95" t="n"/>
      <c r="E221" s="95" t="n"/>
      <c r="F221" s="95" t="n"/>
      <c r="G221" s="95" t="n"/>
      <c r="H221" s="95" t="n"/>
      <c r="I221" s="95" t="n"/>
      <c r="J221" s="95" t="n"/>
      <c r="K221" s="95" t="n"/>
      <c r="L221" s="95" t="n"/>
    </row>
    <row r="222">
      <c r="G222" s="95" t="n"/>
      <c r="H222" s="95" t="n"/>
      <c r="I222" s="95" t="n"/>
      <c r="J222" s="95" t="n"/>
      <c r="K222" s="95" t="n"/>
      <c r="L222" s="95" t="n"/>
    </row>
    <row r="223">
      <c r="G223" s="95" t="n"/>
      <c r="H223" s="95" t="n"/>
      <c r="I223" s="95" t="n"/>
      <c r="J223" s="95" t="n"/>
      <c r="K223" s="95" t="n"/>
      <c r="L223" s="95" t="n"/>
    </row>
    <row r="224">
      <c r="G224" s="95" t="n"/>
      <c r="H224" s="95" t="n"/>
      <c r="I224" s="95" t="n"/>
      <c r="J224" s="95" t="n"/>
      <c r="K224" s="95" t="n"/>
      <c r="L224" s="95" t="n"/>
    </row>
  </sheetData>
  <mergeCells count="42">
    <mergeCell ref="A65:I65"/>
    <mergeCell ref="D13:F13"/>
    <mergeCell ref="G13:I13"/>
    <mergeCell ref="B54:I54"/>
    <mergeCell ref="A66:I66"/>
    <mergeCell ref="D41:I41"/>
    <mergeCell ref="B8:D8"/>
    <mergeCell ref="A55:I55"/>
    <mergeCell ref="A12:I12"/>
    <mergeCell ref="C57:I57"/>
    <mergeCell ref="B43:C43"/>
    <mergeCell ref="A46:I48"/>
    <mergeCell ref="D43:I43"/>
    <mergeCell ref="B52:I52"/>
    <mergeCell ref="A5:I5"/>
    <mergeCell ref="B42:C42"/>
    <mergeCell ref="B9:D9"/>
    <mergeCell ref="B6:D6"/>
    <mergeCell ref="A62:I62"/>
    <mergeCell ref="C58:I58"/>
    <mergeCell ref="B53:I53"/>
    <mergeCell ref="A68:I68"/>
    <mergeCell ref="A63:I63"/>
    <mergeCell ref="D42:I42"/>
    <mergeCell ref="A10:I10"/>
    <mergeCell ref="A13:C13"/>
    <mergeCell ref="A1:I4"/>
    <mergeCell ref="A67:I67"/>
    <mergeCell ref="D44:I44"/>
    <mergeCell ref="B7:D7"/>
    <mergeCell ref="A64:I64"/>
    <mergeCell ref="A49:I49"/>
    <mergeCell ref="A11:I11"/>
    <mergeCell ref="A60:I60"/>
    <mergeCell ref="C56:I56"/>
    <mergeCell ref="B51:I51"/>
    <mergeCell ref="C59:I59"/>
    <mergeCell ref="A45:I45"/>
    <mergeCell ref="A44:B44"/>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67" min="0" max="8" man="1"/>
  </rowBreaks>
</worksheet>
</file>

<file path=xl/worksheets/sheet4.xml><?xml version="1.0" encoding="utf-8"?>
<worksheet xmlns="http://schemas.openxmlformats.org/spreadsheetml/2006/main">
  <sheetPr>
    <outlinePr summaryBelow="1" summaryRight="1"/>
    <pageSetUpPr fitToPage="1"/>
  </sheetPr>
  <dimension ref="A1:N221"/>
  <sheetViews>
    <sheetView view="pageBreakPreview" topLeftCell="A36" zoomScale="70" zoomScaleNormal="55" zoomScaleSheetLayoutView="70" workbookViewId="0">
      <selection activeCell="A62" sqref="A62:I66"/>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45966</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14-240C,  Wind:  63 km/h NW, Precip: 8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row>
    <row r="17" ht="23.25" customHeight="1">
      <c r="A17" s="24" t="inlineStr">
        <is>
          <t>O"SHEA, John</t>
        </is>
      </c>
      <c r="B17" s="25" t="inlineStr">
        <is>
          <t>Senior Project Engineer</t>
        </is>
      </c>
      <c r="C17" s="26" t="n"/>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v>10</v>
      </c>
      <c r="D18" s="31" t="n"/>
      <c r="E18" s="32" t="n"/>
      <c r="F18" s="28" t="n"/>
      <c r="G18" s="29" t="inlineStr">
        <is>
          <t>Griffiths, Jaquai</t>
        </is>
      </c>
      <c r="H18" s="25" t="inlineStr">
        <is>
          <t>Operator</t>
        </is>
      </c>
      <c r="I18" s="30" t="n">
        <v>10</v>
      </c>
    </row>
    <row r="19" ht="23.25" customHeight="1">
      <c r="A19" s="24" t="inlineStr">
        <is>
          <t>THOMPSON,Cheryl</t>
        </is>
      </c>
      <c r="B19" s="25" t="inlineStr">
        <is>
          <t>HSET</t>
        </is>
      </c>
      <c r="C19" s="26" t="n"/>
      <c r="D19" s="31" t="n"/>
      <c r="E19" s="32" t="n"/>
      <c r="F19" s="28" t="n"/>
      <c r="G19" s="29" t="inlineStr">
        <is>
          <t>McConnell, Adam</t>
        </is>
      </c>
      <c r="H19" s="25" t="inlineStr">
        <is>
          <t>Labourer</t>
        </is>
      </c>
      <c r="I19" s="30" t="n">
        <v>12</v>
      </c>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v>12</v>
      </c>
      <c r="D21" s="31" t="n"/>
      <c r="E21" s="32" t="n"/>
      <c r="F21" s="28" t="n"/>
      <c r="G21" s="29" t="inlineStr">
        <is>
          <t>Pavers</t>
        </is>
      </c>
      <c r="H21" s="25" t="inlineStr">
        <is>
          <t>Pavers</t>
        </is>
      </c>
      <c r="I21" s="30" t="n">
        <v>30</v>
      </c>
    </row>
    <row r="22" ht="23.25" customHeight="1">
      <c r="A22" s="24" t="inlineStr">
        <is>
          <t>JOGI, Amit</t>
        </is>
      </c>
      <c r="B22" s="25" t="inlineStr">
        <is>
          <t>Project Engineer</t>
        </is>
      </c>
      <c r="C22" s="26" t="n">
        <v>12</v>
      </c>
      <c r="D22" s="31" t="n"/>
      <c r="E22" s="32" t="n"/>
      <c r="F22" s="28" t="n"/>
      <c r="G22" s="29" t="inlineStr">
        <is>
          <t>Think Water</t>
        </is>
      </c>
      <c r="H22" s="25" t="inlineStr">
        <is>
          <t>Irrigation</t>
        </is>
      </c>
      <c r="I22" s="127" t="n"/>
    </row>
    <row r="23" ht="23.25" customHeight="1" thickBot="1">
      <c r="A23" s="129" t="n"/>
      <c r="B23" s="120" t="n"/>
      <c r="C23" s="121" t="n"/>
      <c r="D23" s="122" t="n"/>
      <c r="E23" s="123" t="n"/>
      <c r="F23" s="124" t="n"/>
      <c r="G23" s="125" t="n"/>
      <c r="H23" s="126" t="n"/>
      <c r="I23" s="128" t="n"/>
    </row>
    <row r="24" ht="23.25" customHeight="1" thickTop="1">
      <c r="A24" s="173" t="inlineStr">
        <is>
          <t xml:space="preserve">Total Indirect Personnel onsite: </t>
        </is>
      </c>
      <c r="B24" s="116">
        <f>COUNT(C15:C23)</f>
        <v/>
      </c>
      <c r="C24" s="117" t="n"/>
      <c r="D24" s="118" t="inlineStr">
        <is>
          <t xml:space="preserve">Total Direct Personnel onsite:  </t>
        </is>
      </c>
      <c r="E24" s="116">
        <f>COUNT(F15:F23)</f>
        <v/>
      </c>
      <c r="F24" s="21" t="n"/>
      <c r="G24" s="119" t="inlineStr">
        <is>
          <t>Total Subcontractor on-site:</t>
        </is>
      </c>
      <c r="H24" s="116">
        <f>COUNT(I15:I22)</f>
        <v/>
      </c>
      <c r="I24" s="23" t="n"/>
    </row>
    <row r="25" ht="23.25" customHeight="1">
      <c r="A25" s="48" t="inlineStr">
        <is>
          <t xml:space="preserve">Total Indirect Personnel hours: </t>
        </is>
      </c>
      <c r="B25" s="93">
        <f>SUM(C15:C22)</f>
        <v/>
      </c>
      <c r="C25" s="52" t="n"/>
      <c r="D25" s="50" t="inlineStr">
        <is>
          <t xml:space="preserve">Total Direct Personnel hours: </t>
        </is>
      </c>
      <c r="E25" s="93">
        <f>SUM(F15:F16)</f>
        <v/>
      </c>
      <c r="F25" s="53" t="n"/>
      <c r="G25" s="51" t="inlineStr">
        <is>
          <t>Total Subcontractor hours:</t>
        </is>
      </c>
      <c r="H25" s="93">
        <f>SUM(I11:I22)</f>
        <v/>
      </c>
      <c r="I25" s="200" t="n"/>
    </row>
    <row r="26" ht="23.25" customHeight="1">
      <c r="A26" s="48" t="n"/>
      <c r="B26" s="49" t="n"/>
      <c r="C26" s="52" t="n"/>
      <c r="D26" s="50" t="n"/>
      <c r="E26" s="49" t="n"/>
      <c r="F26" s="55" t="n"/>
      <c r="G26" s="51" t="n"/>
      <c r="H26" s="49" t="n"/>
      <c r="I26" s="200" t="n"/>
    </row>
    <row r="27" ht="25" customHeight="1">
      <c r="A27" s="56" t="inlineStr">
        <is>
          <t>PLANT &amp; EQUIPMENT</t>
        </is>
      </c>
      <c r="B27" s="57" t="n"/>
      <c r="C27" s="57" t="n"/>
      <c r="D27" s="57" t="n"/>
      <c r="E27" s="57" t="n"/>
      <c r="F27" s="57" t="n"/>
      <c r="G27" s="57" t="n"/>
      <c r="H27" s="57" t="n"/>
      <c r="I27" s="58" t="n"/>
    </row>
    <row r="28" ht="24" customHeight="1" thickBot="1">
      <c r="A28" s="59" t="inlineStr">
        <is>
          <t>Plant</t>
        </is>
      </c>
      <c r="B28" s="60" t="inlineStr">
        <is>
          <t>ID</t>
        </is>
      </c>
      <c r="C28" s="61" t="inlineStr">
        <is>
          <t>Hrs</t>
        </is>
      </c>
      <c r="D28" s="62" t="inlineStr">
        <is>
          <t xml:space="preserve"> Vehicles</t>
        </is>
      </c>
      <c r="E28" s="60" t="inlineStr">
        <is>
          <t>ID</t>
        </is>
      </c>
      <c r="F28" s="63" t="inlineStr">
        <is>
          <t>QTY</t>
        </is>
      </c>
      <c r="G28" s="64" t="inlineStr">
        <is>
          <t>Site Facilities</t>
        </is>
      </c>
      <c r="H28" s="65" t="inlineStr">
        <is>
          <t>ID</t>
        </is>
      </c>
      <c r="I28" s="66" t="inlineStr">
        <is>
          <t>Qty</t>
        </is>
      </c>
    </row>
    <row r="29" ht="23.25" customHeight="1" thickTop="1">
      <c r="A29" s="75" t="inlineStr">
        <is>
          <t>IT Loader</t>
        </is>
      </c>
      <c r="B29" s="72" t="inlineStr">
        <is>
          <t>LD011</t>
        </is>
      </c>
      <c r="C29" s="26" t="n">
        <v>5</v>
      </c>
      <c r="D29" s="67" t="inlineStr">
        <is>
          <t>Hilux</t>
        </is>
      </c>
      <c r="E29" s="68" t="inlineStr">
        <is>
          <t>DLV90</t>
        </is>
      </c>
      <c r="F29" s="69" t="n">
        <v>1</v>
      </c>
      <c r="G29" s="70" t="inlineStr">
        <is>
          <t>Office 40ft</t>
        </is>
      </c>
      <c r="H29" s="68" t="n">
        <v>9255540</v>
      </c>
      <c r="I29" s="23" t="n">
        <v>1</v>
      </c>
    </row>
    <row r="30" ht="23.25" customHeight="1">
      <c r="A30" s="24" t="inlineStr">
        <is>
          <t>Wacker Neuson DPU</t>
        </is>
      </c>
      <c r="B30" s="25" t="inlineStr">
        <is>
          <t>DPC15</t>
        </is>
      </c>
      <c r="C30" s="106" t="n"/>
      <c r="D30" s="71" t="inlineStr">
        <is>
          <t>Hilux</t>
        </is>
      </c>
      <c r="E30" s="72" t="inlineStr">
        <is>
          <t>1DLV04</t>
        </is>
      </c>
      <c r="F30" s="73" t="n">
        <v>1</v>
      </c>
      <c r="G30" s="74" t="inlineStr">
        <is>
          <t>Sea Container 20ft</t>
        </is>
      </c>
      <c r="H30" s="25" t="n">
        <v>951200</v>
      </c>
      <c r="I30" s="30" t="n">
        <v>1</v>
      </c>
    </row>
    <row r="31" ht="23.25" customHeight="1">
      <c r="A31" s="75" t="inlineStr">
        <is>
          <t>Watercart</t>
        </is>
      </c>
      <c r="B31" s="72" t="inlineStr">
        <is>
          <t>A119</t>
        </is>
      </c>
      <c r="C31" s="106" t="n">
        <v>2</v>
      </c>
      <c r="D31" s="71" t="n"/>
      <c r="E31" s="25" t="n"/>
      <c r="F31" s="73" t="n"/>
      <c r="G31" s="74" t="inlineStr">
        <is>
          <t>Site Sentry Tower</t>
        </is>
      </c>
      <c r="H31" s="72" t="inlineStr">
        <is>
          <t>NA</t>
        </is>
      </c>
      <c r="I31" s="30" t="n">
        <v>2</v>
      </c>
    </row>
    <row r="32" ht="23.25" customHeight="1">
      <c r="A32" s="75" t="inlineStr">
        <is>
          <t>8T Excavator</t>
        </is>
      </c>
      <c r="B32" s="76" t="inlineStr">
        <is>
          <t>AMG 014</t>
        </is>
      </c>
      <c r="C32" s="106" t="n">
        <v>5</v>
      </c>
      <c r="D32" s="71" t="n"/>
      <c r="E32" s="72" t="n"/>
      <c r="F32" s="73" t="n"/>
      <c r="G32" s="74" t="inlineStr">
        <is>
          <t>Skip Bin</t>
        </is>
      </c>
      <c r="H32" s="72" t="inlineStr">
        <is>
          <t>NA</t>
        </is>
      </c>
      <c r="I32" s="30" t="n">
        <v>1</v>
      </c>
    </row>
    <row r="33" ht="23.25" customHeight="1">
      <c r="A33" s="75" t="inlineStr">
        <is>
          <t>Mini Tipper</t>
        </is>
      </c>
      <c r="B33" s="72" t="inlineStr">
        <is>
          <t>SLS04</t>
        </is>
      </c>
      <c r="C33" s="26" t="n"/>
      <c r="D33" s="71" t="n"/>
      <c r="E33" s="72" t="n"/>
      <c r="F33" s="73" t="n"/>
      <c r="G33" s="74" t="inlineStr">
        <is>
          <t>Hydrocarbon Bund</t>
        </is>
      </c>
      <c r="H33" s="72" t="inlineStr">
        <is>
          <t>NA</t>
        </is>
      </c>
      <c r="I33" s="30" t="n">
        <v>1</v>
      </c>
    </row>
    <row r="34" ht="23.25" customHeight="1">
      <c r="A34" s="75" t="inlineStr">
        <is>
          <t>Skid Steer</t>
        </is>
      </c>
      <c r="B34" s="72" t="inlineStr">
        <is>
          <t>SLS03</t>
        </is>
      </c>
      <c r="C34" s="26" t="n"/>
      <c r="D34" s="71" t="n"/>
      <c r="E34" s="72" t="n"/>
      <c r="F34" s="73" t="n"/>
      <c r="G34" s="74" t="inlineStr">
        <is>
          <t>Temp Fence</t>
        </is>
      </c>
      <c r="H34" s="25" t="inlineStr">
        <is>
          <t>NA</t>
        </is>
      </c>
      <c r="I34" s="30" t="n">
        <v>1</v>
      </c>
    </row>
    <row r="35" ht="23.25" customHeight="1">
      <c r="A35" s="75" t="inlineStr">
        <is>
          <t>1t Excavator</t>
        </is>
      </c>
      <c r="B35" s="72" t="inlineStr">
        <is>
          <t>SLS02</t>
        </is>
      </c>
      <c r="C35" s="26" t="n"/>
      <c r="D35" s="71" t="n"/>
      <c r="E35" s="72" t="n"/>
      <c r="F35" s="73" t="n"/>
      <c r="G35" s="74" t="n"/>
      <c r="H35" s="25" t="n"/>
      <c r="I35" s="30" t="n"/>
    </row>
    <row r="36" ht="23.25" customHeight="1">
      <c r="A36" s="75" t="inlineStr">
        <is>
          <t>1t Excavator</t>
        </is>
      </c>
      <c r="B36" s="72" t="inlineStr">
        <is>
          <t>DEX30</t>
        </is>
      </c>
      <c r="C36" s="26" t="n"/>
      <c r="D36" s="71" t="n"/>
      <c r="E36" s="72" t="n"/>
      <c r="F36" s="73" t="n"/>
      <c r="G36" s="74" t="n"/>
      <c r="H36" s="25" t="n"/>
      <c r="I36" s="30" t="n"/>
    </row>
    <row r="37" ht="24" customHeight="1">
      <c r="A37" s="75" t="inlineStr">
        <is>
          <t>8T Excavator (Wheeled)</t>
        </is>
      </c>
      <c r="B37" s="72" t="inlineStr">
        <is>
          <t>BCC12</t>
        </is>
      </c>
      <c r="C37" s="26" t="n">
        <v>4</v>
      </c>
      <c r="D37" s="71" t="n"/>
      <c r="E37" s="72" t="n"/>
      <c r="F37" s="73" t="n"/>
      <c r="G37" s="77" t="n"/>
      <c r="H37" s="78" t="n"/>
      <c r="I37" s="79" t="n"/>
    </row>
    <row r="38" ht="24" customHeight="1">
      <c r="A38" s="75" t="inlineStr">
        <is>
          <t>14t Excavator with GPS</t>
        </is>
      </c>
      <c r="B38" s="72" t="inlineStr">
        <is>
          <t>EX197</t>
        </is>
      </c>
      <c r="C38" s="26" t="n"/>
      <c r="D38" s="71" t="n"/>
      <c r="E38" s="72" t="n"/>
      <c r="F38" s="73" t="n"/>
      <c r="G38" s="77" t="n"/>
      <c r="H38" s="78" t="n"/>
      <c r="I38" s="79" t="n"/>
    </row>
    <row r="39" ht="24" customHeight="1" thickBot="1">
      <c r="A39" s="75" t="inlineStr">
        <is>
          <t>Roller</t>
        </is>
      </c>
      <c r="B39" s="72" t="inlineStr">
        <is>
          <t>R538</t>
        </is>
      </c>
      <c r="C39" s="106" t="n">
        <v>2</v>
      </c>
      <c r="D39" s="71" t="n"/>
      <c r="E39" s="72" t="n"/>
      <c r="F39" s="73" t="n"/>
      <c r="G39" s="77" t="n"/>
      <c r="H39" s="78" t="n"/>
      <c r="I39" s="79" t="n"/>
    </row>
    <row r="40" ht="24" customHeight="1" thickTop="1">
      <c r="A40" s="85" t="n">
        <v>0</v>
      </c>
      <c r="B40" s="158" t="inlineStr">
        <is>
          <t xml:space="preserve">Repairs Required </t>
        </is>
      </c>
      <c r="C40" s="239" t="n"/>
      <c r="D40" s="160" t="inlineStr">
        <is>
          <t>NA</t>
        </is>
      </c>
      <c r="E40" s="240" t="n"/>
      <c r="F40" s="240" t="n"/>
      <c r="G40" s="240" t="n"/>
      <c r="H40" s="240" t="n"/>
      <c r="I40" s="241" t="n"/>
    </row>
    <row r="41" ht="24" customHeight="1">
      <c r="A41" s="86" t="n">
        <v>0</v>
      </c>
      <c r="B41" s="163" t="inlineStr">
        <is>
          <t>Scheduled Service</t>
        </is>
      </c>
      <c r="C41" s="234" t="n"/>
      <c r="D41" s="165" t="inlineStr">
        <is>
          <t>NA</t>
        </is>
      </c>
      <c r="E41" s="233" t="n"/>
      <c r="F41" s="233" t="n"/>
      <c r="G41" s="233" t="n"/>
      <c r="H41" s="233" t="n"/>
      <c r="I41" s="235" t="n"/>
    </row>
    <row r="42" ht="24" customHeight="1" thickBot="1">
      <c r="A42" s="87" t="n">
        <v>0</v>
      </c>
      <c r="B42" s="168" t="inlineStr">
        <is>
          <t>Repairs Required but Operable</t>
        </is>
      </c>
      <c r="C42" s="242" t="n"/>
      <c r="D42" s="170" t="inlineStr">
        <is>
          <t>NA</t>
        </is>
      </c>
      <c r="E42" s="243" t="n"/>
      <c r="F42" s="243" t="n"/>
      <c r="G42" s="243" t="n"/>
      <c r="H42" s="243" t="n"/>
      <c r="I42" s="244" t="n"/>
    </row>
    <row r="43" ht="23.25" customHeight="1" thickTop="1">
      <c r="A43" s="173" t="inlineStr">
        <is>
          <t xml:space="preserve">Total Plant and Equipment Hours: </t>
        </is>
      </c>
      <c r="B43" s="245" t="n"/>
      <c r="C43" s="88">
        <f>SUM(C29:C39)</f>
        <v/>
      </c>
      <c r="D43" s="175" t="n"/>
      <c r="E43" s="231" t="n"/>
      <c r="F43" s="231" t="n"/>
      <c r="G43" s="231" t="n"/>
      <c r="H43" s="231" t="n"/>
      <c r="I43" s="232" t="n"/>
    </row>
    <row r="44" ht="25" customHeight="1">
      <c r="A44" s="146" t="inlineStr">
        <is>
          <t>DELAYS-OPPORTUNITY</t>
        </is>
      </c>
      <c r="B44" s="233" t="n"/>
      <c r="C44" s="233" t="n"/>
      <c r="D44" s="233" t="n"/>
      <c r="E44" s="233" t="n"/>
      <c r="F44" s="233" t="n"/>
      <c r="G44" s="233" t="n"/>
      <c r="H44" s="233" t="n"/>
      <c r="I44" s="235" t="n"/>
    </row>
    <row r="45" ht="69" customHeight="1" thickBot="1">
      <c r="A45" s="215" t="inlineStr">
        <is>
          <t>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Lateral reticulation pipes hit multiple times during NBN pit installation due to relocation within NBN alignment. Multitude of rework identified.
Vacuum truck used for light poles in locations indicating possible service interfaces. 
Issues around Watercorp Connection Identified
Works stopped  multiple times due to rain</t>
        </is>
      </c>
      <c r="B45" s="236" t="n"/>
      <c r="C45" s="236" t="n"/>
      <c r="D45" s="236" t="n"/>
      <c r="E45" s="236" t="n"/>
      <c r="F45" s="236" t="n"/>
      <c r="G45" s="236" t="n"/>
      <c r="H45" s="236" t="n"/>
      <c r="I45" s="237" t="n"/>
    </row>
    <row r="46" ht="45" customHeight="1" thickBot="1">
      <c r="A46" s="228" t="n"/>
      <c r="I46" s="229" t="n"/>
    </row>
    <row r="47" hidden="1" ht="9.75" customHeight="1" thickBot="1">
      <c r="A47" s="246" t="n"/>
      <c r="B47" s="247" t="n"/>
      <c r="C47" s="247" t="n"/>
      <c r="D47" s="247" t="n"/>
      <c r="E47" s="247" t="n"/>
      <c r="F47" s="247" t="n"/>
      <c r="G47" s="247" t="n"/>
      <c r="H47" s="247" t="n"/>
      <c r="I47" s="248" t="n"/>
    </row>
    <row r="48" ht="25" customHeight="1">
      <c r="A48" s="185" t="inlineStr">
        <is>
          <t>HSEQ MESSAGES</t>
        </is>
      </c>
      <c r="B48" s="249" t="n"/>
      <c r="C48" s="249" t="n"/>
      <c r="D48" s="249" t="n"/>
      <c r="E48" s="249" t="n"/>
      <c r="F48" s="249" t="n"/>
      <c r="G48" s="249" t="n"/>
      <c r="H48" s="249" t="n"/>
      <c r="I48" s="250" t="n"/>
    </row>
    <row r="49" ht="24" customHeight="1">
      <c r="A49" s="89" t="inlineStr">
        <is>
          <t>TCD - Monthly Safety Focus:</t>
        </is>
      </c>
      <c r="B49" s="155" t="inlineStr">
        <is>
          <t>Cyclones &amp; Wet Weather</t>
        </is>
      </c>
      <c r="C49" s="233" t="n"/>
      <c r="D49" s="233" t="n"/>
      <c r="E49" s="233" t="n"/>
      <c r="F49" s="233" t="n"/>
      <c r="G49" s="233" t="n"/>
      <c r="H49" s="233" t="n"/>
      <c r="I49" s="234" t="n"/>
    </row>
    <row r="50" ht="24" customHeight="1">
      <c r="A50" s="89" t="inlineStr">
        <is>
          <t>TCD - Daily Safety Focus:</t>
        </is>
      </c>
      <c r="B50" s="188" t="inlineStr">
        <is>
          <t>Planning task</t>
        </is>
      </c>
      <c r="C50" s="233" t="n"/>
      <c r="D50" s="233" t="n"/>
      <c r="E50" s="233" t="n"/>
      <c r="F50" s="233" t="n"/>
      <c r="G50" s="233" t="n"/>
      <c r="H50" s="233" t="n"/>
      <c r="I50" s="235" t="n"/>
    </row>
    <row r="51" ht="24" customHeight="1">
      <c r="A51" s="90" t="inlineStr">
        <is>
          <t xml:space="preserve">Hazards Reported: </t>
        </is>
      </c>
      <c r="B51" s="188" t="inlineStr">
        <is>
          <t>Nil</t>
        </is>
      </c>
      <c r="C51" s="233" t="n"/>
      <c r="D51" s="233" t="n"/>
      <c r="E51" s="233" t="n"/>
      <c r="F51" s="233" t="n"/>
      <c r="G51" s="233" t="n"/>
      <c r="H51" s="233" t="n"/>
      <c r="I51" s="235" t="n"/>
    </row>
    <row r="52" ht="24" customHeight="1">
      <c r="A52" s="90" t="inlineStr">
        <is>
          <t>Incident Free Days</t>
        </is>
      </c>
      <c r="B52" s="251" t="n">
        <v>2</v>
      </c>
      <c r="C52" s="233" t="n"/>
      <c r="D52" s="233" t="n"/>
      <c r="E52" s="233" t="n"/>
      <c r="F52" s="233" t="n"/>
      <c r="G52" s="233" t="n"/>
      <c r="H52" s="233" t="n"/>
      <c r="I52" s="235" t="n"/>
    </row>
    <row r="53" ht="24" customHeight="1">
      <c r="A53" s="91" t="inlineStr">
        <is>
          <t>Other Notes</t>
        </is>
      </c>
      <c r="B53" s="197" t="inlineStr">
        <is>
          <t>NA</t>
        </is>
      </c>
      <c r="C53" s="236" t="n"/>
      <c r="D53" s="236" t="n"/>
      <c r="E53" s="236" t="n"/>
      <c r="F53" s="236" t="n"/>
      <c r="G53" s="236" t="n"/>
      <c r="H53" s="236" t="n"/>
      <c r="I53" s="237" t="n"/>
    </row>
    <row r="54" ht="20.25" customHeight="1">
      <c r="A54" s="146" t="inlineStr">
        <is>
          <t xml:space="preserve">INCIDENTS &amp; REPORTS </t>
        </is>
      </c>
      <c r="B54" s="233" t="n"/>
      <c r="C54" s="233" t="n"/>
      <c r="D54" s="233" t="n"/>
      <c r="E54" s="233" t="n"/>
      <c r="F54" s="233" t="n"/>
      <c r="G54" s="233" t="n"/>
      <c r="H54" s="233" t="n"/>
      <c r="I54" s="235" t="n"/>
    </row>
    <row r="55" ht="20" customHeight="1">
      <c r="A55" s="92" t="n"/>
      <c r="B55" s="93" t="inlineStr">
        <is>
          <t>QTY</t>
        </is>
      </c>
      <c r="C55" s="200" t="inlineStr">
        <is>
          <t>Comments</t>
        </is>
      </c>
      <c r="D55" s="233" t="n"/>
      <c r="E55" s="233" t="n"/>
      <c r="F55" s="233" t="n"/>
      <c r="G55" s="233" t="n"/>
      <c r="H55" s="233" t="n"/>
      <c r="I55" s="235" t="n"/>
    </row>
    <row r="56" ht="24" customHeight="1">
      <c r="A56" s="48" t="inlineStr">
        <is>
          <t>INCIDENT</t>
        </is>
      </c>
      <c r="B56" s="25" t="n">
        <v>0</v>
      </c>
      <c r="C56" s="201" t="inlineStr">
        <is>
          <t>NA</t>
        </is>
      </c>
      <c r="D56" s="236" t="n"/>
      <c r="E56" s="236" t="n"/>
      <c r="F56" s="236" t="n"/>
      <c r="G56" s="236" t="n"/>
      <c r="H56" s="236" t="n"/>
      <c r="I56" s="237" t="n"/>
    </row>
    <row r="57" ht="24" customHeight="1">
      <c r="A57" s="101" t="inlineStr">
        <is>
          <t>IR</t>
        </is>
      </c>
      <c r="B57" s="34" t="n">
        <v>0</v>
      </c>
      <c r="C57" s="201" t="inlineStr">
        <is>
          <t>NA</t>
        </is>
      </c>
      <c r="D57" s="236" t="n"/>
      <c r="E57" s="236" t="n"/>
      <c r="F57" s="236" t="n"/>
      <c r="G57" s="236" t="n"/>
      <c r="H57" s="236" t="n"/>
      <c r="I57" s="237" t="n"/>
    </row>
    <row r="58" ht="24" customHeight="1" thickBot="1">
      <c r="A58" s="102" t="inlineStr">
        <is>
          <t>NCR</t>
        </is>
      </c>
      <c r="B58" s="103" t="n">
        <v>0</v>
      </c>
      <c r="C58" s="204" t="inlineStr">
        <is>
          <t>NA</t>
        </is>
      </c>
      <c r="D58" s="252" t="n"/>
      <c r="E58" s="252" t="n"/>
      <c r="F58" s="252" t="n"/>
      <c r="G58" s="252" t="n"/>
      <c r="H58" s="252" t="n"/>
      <c r="I58" s="253" t="n"/>
    </row>
    <row r="59" ht="20.25" customHeight="1">
      <c r="A59" s="185" t="inlineStr">
        <is>
          <t>COMMUNICATIONS</t>
        </is>
      </c>
      <c r="B59" s="249" t="n"/>
      <c r="C59" s="249" t="n"/>
      <c r="D59" s="249" t="n"/>
      <c r="E59" s="249" t="n"/>
      <c r="F59" s="249" t="n"/>
      <c r="G59" s="249" t="n"/>
      <c r="H59" s="249" t="n"/>
      <c r="I59" s="250" t="n"/>
    </row>
    <row r="60" ht="25" customHeight="1">
      <c r="A60" s="207" t="inlineStr">
        <is>
          <t>TGS MB1119-05 Scheme D implemented</t>
        </is>
      </c>
      <c r="B60" s="233" t="n"/>
      <c r="C60" s="233" t="n"/>
      <c r="D60" s="233" t="n"/>
      <c r="E60" s="233" t="n"/>
      <c r="F60" s="233" t="n"/>
      <c r="G60" s="233" t="n"/>
      <c r="H60" s="233" t="n"/>
      <c r="I60" s="235" t="n"/>
    </row>
    <row r="61" ht="25" customHeight="1">
      <c r="A61" s="146" t="inlineStr">
        <is>
          <t>PRODUCTION (CONSTRUCTION STATUS &amp; PROGRESS)</t>
        </is>
      </c>
      <c r="B61" s="233" t="n"/>
      <c r="C61" s="233" t="n"/>
      <c r="D61" s="233" t="n"/>
      <c r="E61" s="233" t="n"/>
      <c r="F61" s="233" t="n"/>
      <c r="G61" s="233" t="n"/>
      <c r="H61" s="233" t="n"/>
      <c r="I61" s="235" t="n"/>
    </row>
    <row r="62" ht="24" customHeight="1">
      <c r="A62" s="207" t="inlineStr">
        <is>
          <t>Ground Prep works, conditioning and rolling for Paving at intersection is ongoing</t>
        </is>
      </c>
      <c r="B62" s="233" t="n"/>
      <c r="C62" s="233" t="n"/>
      <c r="D62" s="233" t="n"/>
      <c r="E62" s="233" t="n"/>
      <c r="F62" s="233" t="n"/>
      <c r="G62" s="233" t="n"/>
      <c r="H62" s="233" t="n"/>
      <c r="I62" s="235" t="n"/>
    </row>
    <row r="63" ht="24" customHeight="1">
      <c r="A63" s="207" t="inlineStr">
        <is>
          <t>Paving at Forrest street entrance is ongoing</t>
        </is>
      </c>
      <c r="B63" s="233" t="n"/>
      <c r="C63" s="233" t="n"/>
      <c r="D63" s="233" t="n"/>
      <c r="E63" s="233" t="n"/>
      <c r="F63" s="233" t="n"/>
      <c r="G63" s="233" t="n"/>
      <c r="H63" s="233" t="n"/>
      <c r="I63" s="235" t="n"/>
    </row>
    <row r="64" ht="24" customHeight="1">
      <c r="A64" s="207" t="inlineStr">
        <is>
          <t>Preparation for tree placement is ongoing</t>
        </is>
      </c>
      <c r="B64" s="233" t="n"/>
      <c r="C64" s="233" t="n"/>
      <c r="D64" s="233" t="n"/>
      <c r="E64" s="233" t="n"/>
      <c r="F64" s="233" t="n"/>
      <c r="G64" s="233" t="n"/>
      <c r="H64" s="233" t="n"/>
      <c r="I64" s="235" t="n"/>
    </row>
    <row r="65" ht="24" customHeight="1">
      <c r="A65" s="207" t="inlineStr">
        <is>
          <t>Electrical conduits installation in Laneway is ongoing</t>
        </is>
      </c>
      <c r="B65" s="233" t="n"/>
      <c r="C65" s="233" t="n"/>
      <c r="D65" s="233" t="n"/>
      <c r="E65" s="233" t="n"/>
      <c r="F65" s="233" t="n"/>
      <c r="G65" s="233" t="n"/>
      <c r="H65" s="233" t="n"/>
      <c r="I65" s="235" t="n"/>
    </row>
    <row r="66" ht="24" customHeight="1">
      <c r="A66" s="254" t="inlineStr">
        <is>
          <t>Holes for furniture footings is ongoing</t>
        </is>
      </c>
      <c r="B66" s="233" t="n"/>
      <c r="C66" s="233" t="n"/>
      <c r="D66" s="233" t="n"/>
      <c r="E66" s="233" t="n"/>
      <c r="F66" s="233" t="n"/>
      <c r="G66" s="233" t="n"/>
      <c r="H66" s="233" t="n"/>
      <c r="I66" s="235" t="n"/>
    </row>
    <row r="67" ht="26.25" customHeight="1">
      <c r="A67" s="148" t="inlineStr">
        <is>
          <t>Photos</t>
        </is>
      </c>
      <c r="B67" s="236" t="n"/>
      <c r="C67" s="236" t="n"/>
      <c r="D67" s="236" t="n"/>
      <c r="E67" s="236" t="n"/>
      <c r="F67" s="236" t="n"/>
      <c r="G67" s="236" t="n"/>
      <c r="H67" s="236" t="n"/>
      <c r="I67" s="237" t="n"/>
    </row>
    <row r="68" ht="23.25" customHeight="1">
      <c r="A68" s="94" t="n"/>
      <c r="B68" s="95" t="n"/>
      <c r="C68" s="95" t="n"/>
      <c r="D68" s="95" t="n"/>
      <c r="E68" s="95" t="n"/>
      <c r="F68" s="95" t="n"/>
      <c r="G68" s="95" t="n"/>
      <c r="H68" s="95" t="n"/>
      <c r="I68" s="96"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104" t="n"/>
      <c r="B74" s="95" t="n"/>
      <c r="C74" s="95" t="n"/>
      <c r="D74" s="95" t="n"/>
      <c r="E74" s="95" t="n"/>
      <c r="F74" s="95" t="n"/>
      <c r="G74" s="95" t="n"/>
      <c r="H74" s="95" t="n"/>
      <c r="I74" s="96" t="n"/>
    </row>
    <row r="75" ht="15" customHeight="1">
      <c r="A75" s="9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25" customFormat="1" customHeight="1" s="97">
      <c r="A96" s="94" t="n"/>
      <c r="B96" s="95" t="n"/>
      <c r="C96" s="95" t="n"/>
      <c r="D96" s="95" t="n"/>
      <c r="E96" s="95" t="n"/>
      <c r="F96" s="95" t="n"/>
      <c r="G96" s="95" t="n"/>
      <c r="H96" s="95" t="n"/>
      <c r="I96" s="96" t="n"/>
    </row>
    <row r="97" ht="15" customHeight="1">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c r="A103" s="94" t="n"/>
      <c r="B103" s="95" t="n"/>
      <c r="C103" s="95" t="n"/>
      <c r="D103" s="95" t="n"/>
      <c r="E103" s="95" t="n"/>
      <c r="F103" s="95" t="n"/>
      <c r="G103" s="95" t="n"/>
      <c r="H103" s="95" t="n"/>
      <c r="I103" s="96"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25" customHeight="1">
      <c r="A120" s="94" t="n"/>
      <c r="B120" s="95" t="n"/>
      <c r="C120" s="95" t="n"/>
      <c r="D120" s="95" t="n"/>
      <c r="E120" s="95" t="n"/>
      <c r="F120" s="95" t="n"/>
      <c r="G120" s="95" t="n"/>
      <c r="H120" s="95" t="n"/>
      <c r="I120" s="96" t="n"/>
    </row>
    <row r="121" ht="1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28" customHeight="1">
      <c r="A123" s="94" t="n"/>
      <c r="B123" s="95" t="n"/>
      <c r="C123" s="95" t="n"/>
      <c r="D123" s="95" t="n"/>
      <c r="E123" s="95" t="n"/>
      <c r="F123" s="95" t="n"/>
      <c r="G123" s="95" t="n"/>
      <c r="H123" s="95" t="n"/>
      <c r="I123" s="96" t="n"/>
    </row>
    <row r="124" ht="15"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6" customHeight="1">
      <c r="A143" s="94" t="n"/>
      <c r="B143" s="95" t="n"/>
      <c r="C143" s="95" t="n"/>
      <c r="D143" s="95" t="n"/>
      <c r="E143" s="95" t="n"/>
      <c r="F143" s="95" t="n"/>
      <c r="G143" s="95" t="n"/>
      <c r="H143" s="95" t="n"/>
      <c r="I143" s="96" t="n"/>
    </row>
    <row r="144" ht="56.25" customHeight="1">
      <c r="A144" s="94" t="n"/>
      <c r="B144" s="95" t="n"/>
      <c r="C144" s="95" t="n"/>
      <c r="D144" s="95" t="n"/>
      <c r="E144" s="95" t="n"/>
      <c r="F144" s="95" t="n"/>
      <c r="G144" s="95" t="n"/>
      <c r="H144" s="95" t="n"/>
      <c r="I144" s="96" t="n"/>
    </row>
    <row r="145">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c r="J149" s="95" t="n"/>
      <c r="K149" s="95" t="n"/>
      <c r="L149" s="95" t="n"/>
    </row>
    <row r="150">
      <c r="A150" s="94" t="n"/>
      <c r="B150" s="95" t="n"/>
      <c r="C150" s="95" t="n"/>
      <c r="D150" s="95" t="n"/>
      <c r="E150" s="95" t="n"/>
      <c r="F150" s="95" t="n"/>
      <c r="G150" s="95" t="n"/>
      <c r="H150" s="95" t="n"/>
      <c r="I150" s="96"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c r="J170" s="95" t="n"/>
      <c r="K170" s="95" t="n"/>
      <c r="L170" s="95" t="n"/>
      <c r="M170" s="95" t="n"/>
      <c r="N170" s="95" t="n"/>
    </row>
    <row r="171">
      <c r="A171" s="94" t="n"/>
      <c r="B171" s="95" t="n"/>
      <c r="C171" s="95" t="n"/>
      <c r="D171" s="95" t="n"/>
      <c r="E171" s="95" t="n"/>
      <c r="F171" s="95" t="n"/>
      <c r="G171" s="95" t="n"/>
      <c r="H171" s="95" t="n"/>
      <c r="I171" s="96" t="n"/>
      <c r="J171" s="95" t="n"/>
      <c r="K171" s="95" t="n"/>
      <c r="L171" s="95" t="n"/>
      <c r="M171" s="95" t="n"/>
      <c r="N171" s="95" t="n"/>
    </row>
    <row r="172">
      <c r="A172" s="94" t="n"/>
      <c r="B172" s="95" t="n"/>
      <c r="C172" s="95" t="n"/>
      <c r="D172" s="95" t="n"/>
      <c r="E172" s="95" t="n"/>
      <c r="F172" s="95" t="n"/>
      <c r="G172" s="95" t="n"/>
      <c r="H172" s="95" t="n"/>
      <c r="I172" s="96" t="n"/>
      <c r="J172" s="95" t="n"/>
      <c r="K172" s="95" t="n"/>
      <c r="L172" s="95" t="n"/>
      <c r="M172" s="95" t="n"/>
      <c r="N172" s="95" t="n"/>
    </row>
    <row r="173">
      <c r="A173" s="94" t="n"/>
      <c r="B173" s="95" t="n"/>
      <c r="C173" s="95" t="n"/>
      <c r="D173" s="95" t="n"/>
      <c r="E173" s="95" t="n"/>
      <c r="F173" s="95" t="n"/>
      <c r="G173" s="95" t="n"/>
      <c r="H173" s="95" t="n"/>
      <c r="I173" s="96" t="n"/>
      <c r="J173" s="95" t="n"/>
      <c r="K173" s="95" t="n"/>
      <c r="L173" s="95" t="n"/>
      <c r="M173" s="95" t="n"/>
      <c r="N173" s="95" t="n"/>
    </row>
    <row r="174">
      <c r="A174" s="94" t="n"/>
      <c r="B174" s="95" t="n"/>
      <c r="C174" s="95" t="n"/>
      <c r="D174" s="95" t="n"/>
      <c r="E174" s="95" t="n"/>
      <c r="F174" s="95" t="n"/>
      <c r="G174" s="95" t="n"/>
      <c r="H174" s="95" t="n"/>
      <c r="I174" s="96" t="n"/>
      <c r="J174" s="95" t="n"/>
      <c r="K174" s="95" t="n"/>
      <c r="L174" s="95" t="n"/>
      <c r="M174" s="95" t="n"/>
      <c r="N174" s="95" t="n"/>
    </row>
    <row r="175">
      <c r="A175" s="94" t="n"/>
      <c r="B175" s="95" t="n"/>
      <c r="C175" s="95" t="n"/>
      <c r="D175" s="95" t="n"/>
      <c r="E175" s="95" t="n"/>
      <c r="F175" s="95" t="n"/>
      <c r="G175" s="95" t="n"/>
      <c r="H175" s="95" t="n"/>
      <c r="I175" s="96" t="n"/>
      <c r="J175" s="95" t="n"/>
      <c r="K175" s="95" t="n"/>
      <c r="L175" s="95" t="n"/>
      <c r="M175" s="95" t="n"/>
      <c r="N175" s="95" t="n"/>
    </row>
    <row r="176">
      <c r="A176" s="94" t="n"/>
      <c r="B176" s="95" t="n"/>
      <c r="C176" s="95" t="n"/>
      <c r="D176" s="95" t="n"/>
      <c r="E176" s="95" t="n"/>
      <c r="F176" s="95" t="n"/>
      <c r="G176" s="95" t="n"/>
      <c r="H176" s="95" t="n"/>
      <c r="I176" s="96" t="n"/>
      <c r="J176" s="95" t="n"/>
      <c r="K176" s="95" t="n"/>
      <c r="L176" s="95" t="n"/>
      <c r="M176" s="95" t="n"/>
      <c r="N176" s="95" t="n"/>
    </row>
    <row r="177">
      <c r="A177" s="94" t="n"/>
      <c r="B177" s="95" t="n"/>
      <c r="C177" s="95" t="n"/>
      <c r="D177" s="95" t="n"/>
      <c r="E177" s="95" t="n"/>
      <c r="F177" s="95" t="n"/>
      <c r="G177" s="95" t="n"/>
      <c r="H177" s="95" t="n"/>
      <c r="I177" s="96" t="n"/>
      <c r="J177" s="95" t="n"/>
      <c r="K177" s="95" t="n"/>
      <c r="L177" s="95" t="n"/>
      <c r="M177" s="95" t="n"/>
      <c r="N177" s="95" t="n"/>
    </row>
    <row r="178">
      <c r="A178" s="94" t="n"/>
      <c r="B178" s="95" t="n"/>
      <c r="C178" s="95" t="n"/>
      <c r="D178" s="95" t="n"/>
      <c r="E178" s="95" t="n"/>
      <c r="F178" s="95" t="n"/>
      <c r="G178" s="95" t="n"/>
      <c r="H178" s="95" t="n"/>
      <c r="I178" s="96" t="n"/>
      <c r="J178" s="95" t="n"/>
      <c r="K178" s="95" t="n"/>
      <c r="L178" s="95" t="n"/>
      <c r="M178" s="95" t="n"/>
      <c r="N178" s="95" t="n"/>
    </row>
    <row r="179">
      <c r="A179" s="94" t="n"/>
      <c r="B179" s="95" t="n"/>
      <c r="C179" s="95" t="n"/>
      <c r="D179" s="95" t="n"/>
      <c r="E179" s="95" t="n"/>
      <c r="F179" s="95" t="n"/>
      <c r="G179" s="95" t="n"/>
      <c r="H179" s="95" t="n"/>
      <c r="I179" s="96" t="n"/>
      <c r="J179" s="95" t="n"/>
      <c r="K179" s="95" t="n"/>
      <c r="L179" s="95" t="n"/>
      <c r="M179" s="95" t="n"/>
      <c r="N179" s="95" t="n"/>
    </row>
    <row r="180">
      <c r="A180" s="94" t="n"/>
      <c r="B180" s="95" t="n"/>
      <c r="C180" s="95" t="n"/>
      <c r="D180" s="95" t="n"/>
      <c r="E180" s="95" t="n"/>
      <c r="F180" s="95" t="n"/>
      <c r="G180" s="95" t="n"/>
      <c r="H180" s="95" t="n"/>
      <c r="I180" s="96" t="n"/>
      <c r="J180" s="95" t="n"/>
      <c r="K180" s="95" t="n"/>
      <c r="L180" s="95" t="n"/>
      <c r="M180" s="95" t="n"/>
      <c r="N180" s="95" t="n"/>
    </row>
    <row r="181">
      <c r="A181" s="94" t="n"/>
      <c r="B181" s="95" t="n"/>
      <c r="C181" s="95" t="n"/>
      <c r="D181" s="95" t="n"/>
      <c r="E181" s="95" t="n"/>
      <c r="F181" s="95" t="n"/>
      <c r="G181" s="95" t="n"/>
      <c r="H181" s="95" t="n"/>
      <c r="I181" s="96" t="n"/>
      <c r="J181" s="95" t="n"/>
      <c r="K181" s="95" t="n"/>
      <c r="L181" s="95" t="n"/>
      <c r="M181" s="95" t="n"/>
      <c r="N181" s="95" t="n"/>
    </row>
    <row r="182">
      <c r="A182" s="94" t="n"/>
      <c r="B182" s="95" t="n"/>
      <c r="C182" s="95" t="n"/>
      <c r="D182" s="95" t="n"/>
      <c r="E182" s="95" t="n"/>
      <c r="F182" s="95" t="n"/>
      <c r="G182" s="95" t="n"/>
      <c r="H182" s="95" t="n"/>
      <c r="I182" s="96" t="n"/>
      <c r="J182" s="95" t="n"/>
      <c r="K182" s="95" t="n"/>
      <c r="L182" s="95" t="n"/>
      <c r="M182" s="95" t="n"/>
      <c r="N182" s="95" t="n"/>
    </row>
    <row r="183">
      <c r="A183" s="94" t="n"/>
      <c r="B183" s="95" t="n"/>
      <c r="C183" s="95" t="n"/>
      <c r="D183" s="95" t="n"/>
      <c r="E183" s="95" t="n"/>
      <c r="F183" s="95" t="n"/>
      <c r="G183" s="95" t="n"/>
      <c r="H183" s="95" t="n"/>
      <c r="I183" s="96" t="n"/>
      <c r="J183" s="95" t="n"/>
      <c r="K183" s="95" t="n"/>
      <c r="L183" s="95" t="n"/>
      <c r="M183" s="95" t="n"/>
      <c r="N183" s="95" t="n"/>
    </row>
    <row r="184">
      <c r="A184" s="94" t="n"/>
      <c r="B184" s="95" t="n"/>
      <c r="C184" s="95" t="n"/>
      <c r="D184" s="95" t="n"/>
      <c r="E184" s="95" t="n"/>
      <c r="F184" s="95" t="n"/>
      <c r="G184" s="95" t="n"/>
      <c r="H184" s="95" t="n"/>
      <c r="I184" s="96" t="n"/>
      <c r="J184" s="95" t="n"/>
      <c r="K184" s="95" t="n"/>
      <c r="L184" s="95" t="n"/>
      <c r="M184" s="95" t="n"/>
      <c r="N184" s="95" t="n"/>
    </row>
    <row r="185">
      <c r="A185" s="94" t="n"/>
      <c r="B185" s="95" t="n"/>
      <c r="C185" s="95" t="n"/>
      <c r="D185" s="95" t="n"/>
      <c r="E185" s="95" t="n"/>
      <c r="F185" s="95" t="n"/>
      <c r="G185" s="95" t="n"/>
      <c r="H185" s="95" t="n"/>
      <c r="I185" s="96" t="n"/>
      <c r="J185" s="95" t="n"/>
      <c r="K185" s="95" t="n"/>
      <c r="L185" s="95" t="n"/>
      <c r="M185" s="95" t="n"/>
      <c r="N185" s="95" t="n"/>
    </row>
    <row r="186">
      <c r="A186" s="94" t="n"/>
      <c r="B186" s="95" t="n"/>
      <c r="C186" s="95" t="n"/>
      <c r="D186" s="95" t="n"/>
      <c r="E186" s="95" t="n"/>
      <c r="F186" s="95" t="n"/>
      <c r="G186" s="95" t="n"/>
      <c r="H186" s="95" t="n"/>
      <c r="I186" s="96" t="n"/>
      <c r="J186" s="95" t="n"/>
      <c r="K186" s="95" t="n"/>
      <c r="L186" s="95" t="n"/>
      <c r="M186" s="95" t="n"/>
      <c r="N186" s="95" t="n"/>
    </row>
    <row r="187">
      <c r="A187" s="94" t="n"/>
      <c r="B187" s="95" t="n"/>
      <c r="C187" s="95" t="n"/>
      <c r="D187" s="95" t="n"/>
      <c r="E187" s="95" t="n"/>
      <c r="F187" s="95" t="n"/>
      <c r="G187" s="95" t="n"/>
      <c r="H187" s="95" t="n"/>
      <c r="I187" s="96" t="n"/>
      <c r="J187" s="95" t="n"/>
      <c r="K187" s="95" t="n"/>
      <c r="L187" s="95" t="n"/>
      <c r="M187" s="95" t="n"/>
      <c r="N187" s="95" t="n"/>
    </row>
    <row r="188">
      <c r="A188" s="94" t="n"/>
      <c r="B188" s="95" t="n"/>
      <c r="C188" s="95" t="n"/>
      <c r="D188" s="95" t="n"/>
      <c r="E188" s="95" t="n"/>
      <c r="F188" s="95" t="n"/>
      <c r="G188" s="95" t="n"/>
      <c r="H188" s="95" t="n"/>
      <c r="I188" s="96" t="n"/>
      <c r="J188" s="95" t="n"/>
      <c r="K188" s="95" t="n"/>
      <c r="L188" s="95" t="n"/>
      <c r="M188" s="95" t="n"/>
      <c r="N188" s="95" t="n"/>
    </row>
    <row r="189">
      <c r="A189" s="94" t="n"/>
      <c r="B189" s="95" t="n"/>
      <c r="C189" s="95" t="n"/>
      <c r="D189" s="95" t="n"/>
      <c r="E189" s="95" t="n"/>
      <c r="F189" s="95" t="n"/>
      <c r="G189" s="95" t="n"/>
      <c r="H189" s="95" t="n"/>
      <c r="I189" s="96" t="n"/>
      <c r="J189" s="95" t="n"/>
      <c r="K189" s="95" t="n"/>
      <c r="L189" s="95" t="n"/>
      <c r="M189" s="95" t="n"/>
      <c r="N189" s="95" t="n"/>
    </row>
    <row r="190">
      <c r="A190" s="94" t="n"/>
      <c r="B190" s="95" t="n"/>
      <c r="C190" s="95" t="n"/>
      <c r="D190" s="95" t="n"/>
      <c r="E190" s="95" t="n"/>
      <c r="F190" s="95" t="n"/>
      <c r="G190" s="95" t="n"/>
      <c r="H190" s="95" t="n"/>
      <c r="I190" s="96" t="n"/>
      <c r="J190" s="95" t="n"/>
      <c r="K190" s="95" t="n"/>
      <c r="L190" s="95" t="n"/>
      <c r="M190" s="95" t="n"/>
      <c r="N190" s="95" t="n"/>
    </row>
    <row r="191">
      <c r="A191" s="94" t="n"/>
      <c r="B191" s="95" t="n"/>
      <c r="C191" s="95" t="n"/>
      <c r="D191" s="95" t="n"/>
      <c r="E191" s="95" t="n"/>
      <c r="F191" s="95" t="n"/>
      <c r="G191" s="95" t="n"/>
      <c r="H191" s="95" t="n"/>
      <c r="I191" s="96" t="n"/>
      <c r="J191" s="95" t="n"/>
      <c r="K191" s="95" t="n"/>
      <c r="L191" s="95" t="n"/>
      <c r="M191" s="95" t="n"/>
      <c r="N191" s="95" t="n"/>
    </row>
    <row r="192">
      <c r="A192" s="94" t="n"/>
      <c r="B192" s="95" t="n"/>
      <c r="C192" s="95" t="n"/>
      <c r="D192" s="95" t="n"/>
      <c r="E192" s="95" t="n"/>
      <c r="F192" s="95" t="n"/>
      <c r="G192" s="95" t="n"/>
      <c r="H192" s="95" t="n"/>
      <c r="I192" s="96" t="n"/>
      <c r="J192" s="95" t="n"/>
      <c r="K192" s="95" t="n"/>
      <c r="L192" s="95" t="n"/>
      <c r="M192" s="95" t="n"/>
      <c r="N192" s="95" t="n"/>
    </row>
    <row r="193">
      <c r="A193" s="94" t="n"/>
      <c r="B193" s="95" t="n"/>
      <c r="C193" s="95" t="n"/>
      <c r="D193" s="95" t="n"/>
      <c r="E193" s="95" t="n"/>
      <c r="F193" s="95" t="n"/>
      <c r="G193" s="95" t="n"/>
      <c r="H193" s="95" t="n"/>
      <c r="I193" s="96" t="n"/>
      <c r="J193" s="95" t="n"/>
      <c r="K193" s="95" t="n"/>
      <c r="L193" s="95" t="n"/>
      <c r="M193" s="95" t="n"/>
      <c r="N193" s="95" t="n"/>
    </row>
    <row r="194">
      <c r="A194" s="94" t="n"/>
      <c r="B194" s="95" t="n"/>
      <c r="C194" s="95" t="n"/>
      <c r="D194" s="95" t="n"/>
      <c r="E194" s="95" t="n"/>
      <c r="F194" s="95" t="n"/>
      <c r="G194" s="95" t="n"/>
      <c r="H194" s="95" t="n"/>
      <c r="I194" s="96" t="n"/>
      <c r="J194" s="95" t="n"/>
      <c r="K194" s="95" t="n"/>
      <c r="L194" s="95" t="n"/>
      <c r="M194" s="95" t="n"/>
      <c r="N194" s="95" t="n"/>
    </row>
    <row r="195">
      <c r="A195" s="94" t="n"/>
      <c r="B195" s="95" t="n"/>
      <c r="C195" s="95" t="n"/>
      <c r="D195" s="95" t="n"/>
      <c r="E195" s="95" t="n"/>
      <c r="F195" s="95" t="n"/>
      <c r="G195" s="95" t="n"/>
      <c r="H195" s="95" t="n"/>
      <c r="I195" s="96" t="n"/>
      <c r="J195" s="95" t="n"/>
      <c r="K195" s="95" t="n"/>
      <c r="L195" s="95" t="n"/>
      <c r="M195" s="95" t="n"/>
      <c r="N195" s="95" t="n"/>
    </row>
    <row r="196">
      <c r="A196" s="94" t="n"/>
      <c r="B196" s="95" t="n"/>
      <c r="C196" s="95" t="n"/>
      <c r="D196" s="95" t="n"/>
      <c r="E196" s="95" t="n"/>
      <c r="F196" s="95" t="n"/>
      <c r="G196" s="95" t="n"/>
      <c r="H196" s="95" t="n"/>
      <c r="I196" s="96" t="n"/>
      <c r="J196" s="95" t="n"/>
      <c r="K196" s="95" t="n"/>
      <c r="L196" s="95" t="n"/>
      <c r="M196" s="95" t="n"/>
      <c r="N196" s="95" t="n"/>
    </row>
    <row r="197" ht="16" customHeight="1">
      <c r="A197" s="94" t="n"/>
      <c r="B197" s="95" t="n"/>
      <c r="C197" s="95" t="n"/>
      <c r="D197" s="95" t="n"/>
      <c r="E197" s="95" t="n"/>
      <c r="F197" s="95" t="n"/>
      <c r="G197" s="95" t="n"/>
      <c r="H197" s="95" t="n"/>
      <c r="I197" s="96" t="n"/>
      <c r="J197" s="95" t="n"/>
      <c r="K197" s="95" t="n"/>
      <c r="L197" s="95" t="n"/>
      <c r="M197" s="95" t="n"/>
      <c r="N197" s="95" t="n"/>
    </row>
    <row r="198">
      <c r="A198" s="94" t="n"/>
      <c r="B198" s="95" t="n"/>
      <c r="C198" s="95" t="n"/>
      <c r="D198" s="95" t="n"/>
      <c r="E198" s="95" t="n"/>
      <c r="F198" s="95" t="n"/>
      <c r="G198" s="95" t="n"/>
      <c r="H198" s="95" t="n"/>
      <c r="I198" s="96" t="n"/>
    </row>
    <row r="199">
      <c r="A199" s="94" t="n"/>
      <c r="B199" s="95" t="n"/>
      <c r="C199" s="95" t="n"/>
      <c r="D199" s="95" t="n"/>
      <c r="E199" s="95" t="n"/>
      <c r="F199" s="95" t="n"/>
      <c r="G199" s="95" t="n"/>
      <c r="H199" s="95" t="n"/>
      <c r="I199" s="96" t="n"/>
    </row>
    <row r="200">
      <c r="A200" s="94" t="n"/>
      <c r="B200" s="95" t="n"/>
      <c r="C200" s="95" t="n"/>
      <c r="D200" s="95" t="n"/>
      <c r="E200" s="95" t="n"/>
      <c r="F200" s="95" t="n"/>
      <c r="G200" s="95" t="n"/>
      <c r="H200" s="95" t="n"/>
      <c r="I200" s="96" t="n"/>
    </row>
    <row r="201" ht="19" customHeight="1" thickBot="1">
      <c r="A201" s="98" t="n"/>
      <c r="B201" s="99" t="n"/>
      <c r="C201" s="99" t="n"/>
      <c r="D201" s="99" t="n"/>
      <c r="E201" s="99" t="n"/>
      <c r="F201" s="99" t="n"/>
      <c r="G201" s="99" t="n"/>
      <c r="H201" s="99" t="n"/>
      <c r="I201" s="100" t="n"/>
      <c r="J201" s="95" t="n"/>
      <c r="K201" s="95" t="n"/>
      <c r="L201" s="95" t="n"/>
    </row>
    <row r="202">
      <c r="A202" s="95" t="n"/>
      <c r="B202" s="95" t="n"/>
      <c r="C202" s="95" t="n"/>
      <c r="D202" s="95" t="n"/>
      <c r="E202" s="95" t="n"/>
      <c r="F202" s="95" t="n"/>
      <c r="G202" s="95" t="n"/>
      <c r="H202" s="95" t="n"/>
      <c r="I202" s="95" t="n"/>
      <c r="J202" s="95" t="n"/>
      <c r="K202" s="95" t="n"/>
      <c r="L202" s="95" t="n"/>
    </row>
    <row r="203">
      <c r="A203" s="95" t="n"/>
      <c r="B203" s="95" t="n"/>
      <c r="C203" s="95" t="n"/>
      <c r="D203" s="95" t="n"/>
      <c r="E203" s="95" t="n"/>
      <c r="F203" s="95" t="n"/>
      <c r="G203" s="95" t="n"/>
      <c r="H203" s="95" t="n"/>
      <c r="I203" s="95" t="n"/>
      <c r="J203" s="95" t="n"/>
      <c r="K203" s="95" t="n"/>
      <c r="L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5" t="n"/>
      <c r="B207" s="95" t="n"/>
      <c r="C207" s="95" t="n"/>
      <c r="D207" s="95" t="n"/>
      <c r="E207" s="95" t="n"/>
      <c r="F207" s="95" t="n"/>
      <c r="G207" s="95" t="n"/>
      <c r="H207" s="95" t="n"/>
      <c r="I207" s="95" t="n"/>
      <c r="J207" s="95" t="n"/>
      <c r="K207" s="95" t="n"/>
      <c r="L207" s="95" t="n"/>
    </row>
    <row r="208">
      <c r="A208" s="94" t="n"/>
      <c r="B208" s="95" t="n"/>
      <c r="C208" s="95" t="n"/>
      <c r="D208" s="95" t="n"/>
      <c r="E208" s="95" t="n"/>
      <c r="F208" s="95" t="n"/>
      <c r="G208" s="95" t="n"/>
      <c r="H208" s="95" t="n"/>
      <c r="I208" s="95" t="n"/>
      <c r="J208" s="95" t="n"/>
      <c r="K208" s="95" t="n"/>
      <c r="L208" s="95" t="n"/>
    </row>
    <row r="209">
      <c r="A209" s="94" t="n"/>
      <c r="B209" s="95" t="n"/>
      <c r="C209" s="95" t="n"/>
      <c r="D209" s="95" t="n"/>
      <c r="E209" s="95" t="n"/>
      <c r="F209" s="95" t="n"/>
      <c r="G209" s="95" t="n"/>
      <c r="H209" s="95" t="n"/>
      <c r="I209" s="95" t="n"/>
      <c r="J209" s="95" t="n"/>
      <c r="K209" s="95" t="n"/>
      <c r="L209" s="95" t="n"/>
    </row>
    <row r="210">
      <c r="A210" s="94"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A218" s="94" t="n"/>
      <c r="B218" s="95" t="n"/>
      <c r="C218" s="95" t="n"/>
      <c r="D218" s="95" t="n"/>
      <c r="E218" s="95" t="n"/>
      <c r="F218" s="95" t="n"/>
      <c r="G218" s="95" t="n"/>
      <c r="H218" s="95" t="n"/>
      <c r="I218" s="95" t="n"/>
      <c r="J218" s="95" t="n"/>
      <c r="K218" s="95" t="n"/>
      <c r="L218" s="95" t="n"/>
    </row>
    <row r="219">
      <c r="G219" s="95" t="n"/>
      <c r="H219" s="95" t="n"/>
      <c r="I219" s="95" t="n"/>
      <c r="J219" s="95" t="n"/>
      <c r="K219" s="95" t="n"/>
      <c r="L219" s="95" t="n"/>
    </row>
    <row r="220">
      <c r="G220" s="95" t="n"/>
      <c r="H220" s="95" t="n"/>
      <c r="I220" s="95" t="n"/>
      <c r="J220" s="95" t="n"/>
      <c r="K220" s="95" t="n"/>
      <c r="L220" s="95" t="n"/>
    </row>
    <row r="221">
      <c r="G221" s="95" t="n"/>
      <c r="H221" s="95" t="n"/>
      <c r="I221" s="95" t="n"/>
      <c r="J221" s="95" t="n"/>
      <c r="K221" s="95" t="n"/>
      <c r="L221" s="95" t="n"/>
    </row>
  </sheetData>
  <mergeCells count="42">
    <mergeCell ref="A65:I65"/>
    <mergeCell ref="D13:F13"/>
    <mergeCell ref="G13:I13"/>
    <mergeCell ref="B8:D8"/>
    <mergeCell ref="D41:I41"/>
    <mergeCell ref="A66:I66"/>
    <mergeCell ref="A12:I12"/>
    <mergeCell ref="C57:I57"/>
    <mergeCell ref="D43:I43"/>
    <mergeCell ref="B52:I52"/>
    <mergeCell ref="A5:I5"/>
    <mergeCell ref="B42:C42"/>
    <mergeCell ref="B9:D9"/>
    <mergeCell ref="A62:I62"/>
    <mergeCell ref="B6:D6"/>
    <mergeCell ref="C58:I58"/>
    <mergeCell ref="A13:C13"/>
    <mergeCell ref="D42:I42"/>
    <mergeCell ref="B53:I53"/>
    <mergeCell ref="A63:I63"/>
    <mergeCell ref="A10:I10"/>
    <mergeCell ref="A1:I4"/>
    <mergeCell ref="A44:I44"/>
    <mergeCell ref="A67:I67"/>
    <mergeCell ref="B40:C40"/>
    <mergeCell ref="B7:D7"/>
    <mergeCell ref="A48:I48"/>
    <mergeCell ref="B49:I49"/>
    <mergeCell ref="C55:I55"/>
    <mergeCell ref="A64:I64"/>
    <mergeCell ref="A59:I59"/>
    <mergeCell ref="A11:I11"/>
    <mergeCell ref="A43:B43"/>
    <mergeCell ref="C56:I56"/>
    <mergeCell ref="A60:I60"/>
    <mergeCell ref="D40:I40"/>
    <mergeCell ref="B51:I51"/>
    <mergeCell ref="A45:I47"/>
    <mergeCell ref="A61:I61"/>
    <mergeCell ref="B41:C41"/>
    <mergeCell ref="B50:I50"/>
    <mergeCell ref="A54:I54"/>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102" min="0" max="8" man="1"/>
  </rowBreaks>
</worksheet>
</file>

<file path=xl/worksheets/sheet5.xml><?xml version="1.0" encoding="utf-8"?>
<worksheet xmlns="http://schemas.openxmlformats.org/spreadsheetml/2006/main">
  <sheetPr>
    <outlinePr summaryBelow="1" summaryRight="1"/>
    <pageSetUpPr fitToPage="1"/>
  </sheetPr>
  <dimension ref="A1:N221"/>
  <sheetViews>
    <sheetView view="pageBreakPreview" topLeftCell="A16" zoomScale="70" zoomScaleNormal="55" zoomScaleSheetLayoutView="70" workbookViewId="0">
      <selection activeCell="A61" sqref="A61:I66"/>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45967</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14-210C,  Wind:  54 km/h SSW, Precip: 8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v>3</v>
      </c>
    </row>
    <row r="17" ht="23.25" customHeight="1">
      <c r="A17" s="24" t="inlineStr">
        <is>
          <t>O"SHEA, John</t>
        </is>
      </c>
      <c r="B17" s="25" t="inlineStr">
        <is>
          <t>Senior Project Engineer</t>
        </is>
      </c>
      <c r="C17" s="26" t="n"/>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v>10</v>
      </c>
      <c r="D18" s="31" t="n"/>
      <c r="E18" s="32" t="n"/>
      <c r="F18" s="28" t="n"/>
      <c r="G18" s="29" t="inlineStr">
        <is>
          <t>Griffiths, Jaquai</t>
        </is>
      </c>
      <c r="H18" s="25" t="inlineStr">
        <is>
          <t>Operator</t>
        </is>
      </c>
      <c r="I18" s="30" t="n">
        <v>10</v>
      </c>
    </row>
    <row r="19" ht="23.25" customHeight="1">
      <c r="A19" s="24" t="inlineStr">
        <is>
          <t>THOMPSON,Cheryl</t>
        </is>
      </c>
      <c r="B19" s="25" t="inlineStr">
        <is>
          <t>HSET</t>
        </is>
      </c>
      <c r="C19" s="26" t="n"/>
      <c r="D19" s="31" t="n"/>
      <c r="E19" s="32" t="n"/>
      <c r="F19" s="28" t="n"/>
      <c r="G19" s="29" t="inlineStr">
        <is>
          <t>McConnell, Adam</t>
        </is>
      </c>
      <c r="H19" s="25" t="inlineStr">
        <is>
          <t>Labourer</t>
        </is>
      </c>
      <c r="I19" s="30" t="n">
        <v>12</v>
      </c>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v>12</v>
      </c>
      <c r="D21" s="31" t="n"/>
      <c r="E21" s="32" t="n"/>
      <c r="F21" s="28" t="n"/>
      <c r="G21" s="29" t="inlineStr">
        <is>
          <t>Pavers</t>
        </is>
      </c>
      <c r="H21" s="25" t="inlineStr">
        <is>
          <t>Pavers</t>
        </is>
      </c>
      <c r="I21" s="30" t="n">
        <v>30</v>
      </c>
    </row>
    <row r="22" ht="23.25" customHeight="1">
      <c r="A22" s="24" t="inlineStr">
        <is>
          <t>JOGI, Amit</t>
        </is>
      </c>
      <c r="B22" s="25" t="inlineStr">
        <is>
          <t>Project Engineer</t>
        </is>
      </c>
      <c r="C22" s="26" t="n">
        <v>12</v>
      </c>
      <c r="D22" s="31" t="n"/>
      <c r="E22" s="32" t="n"/>
      <c r="F22" s="28" t="n"/>
      <c r="G22" s="29" t="inlineStr">
        <is>
          <t>Think Water</t>
        </is>
      </c>
      <c r="H22" s="25" t="inlineStr">
        <is>
          <t>Irrigation</t>
        </is>
      </c>
      <c r="I22" s="127" t="n"/>
    </row>
    <row r="23" ht="23.25" customHeight="1" thickBot="1">
      <c r="A23" s="130" t="n"/>
      <c r="B23" s="120" t="n"/>
      <c r="C23" s="121" t="n"/>
      <c r="D23" s="122" t="n"/>
      <c r="E23" s="123" t="n"/>
      <c r="F23" s="124" t="n"/>
      <c r="G23" s="125" t="n"/>
      <c r="H23" s="126" t="n"/>
      <c r="I23" s="128" t="n"/>
    </row>
    <row r="24" ht="23.25" customHeight="1" thickTop="1">
      <c r="A24" s="173" t="inlineStr">
        <is>
          <t xml:space="preserve">Total Indirect Personnel onsite: </t>
        </is>
      </c>
      <c r="B24" s="116">
        <f>COUNT(C15:C23)</f>
        <v/>
      </c>
      <c r="C24" s="117" t="n"/>
      <c r="D24" s="118" t="inlineStr">
        <is>
          <t xml:space="preserve">Total Direct Personnel onsite:  </t>
        </is>
      </c>
      <c r="E24" s="116">
        <f>COUNT(F15:F23)</f>
        <v/>
      </c>
      <c r="F24" s="21" t="n"/>
      <c r="G24" s="119" t="inlineStr">
        <is>
          <t>Total Subcontractor on-site:</t>
        </is>
      </c>
      <c r="H24" s="116">
        <f>COUNT(I15:I22)</f>
        <v/>
      </c>
      <c r="I24" s="23" t="n"/>
    </row>
    <row r="25" ht="23.25" customHeight="1">
      <c r="A25" s="48" t="inlineStr">
        <is>
          <t xml:space="preserve">Total Indirect Personnel hours: </t>
        </is>
      </c>
      <c r="B25" s="93">
        <f>SUM(C15:C22)</f>
        <v/>
      </c>
      <c r="C25" s="52" t="n"/>
      <c r="D25" s="50" t="inlineStr">
        <is>
          <t xml:space="preserve">Total Direct Personnel hours: </t>
        </is>
      </c>
      <c r="E25" s="93">
        <f>SUM(F15:F16)</f>
        <v/>
      </c>
      <c r="F25" s="53" t="n"/>
      <c r="G25" s="51" t="inlineStr">
        <is>
          <t>Total Subcontractor hours:</t>
        </is>
      </c>
      <c r="H25" s="93">
        <f>SUM(I11:I22)</f>
        <v/>
      </c>
      <c r="I25" s="200" t="n"/>
    </row>
    <row r="26" ht="25" customHeight="1">
      <c r="A26" s="56" t="inlineStr">
        <is>
          <t>PLANT &amp; EQUIPMENT</t>
        </is>
      </c>
      <c r="B26" s="57" t="n"/>
      <c r="C26" s="57" t="n"/>
      <c r="D26" s="57" t="n"/>
      <c r="E26" s="57" t="n"/>
      <c r="F26" s="57" t="n"/>
      <c r="G26" s="57" t="n"/>
      <c r="H26" s="57" t="n"/>
      <c r="I26" s="58" t="n"/>
    </row>
    <row r="27" ht="24" customHeight="1" thickBot="1">
      <c r="A27" s="59" t="inlineStr">
        <is>
          <t>Plant</t>
        </is>
      </c>
      <c r="B27" s="60" t="inlineStr">
        <is>
          <t>ID</t>
        </is>
      </c>
      <c r="C27" s="61" t="inlineStr">
        <is>
          <t>Hrs</t>
        </is>
      </c>
      <c r="D27" s="62" t="inlineStr">
        <is>
          <t xml:space="preserve"> Vehicles</t>
        </is>
      </c>
      <c r="E27" s="60" t="inlineStr">
        <is>
          <t>ID</t>
        </is>
      </c>
      <c r="F27" s="63" t="inlineStr">
        <is>
          <t>QTY</t>
        </is>
      </c>
      <c r="G27" s="64" t="inlineStr">
        <is>
          <t>Site Facilities</t>
        </is>
      </c>
      <c r="H27" s="65" t="inlineStr">
        <is>
          <t>ID</t>
        </is>
      </c>
      <c r="I27" s="66" t="inlineStr">
        <is>
          <t>Qty</t>
        </is>
      </c>
    </row>
    <row r="28" ht="23.25" customHeight="1" thickTop="1">
      <c r="A28" s="75" t="inlineStr">
        <is>
          <t>IT Loader</t>
        </is>
      </c>
      <c r="B28" s="72" t="inlineStr">
        <is>
          <t>LD011</t>
        </is>
      </c>
      <c r="C28" s="26" t="n">
        <v>5</v>
      </c>
      <c r="D28" s="67" t="inlineStr">
        <is>
          <t>Hilux</t>
        </is>
      </c>
      <c r="E28" s="68" t="inlineStr">
        <is>
          <t>DLV90</t>
        </is>
      </c>
      <c r="F28" s="69" t="n">
        <v>1</v>
      </c>
      <c r="G28" s="70" t="inlineStr">
        <is>
          <t>Office 40ft</t>
        </is>
      </c>
      <c r="H28" s="68" t="n">
        <v>9255540</v>
      </c>
      <c r="I28" s="23" t="n">
        <v>1</v>
      </c>
    </row>
    <row r="29" ht="23.25" customHeight="1">
      <c r="A29" s="24" t="inlineStr">
        <is>
          <t>Wacker Neuson DPU</t>
        </is>
      </c>
      <c r="B29" s="25" t="inlineStr">
        <is>
          <t>DPC15</t>
        </is>
      </c>
      <c r="C29" s="106" t="n"/>
      <c r="D29" s="71" t="inlineStr">
        <is>
          <t>Hilux</t>
        </is>
      </c>
      <c r="E29" s="72" t="inlineStr">
        <is>
          <t>1DLV04</t>
        </is>
      </c>
      <c r="F29" s="73" t="n">
        <v>1</v>
      </c>
      <c r="G29" s="74" t="inlineStr">
        <is>
          <t>Sea Container 20ft</t>
        </is>
      </c>
      <c r="H29" s="25" t="n">
        <v>951200</v>
      </c>
      <c r="I29" s="30" t="n">
        <v>1</v>
      </c>
    </row>
    <row r="30" ht="23.25" customHeight="1">
      <c r="A30" s="75" t="inlineStr">
        <is>
          <t>Watercart</t>
        </is>
      </c>
      <c r="B30" s="72" t="inlineStr">
        <is>
          <t>A119</t>
        </is>
      </c>
      <c r="C30" s="106" t="n">
        <v>2</v>
      </c>
      <c r="D30" s="71" t="n"/>
      <c r="E30" s="25" t="n"/>
      <c r="F30" s="73" t="n"/>
      <c r="G30" s="74" t="inlineStr">
        <is>
          <t>Site Sentry Tower</t>
        </is>
      </c>
      <c r="H30" s="72" t="inlineStr">
        <is>
          <t>NA</t>
        </is>
      </c>
      <c r="I30" s="30" t="n">
        <v>2</v>
      </c>
    </row>
    <row r="31" ht="23.25" customHeight="1">
      <c r="A31" s="75" t="inlineStr">
        <is>
          <t>8T Excavator</t>
        </is>
      </c>
      <c r="B31" s="76" t="inlineStr">
        <is>
          <t>AMG 014</t>
        </is>
      </c>
      <c r="C31" s="106" t="n"/>
      <c r="D31" s="71" t="n"/>
      <c r="E31" s="72" t="n"/>
      <c r="F31" s="73" t="n"/>
      <c r="G31" s="74" t="inlineStr">
        <is>
          <t>Skip Bin</t>
        </is>
      </c>
      <c r="H31" s="72" t="inlineStr">
        <is>
          <t>NA</t>
        </is>
      </c>
      <c r="I31" s="30" t="n">
        <v>1</v>
      </c>
    </row>
    <row r="32" ht="23.25" customHeight="1">
      <c r="A32" s="75" t="inlineStr">
        <is>
          <t>Mini Tipper</t>
        </is>
      </c>
      <c r="B32" s="72" t="inlineStr">
        <is>
          <t>SLS04</t>
        </is>
      </c>
      <c r="C32" s="26" t="n">
        <v>7</v>
      </c>
      <c r="D32" s="71" t="n"/>
      <c r="E32" s="72" t="n"/>
      <c r="F32" s="73" t="n"/>
      <c r="G32" s="74" t="inlineStr">
        <is>
          <t>Hydrocarbon Bund</t>
        </is>
      </c>
      <c r="H32" s="72" t="inlineStr">
        <is>
          <t>NA</t>
        </is>
      </c>
      <c r="I32" s="30" t="n">
        <v>1</v>
      </c>
    </row>
    <row r="33" ht="23.25" customHeight="1">
      <c r="A33" s="75" t="inlineStr">
        <is>
          <t>Skid Steer</t>
        </is>
      </c>
      <c r="B33" s="72" t="inlineStr">
        <is>
          <t>SLS03</t>
        </is>
      </c>
      <c r="C33" s="26" t="n"/>
      <c r="D33" s="71" t="n"/>
      <c r="E33" s="72" t="n"/>
      <c r="F33" s="73" t="n"/>
      <c r="G33" s="74" t="inlineStr">
        <is>
          <t>Temp Fence</t>
        </is>
      </c>
      <c r="H33" s="25" t="inlineStr">
        <is>
          <t>NA</t>
        </is>
      </c>
      <c r="I33" s="30" t="n">
        <v>1</v>
      </c>
    </row>
    <row r="34" ht="23.25" customHeight="1">
      <c r="A34" s="75" t="inlineStr">
        <is>
          <t>1t Excavator</t>
        </is>
      </c>
      <c r="B34" s="72" t="inlineStr">
        <is>
          <t>SLS02</t>
        </is>
      </c>
      <c r="C34" s="26" t="n"/>
      <c r="D34" s="71" t="n"/>
      <c r="E34" s="72" t="n"/>
      <c r="F34" s="73" t="n"/>
      <c r="G34" s="74" t="n"/>
      <c r="H34" s="25" t="n"/>
      <c r="I34" s="30" t="n"/>
    </row>
    <row r="35" ht="23.25" customHeight="1">
      <c r="A35" s="75" t="inlineStr">
        <is>
          <t>1t Excavator</t>
        </is>
      </c>
      <c r="B35" s="72" t="inlineStr">
        <is>
          <t>DEX30</t>
        </is>
      </c>
      <c r="C35" s="26" t="n"/>
      <c r="D35" s="71" t="n"/>
      <c r="E35" s="72" t="n"/>
      <c r="F35" s="73" t="n"/>
      <c r="G35" s="74" t="n"/>
      <c r="H35" s="25" t="n"/>
      <c r="I35" s="30" t="n"/>
    </row>
    <row r="36" ht="24" customHeight="1">
      <c r="A36" s="75" t="inlineStr">
        <is>
          <t>8T Excavator (Wheeled)</t>
        </is>
      </c>
      <c r="B36" s="72" t="inlineStr">
        <is>
          <t>BCC12</t>
        </is>
      </c>
      <c r="C36" s="26" t="n"/>
      <c r="D36" s="71" t="n"/>
      <c r="E36" s="72" t="n"/>
      <c r="F36" s="73" t="n"/>
      <c r="G36" s="77" t="n"/>
      <c r="H36" s="78" t="n"/>
      <c r="I36" s="79" t="n"/>
    </row>
    <row r="37" ht="24" customHeight="1">
      <c r="A37" s="75" t="inlineStr">
        <is>
          <t>14t Excavator with GPS</t>
        </is>
      </c>
      <c r="B37" s="72" t="inlineStr">
        <is>
          <t>EX197</t>
        </is>
      </c>
      <c r="C37" s="26" t="n">
        <v>9</v>
      </c>
      <c r="D37" s="71" t="n"/>
      <c r="E37" s="72" t="n"/>
      <c r="F37" s="73" t="n"/>
      <c r="G37" s="77" t="n"/>
      <c r="H37" s="78" t="n"/>
      <c r="I37" s="79" t="n"/>
    </row>
    <row r="38" ht="24" customHeight="1" thickBot="1">
      <c r="A38" s="75" t="inlineStr">
        <is>
          <t>Roller</t>
        </is>
      </c>
      <c r="B38" s="72" t="inlineStr">
        <is>
          <t>R538</t>
        </is>
      </c>
      <c r="C38" s="106" t="n">
        <v>3</v>
      </c>
      <c r="D38" s="71" t="n"/>
      <c r="E38" s="72" t="n"/>
      <c r="F38" s="73" t="n"/>
      <c r="G38" s="77" t="n"/>
      <c r="H38" s="78" t="n"/>
      <c r="I38" s="79" t="n"/>
    </row>
    <row r="39" ht="24" customHeight="1" thickTop="1">
      <c r="A39" s="85" t="n">
        <v>0</v>
      </c>
      <c r="B39" s="158" t="inlineStr">
        <is>
          <t xml:space="preserve">Repairs Required </t>
        </is>
      </c>
      <c r="C39" s="239" t="n"/>
      <c r="D39" s="160" t="inlineStr">
        <is>
          <t>NA</t>
        </is>
      </c>
      <c r="E39" s="240" t="n"/>
      <c r="F39" s="240" t="n"/>
      <c r="G39" s="240" t="n"/>
      <c r="H39" s="240" t="n"/>
      <c r="I39" s="241" t="n"/>
    </row>
    <row r="40" ht="24" customHeight="1">
      <c r="A40" s="86" t="n">
        <v>0</v>
      </c>
      <c r="B40" s="163" t="inlineStr">
        <is>
          <t>Scheduled Service</t>
        </is>
      </c>
      <c r="C40" s="234" t="n"/>
      <c r="D40" s="165" t="inlineStr">
        <is>
          <t>NA</t>
        </is>
      </c>
      <c r="E40" s="233" t="n"/>
      <c r="F40" s="233" t="n"/>
      <c r="G40" s="233" t="n"/>
      <c r="H40" s="233" t="n"/>
      <c r="I40" s="235" t="n"/>
    </row>
    <row r="41" ht="24" customHeight="1" thickBot="1">
      <c r="A41" s="87" t="n">
        <v>0</v>
      </c>
      <c r="B41" s="168" t="inlineStr">
        <is>
          <t>Repairs Required but Operable</t>
        </is>
      </c>
      <c r="C41" s="242" t="n"/>
      <c r="D41" s="170" t="inlineStr">
        <is>
          <t>NA</t>
        </is>
      </c>
      <c r="E41" s="243" t="n"/>
      <c r="F41" s="243" t="n"/>
      <c r="G41" s="243" t="n"/>
      <c r="H41" s="243" t="n"/>
      <c r="I41" s="244" t="n"/>
    </row>
    <row r="42" ht="23.25" customHeight="1" thickTop="1">
      <c r="A42" s="173" t="inlineStr">
        <is>
          <t xml:space="preserve">Total Plant and Equipment Hours: </t>
        </is>
      </c>
      <c r="B42" s="245" t="n"/>
      <c r="C42" s="88">
        <f>SUM(C28:C38)</f>
        <v/>
      </c>
      <c r="D42" s="175" t="n"/>
      <c r="E42" s="231" t="n"/>
      <c r="F42" s="231" t="n"/>
      <c r="G42" s="231" t="n"/>
      <c r="H42" s="231" t="n"/>
      <c r="I42" s="232" t="n"/>
    </row>
    <row r="43" ht="25" customHeight="1">
      <c r="A43" s="146" t="inlineStr">
        <is>
          <t>DELAYS-OPPORTUNITY</t>
        </is>
      </c>
      <c r="B43" s="233" t="n"/>
      <c r="C43" s="233" t="n"/>
      <c r="D43" s="233" t="n"/>
      <c r="E43" s="233" t="n"/>
      <c r="F43" s="233" t="n"/>
      <c r="G43" s="233" t="n"/>
      <c r="H43" s="233" t="n"/>
      <c r="I43" s="235" t="n"/>
    </row>
    <row r="44" ht="69" customHeight="1" thickBot="1">
      <c r="A44" s="215" t="inlineStr">
        <is>
          <t>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Lateral reticulation pipes hit multiple times during NBN pit installation due to relocation within NBN alignment. Multitude of rework identified.
Vacuum truck used for light poles in locations indicating possible service interfaces. 
Issues around Watercorp Connection Identified
Works stopped  multiple times due to rain</t>
        </is>
      </c>
      <c r="B44" s="236" t="n"/>
      <c r="C44" s="236" t="n"/>
      <c r="D44" s="236" t="n"/>
      <c r="E44" s="236" t="n"/>
      <c r="F44" s="236" t="n"/>
      <c r="G44" s="236" t="n"/>
      <c r="H44" s="236" t="n"/>
      <c r="I44" s="237" t="n"/>
    </row>
    <row r="45" ht="45" customHeight="1" thickBot="1">
      <c r="A45" s="228" t="n"/>
      <c r="I45" s="229" t="n"/>
    </row>
    <row r="46" hidden="1" ht="9.75" customHeight="1" thickBot="1">
      <c r="A46" s="246" t="n"/>
      <c r="B46" s="247" t="n"/>
      <c r="C46" s="247" t="n"/>
      <c r="D46" s="247" t="n"/>
      <c r="E46" s="247" t="n"/>
      <c r="F46" s="247" t="n"/>
      <c r="G46" s="247" t="n"/>
      <c r="H46" s="247" t="n"/>
      <c r="I46" s="248" t="n"/>
    </row>
    <row r="47" ht="25" customHeight="1">
      <c r="A47" s="185" t="inlineStr">
        <is>
          <t>HSEQ MESSAGES</t>
        </is>
      </c>
      <c r="B47" s="249" t="n"/>
      <c r="C47" s="249" t="n"/>
      <c r="D47" s="249" t="n"/>
      <c r="E47" s="249" t="n"/>
      <c r="F47" s="249" t="n"/>
      <c r="G47" s="249" t="n"/>
      <c r="H47" s="249" t="n"/>
      <c r="I47" s="250" t="n"/>
    </row>
    <row r="48" ht="24" customHeight="1">
      <c r="A48" s="89" t="inlineStr">
        <is>
          <t>TCD - Monthly Safety Focus:</t>
        </is>
      </c>
      <c r="B48" s="155" t="inlineStr">
        <is>
          <t>Cyclones &amp; Wet Weather</t>
        </is>
      </c>
      <c r="C48" s="233" t="n"/>
      <c r="D48" s="233" t="n"/>
      <c r="E48" s="233" t="n"/>
      <c r="F48" s="233" t="n"/>
      <c r="G48" s="233" t="n"/>
      <c r="H48" s="233" t="n"/>
      <c r="I48" s="234" t="n"/>
    </row>
    <row r="49" ht="24" customHeight="1">
      <c r="A49" s="89" t="inlineStr">
        <is>
          <t>TCD - Daily Safety Focus:</t>
        </is>
      </c>
      <c r="B49" s="188" t="inlineStr">
        <is>
          <t>Planning task</t>
        </is>
      </c>
      <c r="C49" s="233" t="n"/>
      <c r="D49" s="233" t="n"/>
      <c r="E49" s="233" t="n"/>
      <c r="F49" s="233" t="n"/>
      <c r="G49" s="233" t="n"/>
      <c r="H49" s="233" t="n"/>
      <c r="I49" s="235" t="n"/>
    </row>
    <row r="50" ht="24" customHeight="1">
      <c r="A50" s="90" t="inlineStr">
        <is>
          <t xml:space="preserve">Hazards Reported: </t>
        </is>
      </c>
      <c r="B50" s="188" t="inlineStr">
        <is>
          <t>Nil</t>
        </is>
      </c>
      <c r="C50" s="233" t="n"/>
      <c r="D50" s="233" t="n"/>
      <c r="E50" s="233" t="n"/>
      <c r="F50" s="233" t="n"/>
      <c r="G50" s="233" t="n"/>
      <c r="H50" s="233" t="n"/>
      <c r="I50" s="235" t="n"/>
    </row>
    <row r="51" ht="24" customHeight="1">
      <c r="A51" s="90" t="inlineStr">
        <is>
          <t>Incident Free Days</t>
        </is>
      </c>
      <c r="B51" s="251" t="n">
        <v>3</v>
      </c>
      <c r="C51" s="233" t="n"/>
      <c r="D51" s="233" t="n"/>
      <c r="E51" s="233" t="n"/>
      <c r="F51" s="233" t="n"/>
      <c r="G51" s="233" t="n"/>
      <c r="H51" s="233" t="n"/>
      <c r="I51" s="235" t="n"/>
    </row>
    <row r="52" ht="24" customHeight="1">
      <c r="A52" s="91" t="inlineStr">
        <is>
          <t>Other Notes</t>
        </is>
      </c>
      <c r="B52" s="197" t="inlineStr">
        <is>
          <t>NA</t>
        </is>
      </c>
      <c r="C52" s="236" t="n"/>
      <c r="D52" s="236" t="n"/>
      <c r="E52" s="236" t="n"/>
      <c r="F52" s="236" t="n"/>
      <c r="G52" s="236" t="n"/>
      <c r="H52" s="236" t="n"/>
      <c r="I52" s="237" t="n"/>
    </row>
    <row r="53" ht="20.25" customHeight="1">
      <c r="A53" s="146" t="inlineStr">
        <is>
          <t xml:space="preserve">INCIDENTS &amp; REPORTS </t>
        </is>
      </c>
      <c r="B53" s="233" t="n"/>
      <c r="C53" s="233" t="n"/>
      <c r="D53" s="233" t="n"/>
      <c r="E53" s="233" t="n"/>
      <c r="F53" s="233" t="n"/>
      <c r="G53" s="233" t="n"/>
      <c r="H53" s="233" t="n"/>
      <c r="I53" s="235" t="n"/>
    </row>
    <row r="54" ht="20" customHeight="1">
      <c r="A54" s="92" t="n"/>
      <c r="B54" s="93" t="inlineStr">
        <is>
          <t>QTY</t>
        </is>
      </c>
      <c r="C54" s="200" t="inlineStr">
        <is>
          <t>Comments</t>
        </is>
      </c>
      <c r="D54" s="233" t="n"/>
      <c r="E54" s="233" t="n"/>
      <c r="F54" s="233" t="n"/>
      <c r="G54" s="233" t="n"/>
      <c r="H54" s="233" t="n"/>
      <c r="I54" s="235" t="n"/>
    </row>
    <row r="55" ht="24" customHeight="1">
      <c r="A55" s="48" t="inlineStr">
        <is>
          <t>INCIDENT</t>
        </is>
      </c>
      <c r="B55" s="25" t="n">
        <v>0</v>
      </c>
      <c r="C55" s="201" t="inlineStr">
        <is>
          <t>NA</t>
        </is>
      </c>
      <c r="D55" s="236" t="n"/>
      <c r="E55" s="236" t="n"/>
      <c r="F55" s="236" t="n"/>
      <c r="G55" s="236" t="n"/>
      <c r="H55" s="236" t="n"/>
      <c r="I55" s="237" t="n"/>
    </row>
    <row r="56" ht="24" customHeight="1">
      <c r="A56" s="101" t="inlineStr">
        <is>
          <t>IR</t>
        </is>
      </c>
      <c r="B56" s="34" t="n">
        <v>0</v>
      </c>
      <c r="C56" s="201" t="inlineStr">
        <is>
          <t>NA</t>
        </is>
      </c>
      <c r="D56" s="236" t="n"/>
      <c r="E56" s="236" t="n"/>
      <c r="F56" s="236" t="n"/>
      <c r="G56" s="236" t="n"/>
      <c r="H56" s="236" t="n"/>
      <c r="I56" s="237" t="n"/>
    </row>
    <row r="57" ht="24" customHeight="1" thickBot="1">
      <c r="A57" s="102" t="inlineStr">
        <is>
          <t>NCR</t>
        </is>
      </c>
      <c r="B57" s="103" t="n">
        <v>0</v>
      </c>
      <c r="C57" s="204" t="inlineStr">
        <is>
          <t>NA</t>
        </is>
      </c>
      <c r="D57" s="252" t="n"/>
      <c r="E57" s="252" t="n"/>
      <c r="F57" s="252" t="n"/>
      <c r="G57" s="252" t="n"/>
      <c r="H57" s="252" t="n"/>
      <c r="I57" s="253" t="n"/>
    </row>
    <row r="58" ht="20.25" customHeight="1">
      <c r="A58" s="185" t="inlineStr">
        <is>
          <t>COMMUNICATIONS</t>
        </is>
      </c>
      <c r="B58" s="249" t="n"/>
      <c r="C58" s="249" t="n"/>
      <c r="D58" s="249" t="n"/>
      <c r="E58" s="249" t="n"/>
      <c r="F58" s="249" t="n"/>
      <c r="G58" s="249" t="n"/>
      <c r="H58" s="249" t="n"/>
      <c r="I58" s="250" t="n"/>
    </row>
    <row r="59" ht="25" customHeight="1">
      <c r="A59" s="207" t="inlineStr">
        <is>
          <t>TGS MB1119-05 Scheme D implemented</t>
        </is>
      </c>
      <c r="B59" s="233" t="n"/>
      <c r="C59" s="233" t="n"/>
      <c r="D59" s="233" t="n"/>
      <c r="E59" s="233" t="n"/>
      <c r="F59" s="233" t="n"/>
      <c r="G59" s="233" t="n"/>
      <c r="H59" s="233" t="n"/>
      <c r="I59" s="235" t="n"/>
    </row>
    <row r="60" ht="25" customHeight="1">
      <c r="A60" s="146" t="inlineStr">
        <is>
          <t>PRODUCTION (CONSTRUCTION STATUS &amp; PROGRESS)</t>
        </is>
      </c>
      <c r="B60" s="233" t="n"/>
      <c r="C60" s="233" t="n"/>
      <c r="D60" s="233" t="n"/>
      <c r="E60" s="233" t="n"/>
      <c r="F60" s="233" t="n"/>
      <c r="G60" s="233" t="n"/>
      <c r="H60" s="233" t="n"/>
      <c r="I60" s="235" t="n"/>
    </row>
    <row r="61" ht="24" customHeight="1">
      <c r="A61" s="207" t="inlineStr">
        <is>
          <t>Ground Prep works and rolling for Paving at intersection is completed</t>
        </is>
      </c>
      <c r="B61" s="233" t="n"/>
      <c r="C61" s="233" t="n"/>
      <c r="D61" s="233" t="n"/>
      <c r="E61" s="233" t="n"/>
      <c r="F61" s="233" t="n"/>
      <c r="G61" s="233" t="n"/>
      <c r="H61" s="233" t="n"/>
      <c r="I61" s="235" t="n"/>
    </row>
    <row r="62" ht="24" customHeight="1">
      <c r="A62" s="207" t="inlineStr">
        <is>
          <t>Paving at Western side heading north is ongoing</t>
        </is>
      </c>
      <c r="B62" s="233" t="n"/>
      <c r="C62" s="233" t="n"/>
      <c r="D62" s="233" t="n"/>
      <c r="E62" s="233" t="n"/>
      <c r="F62" s="233" t="n"/>
      <c r="G62" s="233" t="n"/>
      <c r="H62" s="233" t="n"/>
      <c r="I62" s="235" t="n"/>
    </row>
    <row r="63" ht="24" customHeight="1">
      <c r="A63" s="207" t="inlineStr">
        <is>
          <t>Holes dug for Furniture foootings using Vac Trailer</t>
        </is>
      </c>
      <c r="B63" s="233" t="n"/>
      <c r="C63" s="233" t="n"/>
      <c r="D63" s="233" t="n"/>
      <c r="E63" s="233" t="n"/>
      <c r="F63" s="233" t="n"/>
      <c r="G63" s="233" t="n"/>
      <c r="H63" s="233" t="n"/>
      <c r="I63" s="235" t="n"/>
    </row>
    <row r="64" ht="24" customHeight="1">
      <c r="A64" s="207" t="inlineStr">
        <is>
          <t>Electrical conduits installation in Laneway is ongoing</t>
        </is>
      </c>
      <c r="B64" s="233" t="n"/>
      <c r="C64" s="233" t="n"/>
      <c r="D64" s="233" t="n"/>
      <c r="E64" s="233" t="n"/>
      <c r="F64" s="233" t="n"/>
      <c r="G64" s="233" t="n"/>
      <c r="H64" s="233" t="n"/>
      <c r="I64" s="235" t="n"/>
    </row>
    <row r="65" ht="24" customHeight="1">
      <c r="A65" s="207" t="inlineStr">
        <is>
          <t>Ten Tigers Window Repaired</t>
        </is>
      </c>
      <c r="B65" s="233" t="n"/>
      <c r="C65" s="233" t="n"/>
      <c r="D65" s="233" t="n"/>
      <c r="E65" s="233" t="n"/>
      <c r="F65" s="233" t="n"/>
      <c r="G65" s="233" t="n"/>
      <c r="H65" s="233" t="n"/>
      <c r="I65" s="235" t="n"/>
    </row>
    <row r="66" ht="24" customHeight="1">
      <c r="A66" s="207" t="inlineStr">
        <is>
          <t>Preparation for tree placement is ongoing</t>
        </is>
      </c>
      <c r="B66" s="233" t="n"/>
      <c r="C66" s="233" t="n"/>
      <c r="D66" s="233" t="n"/>
      <c r="E66" s="233" t="n"/>
      <c r="F66" s="233" t="n"/>
      <c r="G66" s="233" t="n"/>
      <c r="H66" s="233" t="n"/>
      <c r="I66" s="235" t="n"/>
    </row>
    <row r="67" ht="26.25" customHeight="1">
      <c r="A67" s="148" t="inlineStr">
        <is>
          <t>Photos</t>
        </is>
      </c>
      <c r="B67" s="236" t="n"/>
      <c r="C67" s="236" t="n"/>
      <c r="D67" s="236" t="n"/>
      <c r="E67" s="236" t="n"/>
      <c r="F67" s="236" t="n"/>
      <c r="G67" s="236" t="n"/>
      <c r="H67" s="236" t="n"/>
      <c r="I67" s="237" t="n"/>
    </row>
    <row r="68" ht="23.25" customHeight="1">
      <c r="A68" s="94" t="n"/>
      <c r="B68" s="95" t="n"/>
      <c r="C68" s="95" t="n"/>
      <c r="D68" s="95" t="n"/>
      <c r="E68" s="95" t="n"/>
      <c r="F68" s="95" t="n"/>
      <c r="G68" s="95" t="n"/>
      <c r="H68" s="95" t="n"/>
      <c r="I68" s="96"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104" t="n"/>
      <c r="B74" s="95" t="n"/>
      <c r="C74" s="95" t="n"/>
      <c r="D74" s="95" t="n"/>
      <c r="E74" s="95" t="n"/>
      <c r="F74" s="95" t="n"/>
      <c r="G74" s="95" t="n"/>
      <c r="H74" s="95" t="n"/>
      <c r="I74" s="96" t="n"/>
    </row>
    <row r="75" ht="15" customHeight="1">
      <c r="A75" s="9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25" customFormat="1" customHeight="1" s="97">
      <c r="A96" s="94" t="n"/>
      <c r="B96" s="95" t="n"/>
      <c r="C96" s="95" t="n"/>
      <c r="D96" s="95" t="n"/>
      <c r="E96" s="95" t="n"/>
      <c r="F96" s="95" t="n"/>
      <c r="G96" s="95" t="n"/>
      <c r="H96" s="95" t="n"/>
      <c r="I96" s="96" t="n"/>
    </row>
    <row r="97" ht="15" customHeight="1">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c r="A103" s="94" t="n"/>
      <c r="B103" s="95" t="n"/>
      <c r="C103" s="95" t="n"/>
      <c r="D103" s="95" t="n"/>
      <c r="E103" s="95" t="n"/>
      <c r="F103" s="95" t="n"/>
      <c r="G103" s="95" t="n"/>
      <c r="H103" s="95" t="n"/>
      <c r="I103" s="96"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25" customHeight="1">
      <c r="A120" s="94" t="n"/>
      <c r="B120" s="95" t="n"/>
      <c r="C120" s="95" t="n"/>
      <c r="D120" s="95" t="n"/>
      <c r="E120" s="95" t="n"/>
      <c r="F120" s="95" t="n"/>
      <c r="G120" s="95" t="n"/>
      <c r="H120" s="95" t="n"/>
      <c r="I120" s="96" t="n"/>
    </row>
    <row r="121" ht="1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28" customHeight="1">
      <c r="A123" s="94" t="n"/>
      <c r="B123" s="95" t="n"/>
      <c r="C123" s="95" t="n"/>
      <c r="D123" s="95" t="n"/>
      <c r="E123" s="95" t="n"/>
      <c r="F123" s="95" t="n"/>
      <c r="G123" s="95" t="n"/>
      <c r="H123" s="95" t="n"/>
      <c r="I123" s="96" t="n"/>
    </row>
    <row r="124" ht="15"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6" customHeight="1">
      <c r="A143" s="94" t="n"/>
      <c r="B143" s="95" t="n"/>
      <c r="C143" s="95" t="n"/>
      <c r="D143" s="95" t="n"/>
      <c r="E143" s="95" t="n"/>
      <c r="F143" s="95" t="n"/>
      <c r="G143" s="95" t="n"/>
      <c r="H143" s="95" t="n"/>
      <c r="I143" s="96" t="n"/>
    </row>
    <row r="144" ht="56.25" customHeight="1">
      <c r="A144" s="94" t="n"/>
      <c r="B144" s="95" t="n"/>
      <c r="C144" s="95" t="n"/>
      <c r="D144" s="95" t="n"/>
      <c r="E144" s="95" t="n"/>
      <c r="F144" s="95" t="n"/>
      <c r="G144" s="95" t="n"/>
      <c r="H144" s="95" t="n"/>
      <c r="I144" s="96" t="n"/>
    </row>
    <row r="145">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c r="J149" s="95" t="n"/>
      <c r="K149" s="95" t="n"/>
      <c r="L149" s="95" t="n"/>
    </row>
    <row r="150">
      <c r="A150" s="94" t="n"/>
      <c r="B150" s="95" t="n"/>
      <c r="C150" s="95" t="n"/>
      <c r="D150" s="95" t="n"/>
      <c r="E150" s="95" t="n"/>
      <c r="F150" s="95" t="n"/>
      <c r="G150" s="95" t="n"/>
      <c r="H150" s="95" t="n"/>
      <c r="I150" s="96"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c r="J170" s="95" t="n"/>
      <c r="K170" s="95" t="n"/>
      <c r="L170" s="95" t="n"/>
      <c r="M170" s="95" t="n"/>
      <c r="N170" s="95" t="n"/>
    </row>
    <row r="171" ht="19" customHeight="1" thickBot="1">
      <c r="A171" s="98" t="n"/>
      <c r="B171" s="99" t="n"/>
      <c r="C171" s="99" t="n"/>
      <c r="D171" s="99" t="n"/>
      <c r="E171" s="99" t="n"/>
      <c r="F171" s="99" t="n"/>
      <c r="G171" s="99" t="n"/>
      <c r="H171" s="99" t="n"/>
      <c r="I171" s="100" t="n"/>
      <c r="J171" s="95" t="n"/>
      <c r="K171" s="95" t="n"/>
      <c r="L171" s="95" t="n"/>
      <c r="M171" s="95" t="n"/>
      <c r="N171" s="95" t="n"/>
    </row>
    <row r="172">
      <c r="A172" s="131" t="n"/>
      <c r="B172" s="95" t="n"/>
      <c r="C172" s="95" t="n"/>
      <c r="D172" s="95" t="n"/>
      <c r="E172" s="95" t="n"/>
      <c r="F172" s="95" t="n"/>
      <c r="G172" s="95" t="n"/>
      <c r="H172" s="95" t="n"/>
      <c r="I172" s="95" t="n"/>
      <c r="J172" s="95" t="n"/>
      <c r="K172" s="95" t="n"/>
      <c r="L172" s="95" t="n"/>
      <c r="M172" s="95" t="n"/>
      <c r="N172" s="95" t="n"/>
    </row>
    <row r="173">
      <c r="A173" s="95" t="n"/>
      <c r="B173" s="95" t="n"/>
      <c r="C173" s="95" t="n"/>
      <c r="D173" s="95" t="n"/>
      <c r="E173" s="95" t="n"/>
      <c r="F173" s="95" t="n"/>
      <c r="G173" s="95" t="n"/>
      <c r="H173" s="95" t="n"/>
      <c r="I173" s="95" t="n"/>
      <c r="J173" s="95" t="n"/>
      <c r="K173" s="95" t="n"/>
      <c r="L173" s="95" t="n"/>
      <c r="M173" s="95" t="n"/>
      <c r="N173" s="95" t="n"/>
    </row>
    <row r="174">
      <c r="A174" s="95" t="n"/>
      <c r="B174" s="95" t="n"/>
      <c r="C174" s="95" t="n"/>
      <c r="D174" s="95" t="n"/>
      <c r="E174" s="95" t="n"/>
      <c r="F174" s="95" t="n"/>
      <c r="G174" s="95" t="n"/>
      <c r="H174" s="95" t="n"/>
      <c r="I174" s="95" t="n"/>
      <c r="J174" s="95" t="n"/>
      <c r="K174" s="95" t="n"/>
      <c r="L174" s="95" t="n"/>
      <c r="M174" s="95" t="n"/>
      <c r="N174" s="95" t="n"/>
    </row>
    <row r="175">
      <c r="A175" s="95" t="n"/>
      <c r="B175" s="95" t="n"/>
      <c r="C175" s="95" t="n"/>
      <c r="D175" s="95" t="n"/>
      <c r="E175" s="95" t="n"/>
      <c r="F175" s="95" t="n"/>
      <c r="G175" s="95" t="n"/>
      <c r="H175" s="95" t="n"/>
      <c r="I175" s="95" t="n"/>
      <c r="J175" s="95" t="n"/>
      <c r="K175" s="95" t="n"/>
      <c r="L175" s="95" t="n"/>
      <c r="M175" s="95" t="n"/>
      <c r="N175" s="95" t="n"/>
    </row>
    <row r="176">
      <c r="A176" s="95" t="n"/>
      <c r="B176" s="95" t="n"/>
      <c r="C176" s="95" t="n"/>
      <c r="D176" s="95" t="n"/>
      <c r="E176" s="95" t="n"/>
      <c r="F176" s="95" t="n"/>
      <c r="G176" s="95" t="n"/>
      <c r="H176" s="95" t="n"/>
      <c r="I176" s="95" t="n"/>
      <c r="J176" s="95" t="n"/>
      <c r="K176" s="95" t="n"/>
      <c r="L176" s="95" t="n"/>
      <c r="M176" s="95" t="n"/>
      <c r="N176" s="95" t="n"/>
    </row>
    <row r="177">
      <c r="A177" s="95" t="n"/>
      <c r="B177" s="95" t="n"/>
      <c r="C177" s="95" t="n"/>
      <c r="D177" s="95" t="n"/>
      <c r="E177" s="95" t="n"/>
      <c r="F177" s="95" t="n"/>
      <c r="G177" s="95" t="n"/>
      <c r="H177" s="95" t="n"/>
      <c r="I177" s="95" t="n"/>
      <c r="J177" s="95" t="n"/>
      <c r="K177" s="95" t="n"/>
      <c r="L177" s="95" t="n"/>
      <c r="M177" s="95" t="n"/>
      <c r="N177" s="95" t="n"/>
    </row>
    <row r="178">
      <c r="A178" s="95" t="n"/>
      <c r="B178" s="95" t="n"/>
      <c r="C178" s="95" t="n"/>
      <c r="D178" s="95" t="n"/>
      <c r="E178" s="95" t="n"/>
      <c r="F178" s="95" t="n"/>
      <c r="G178" s="95" t="n"/>
      <c r="H178" s="95" t="n"/>
      <c r="I178" s="95" t="n"/>
      <c r="J178" s="95" t="n"/>
      <c r="K178" s="95" t="n"/>
      <c r="L178" s="95" t="n"/>
      <c r="M178" s="95" t="n"/>
      <c r="N178" s="95" t="n"/>
    </row>
    <row r="179">
      <c r="A179" s="95" t="n"/>
      <c r="B179" s="95" t="n"/>
      <c r="C179" s="95" t="n"/>
      <c r="D179" s="95" t="n"/>
      <c r="E179" s="95" t="n"/>
      <c r="F179" s="95" t="n"/>
      <c r="G179" s="95" t="n"/>
      <c r="H179" s="95" t="n"/>
      <c r="I179" s="95" t="n"/>
      <c r="J179" s="95" t="n"/>
      <c r="K179" s="95" t="n"/>
      <c r="L179" s="95" t="n"/>
      <c r="M179" s="95" t="n"/>
      <c r="N179" s="95" t="n"/>
    </row>
    <row r="180">
      <c r="A180" s="95" t="n"/>
      <c r="B180" s="95" t="n"/>
      <c r="C180" s="95" t="n"/>
      <c r="D180" s="95" t="n"/>
      <c r="E180" s="95" t="n"/>
      <c r="F180" s="95" t="n"/>
      <c r="G180" s="95" t="n"/>
      <c r="H180" s="95" t="n"/>
      <c r="I180" s="95" t="n"/>
      <c r="J180" s="95" t="n"/>
      <c r="K180" s="95" t="n"/>
      <c r="L180" s="95" t="n"/>
      <c r="M180" s="95" t="n"/>
      <c r="N180" s="95" t="n"/>
    </row>
    <row r="181">
      <c r="A181" s="95" t="n"/>
      <c r="B181" s="95" t="n"/>
      <c r="C181" s="95" t="n"/>
      <c r="D181" s="95" t="n"/>
      <c r="E181" s="95" t="n"/>
      <c r="F181" s="95" t="n"/>
      <c r="G181" s="95" t="n"/>
      <c r="H181" s="95" t="n"/>
      <c r="I181" s="95" t="n"/>
      <c r="J181" s="95" t="n"/>
      <c r="K181" s="95" t="n"/>
      <c r="L181" s="95" t="n"/>
      <c r="M181" s="95" t="n"/>
      <c r="N181" s="95" t="n"/>
    </row>
    <row r="182">
      <c r="A182" s="95" t="n"/>
      <c r="B182" s="95" t="n"/>
      <c r="C182" s="95" t="n"/>
      <c r="D182" s="95" t="n"/>
      <c r="E182" s="95" t="n"/>
      <c r="F182" s="95" t="n"/>
      <c r="G182" s="95" t="n"/>
      <c r="H182" s="95" t="n"/>
      <c r="I182" s="95" t="n"/>
      <c r="J182" s="95" t="n"/>
      <c r="K182" s="95" t="n"/>
      <c r="L182" s="95" t="n"/>
      <c r="M182" s="95" t="n"/>
      <c r="N182" s="95" t="n"/>
    </row>
    <row r="183">
      <c r="A183" s="95" t="n"/>
      <c r="B183" s="95" t="n"/>
      <c r="C183" s="95" t="n"/>
      <c r="D183" s="95" t="n"/>
      <c r="E183" s="95" t="n"/>
      <c r="F183" s="95" t="n"/>
      <c r="G183" s="95" t="n"/>
      <c r="H183" s="95" t="n"/>
      <c r="I183" s="95" t="n"/>
      <c r="J183" s="95" t="n"/>
      <c r="K183" s="95" t="n"/>
      <c r="L183" s="95" t="n"/>
      <c r="M183" s="95" t="n"/>
      <c r="N183" s="95" t="n"/>
    </row>
    <row r="184">
      <c r="A184" s="95" t="n"/>
      <c r="B184" s="95" t="n"/>
      <c r="C184" s="95" t="n"/>
      <c r="D184" s="95" t="n"/>
      <c r="E184" s="95" t="n"/>
      <c r="F184" s="95" t="n"/>
      <c r="G184" s="95" t="n"/>
      <c r="H184" s="95" t="n"/>
      <c r="I184" s="95" t="n"/>
      <c r="J184" s="95" t="n"/>
      <c r="K184" s="95" t="n"/>
      <c r="L184" s="95" t="n"/>
      <c r="M184" s="95" t="n"/>
      <c r="N184" s="95" t="n"/>
    </row>
    <row r="185">
      <c r="A185" s="95" t="n"/>
      <c r="B185" s="95" t="n"/>
      <c r="C185" s="95" t="n"/>
      <c r="D185" s="95" t="n"/>
      <c r="E185" s="95" t="n"/>
      <c r="F185" s="95" t="n"/>
      <c r="G185" s="95" t="n"/>
      <c r="H185" s="95" t="n"/>
      <c r="I185" s="95" t="n"/>
      <c r="J185" s="95" t="n"/>
      <c r="K185" s="95" t="n"/>
      <c r="L185" s="95" t="n"/>
      <c r="M185" s="95" t="n"/>
      <c r="N185" s="95" t="n"/>
    </row>
    <row r="186">
      <c r="A186" s="95" t="n"/>
      <c r="B186" s="95" t="n"/>
      <c r="C186" s="95" t="n"/>
      <c r="D186" s="95" t="n"/>
      <c r="E186" s="95" t="n"/>
      <c r="F186" s="95" t="n"/>
      <c r="G186" s="95" t="n"/>
      <c r="H186" s="95" t="n"/>
      <c r="I186" s="95" t="n"/>
      <c r="J186" s="95" t="n"/>
      <c r="K186" s="95" t="n"/>
      <c r="L186" s="95" t="n"/>
      <c r="M186" s="95" t="n"/>
      <c r="N186" s="95" t="n"/>
    </row>
    <row r="187">
      <c r="A187" s="95" t="n"/>
      <c r="B187" s="95" t="n"/>
      <c r="C187" s="95" t="n"/>
      <c r="D187" s="95" t="n"/>
      <c r="E187" s="95" t="n"/>
      <c r="F187" s="95" t="n"/>
      <c r="G187" s="95" t="n"/>
      <c r="H187" s="95" t="n"/>
      <c r="I187" s="95" t="n"/>
      <c r="J187" s="95" t="n"/>
      <c r="K187" s="95" t="n"/>
      <c r="L187" s="95" t="n"/>
      <c r="M187" s="95" t="n"/>
      <c r="N187" s="95" t="n"/>
    </row>
    <row r="188">
      <c r="A188" s="95" t="n"/>
      <c r="B188" s="95" t="n"/>
      <c r="C188" s="95" t="n"/>
      <c r="D188" s="95" t="n"/>
      <c r="E188" s="95" t="n"/>
      <c r="F188" s="95" t="n"/>
      <c r="G188" s="95" t="n"/>
      <c r="H188" s="95" t="n"/>
      <c r="I188" s="95" t="n"/>
      <c r="J188" s="95" t="n"/>
      <c r="K188" s="95" t="n"/>
      <c r="L188" s="95" t="n"/>
      <c r="M188" s="95" t="n"/>
      <c r="N188" s="95" t="n"/>
    </row>
    <row r="189">
      <c r="A189" s="95" t="n"/>
      <c r="B189" s="95" t="n"/>
      <c r="C189" s="95" t="n"/>
      <c r="D189" s="95" t="n"/>
      <c r="E189" s="95" t="n"/>
      <c r="F189" s="95" t="n"/>
      <c r="G189" s="95" t="n"/>
      <c r="H189" s="95" t="n"/>
      <c r="I189" s="95" t="n"/>
      <c r="J189" s="95" t="n"/>
      <c r="K189" s="95" t="n"/>
      <c r="L189" s="95" t="n"/>
      <c r="M189" s="95" t="n"/>
      <c r="N189" s="95" t="n"/>
    </row>
    <row r="190">
      <c r="A190" s="95" t="n"/>
      <c r="B190" s="95" t="n"/>
      <c r="C190" s="95" t="n"/>
      <c r="D190" s="95" t="n"/>
      <c r="E190" s="95" t="n"/>
      <c r="F190" s="95" t="n"/>
      <c r="G190" s="95" t="n"/>
      <c r="H190" s="95" t="n"/>
      <c r="I190" s="95" t="n"/>
      <c r="J190" s="95" t="n"/>
      <c r="K190" s="95" t="n"/>
      <c r="L190" s="95" t="n"/>
      <c r="M190" s="95" t="n"/>
      <c r="N190" s="95" t="n"/>
    </row>
    <row r="191">
      <c r="A191" s="95" t="n"/>
      <c r="B191" s="95" t="n"/>
      <c r="C191" s="95" t="n"/>
      <c r="D191" s="95" t="n"/>
      <c r="E191" s="95" t="n"/>
      <c r="F191" s="95" t="n"/>
      <c r="G191" s="95" t="n"/>
      <c r="H191" s="95" t="n"/>
      <c r="I191" s="95" t="n"/>
      <c r="J191" s="95" t="n"/>
      <c r="K191" s="95" t="n"/>
      <c r="L191" s="95" t="n"/>
      <c r="M191" s="95" t="n"/>
      <c r="N191" s="95" t="n"/>
    </row>
    <row r="192">
      <c r="A192" s="95" t="n"/>
      <c r="B192" s="95" t="n"/>
      <c r="C192" s="95" t="n"/>
      <c r="D192" s="95" t="n"/>
      <c r="E192" s="95" t="n"/>
      <c r="F192" s="95" t="n"/>
      <c r="G192" s="95" t="n"/>
      <c r="H192" s="95" t="n"/>
      <c r="I192" s="95" t="n"/>
      <c r="J192" s="95" t="n"/>
      <c r="K192" s="95" t="n"/>
      <c r="L192" s="95" t="n"/>
      <c r="M192" s="95" t="n"/>
      <c r="N192" s="95" t="n"/>
    </row>
    <row r="193">
      <c r="A193" s="95" t="n"/>
      <c r="B193" s="95" t="n"/>
      <c r="C193" s="95" t="n"/>
      <c r="D193" s="95" t="n"/>
      <c r="E193" s="95" t="n"/>
      <c r="F193" s="95" t="n"/>
      <c r="G193" s="95" t="n"/>
      <c r="H193" s="95" t="n"/>
      <c r="I193" s="95" t="n"/>
      <c r="J193" s="95" t="n"/>
      <c r="K193" s="95" t="n"/>
      <c r="L193" s="95" t="n"/>
      <c r="M193" s="95" t="n"/>
      <c r="N193" s="95" t="n"/>
    </row>
    <row r="194">
      <c r="A194" s="95" t="n"/>
      <c r="B194" s="95" t="n"/>
      <c r="C194" s="95" t="n"/>
      <c r="D194" s="95" t="n"/>
      <c r="E194" s="95" t="n"/>
      <c r="F194" s="95" t="n"/>
      <c r="G194" s="95" t="n"/>
      <c r="H194" s="95" t="n"/>
      <c r="I194" s="95" t="n"/>
      <c r="J194" s="95" t="n"/>
      <c r="K194" s="95" t="n"/>
      <c r="L194" s="95" t="n"/>
      <c r="M194" s="95" t="n"/>
      <c r="N194" s="95" t="n"/>
    </row>
    <row r="195">
      <c r="A195" s="95" t="n"/>
      <c r="B195" s="95" t="n"/>
      <c r="C195" s="95" t="n"/>
      <c r="D195" s="95" t="n"/>
      <c r="E195" s="95" t="n"/>
      <c r="F195" s="95" t="n"/>
      <c r="G195" s="95" t="n"/>
      <c r="H195" s="95" t="n"/>
      <c r="I195" s="95" t="n"/>
      <c r="J195" s="95" t="n"/>
      <c r="K195" s="95" t="n"/>
      <c r="L195" s="95" t="n"/>
      <c r="M195" s="95" t="n"/>
      <c r="N195" s="95" t="n"/>
    </row>
    <row r="196">
      <c r="A196" s="95" t="n"/>
      <c r="B196" s="95" t="n"/>
      <c r="C196" s="95" t="n"/>
      <c r="D196" s="95" t="n"/>
      <c r="E196" s="95" t="n"/>
      <c r="F196" s="95" t="n"/>
      <c r="G196" s="95" t="n"/>
      <c r="H196" s="95" t="n"/>
      <c r="I196" s="95" t="n"/>
      <c r="J196" s="95" t="n"/>
      <c r="K196" s="95" t="n"/>
      <c r="L196" s="95" t="n"/>
      <c r="M196" s="95" t="n"/>
      <c r="N196" s="95" t="n"/>
    </row>
    <row r="197" ht="16" customHeight="1">
      <c r="A197" s="95" t="n"/>
      <c r="B197" s="95" t="n"/>
      <c r="C197" s="95" t="n"/>
      <c r="D197" s="95" t="n"/>
      <c r="E197" s="95" t="n"/>
      <c r="F197" s="95" t="n"/>
      <c r="G197" s="95" t="n"/>
      <c r="H197" s="95" t="n"/>
      <c r="I197" s="95" t="n"/>
      <c r="J197" s="95" t="n"/>
      <c r="K197" s="95" t="n"/>
      <c r="L197" s="95" t="n"/>
      <c r="M197" s="95" t="n"/>
      <c r="N197" s="95" t="n"/>
    </row>
    <row r="198">
      <c r="A198" s="95" t="n"/>
      <c r="B198" s="95" t="n"/>
      <c r="C198" s="95" t="n"/>
      <c r="D198" s="95" t="n"/>
      <c r="E198" s="95" t="n"/>
      <c r="F198" s="95" t="n"/>
      <c r="G198" s="95" t="n"/>
      <c r="H198" s="95" t="n"/>
      <c r="I198" s="95" t="n"/>
    </row>
    <row r="199">
      <c r="A199" s="95" t="n"/>
      <c r="B199" s="95" t="n"/>
      <c r="C199" s="95" t="n"/>
      <c r="D199" s="95" t="n"/>
      <c r="E199" s="95" t="n"/>
      <c r="F199" s="95" t="n"/>
      <c r="G199" s="95" t="n"/>
      <c r="H199" s="95" t="n"/>
      <c r="I199" s="95" t="n"/>
    </row>
    <row r="200">
      <c r="A200" s="95" t="n"/>
      <c r="B200" s="95" t="n"/>
      <c r="C200" s="95" t="n"/>
      <c r="D200" s="95" t="n"/>
      <c r="E200" s="95" t="n"/>
      <c r="F200" s="95" t="n"/>
      <c r="G200" s="95" t="n"/>
      <c r="H200" s="95" t="n"/>
      <c r="I200" s="95" t="n"/>
    </row>
    <row r="201">
      <c r="A201" s="95" t="n"/>
      <c r="B201" s="95" t="n"/>
      <c r="C201" s="95" t="n"/>
      <c r="D201" s="95" t="n"/>
      <c r="E201" s="95" t="n"/>
      <c r="F201" s="95" t="n"/>
      <c r="G201" s="95" t="n"/>
      <c r="H201" s="95" t="n"/>
      <c r="I201" s="95" t="n"/>
      <c r="J201" s="95" t="n"/>
      <c r="K201" s="95" t="n"/>
      <c r="L201" s="95" t="n"/>
    </row>
    <row r="202">
      <c r="A202" s="95" t="n"/>
      <c r="B202" s="95" t="n"/>
      <c r="C202" s="95" t="n"/>
      <c r="D202" s="95" t="n"/>
      <c r="E202" s="95" t="n"/>
      <c r="F202" s="95" t="n"/>
      <c r="G202" s="95" t="n"/>
      <c r="H202" s="95" t="n"/>
      <c r="I202" s="95" t="n"/>
      <c r="J202" s="95" t="n"/>
      <c r="K202" s="95" t="n"/>
      <c r="L202" s="95" t="n"/>
    </row>
    <row r="203">
      <c r="A203" s="95" t="n"/>
      <c r="B203" s="95" t="n"/>
      <c r="C203" s="95" t="n"/>
      <c r="D203" s="95" t="n"/>
      <c r="E203" s="95" t="n"/>
      <c r="F203" s="95" t="n"/>
      <c r="G203" s="95" t="n"/>
      <c r="H203" s="95" t="n"/>
      <c r="I203" s="95" t="n"/>
      <c r="J203" s="95" t="n"/>
      <c r="K203" s="95" t="n"/>
      <c r="L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5" t="n"/>
      <c r="B207" s="95" t="n"/>
      <c r="C207" s="95" t="n"/>
      <c r="D207" s="95" t="n"/>
      <c r="E207" s="95" t="n"/>
      <c r="F207" s="95" t="n"/>
      <c r="G207" s="95" t="n"/>
      <c r="H207" s="95" t="n"/>
      <c r="I207" s="95" t="n"/>
      <c r="J207" s="95" t="n"/>
      <c r="K207" s="95" t="n"/>
      <c r="L207" s="95" t="n"/>
    </row>
    <row r="208">
      <c r="A208" s="94" t="n"/>
      <c r="B208" s="95" t="n"/>
      <c r="C208" s="95" t="n"/>
      <c r="D208" s="95" t="n"/>
      <c r="E208" s="95" t="n"/>
      <c r="F208" s="95" t="n"/>
      <c r="G208" s="95" t="n"/>
      <c r="H208" s="95" t="n"/>
      <c r="I208" s="95" t="n"/>
      <c r="J208" s="95" t="n"/>
      <c r="K208" s="95" t="n"/>
      <c r="L208" s="95" t="n"/>
    </row>
    <row r="209">
      <c r="A209" s="94" t="n"/>
      <c r="B209" s="95" t="n"/>
      <c r="C209" s="95" t="n"/>
      <c r="D209" s="95" t="n"/>
      <c r="E209" s="95" t="n"/>
      <c r="F209" s="95" t="n"/>
      <c r="G209" s="95" t="n"/>
      <c r="H209" s="95" t="n"/>
      <c r="I209" s="95" t="n"/>
      <c r="J209" s="95" t="n"/>
      <c r="K209" s="95" t="n"/>
      <c r="L209" s="95" t="n"/>
    </row>
    <row r="210">
      <c r="A210" s="94"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A218" s="94" t="n"/>
      <c r="B218" s="95" t="n"/>
      <c r="C218" s="95" t="n"/>
      <c r="D218" s="95" t="n"/>
      <c r="E218" s="95" t="n"/>
      <c r="F218" s="95" t="n"/>
      <c r="G218" s="95" t="n"/>
      <c r="H218" s="95" t="n"/>
      <c r="I218" s="95" t="n"/>
      <c r="J218" s="95" t="n"/>
      <c r="K218" s="95" t="n"/>
      <c r="L218" s="95" t="n"/>
    </row>
    <row r="219">
      <c r="G219" s="95" t="n"/>
      <c r="H219" s="95" t="n"/>
      <c r="I219" s="95" t="n"/>
      <c r="J219" s="95" t="n"/>
      <c r="K219" s="95" t="n"/>
      <c r="L219" s="95" t="n"/>
    </row>
    <row r="220">
      <c r="G220" s="95" t="n"/>
      <c r="H220" s="95" t="n"/>
      <c r="I220" s="95" t="n"/>
      <c r="J220" s="95" t="n"/>
      <c r="K220" s="95" t="n"/>
      <c r="L220" s="95" t="n"/>
    </row>
    <row r="221">
      <c r="G221" s="95" t="n"/>
      <c r="H221" s="95" t="n"/>
      <c r="I221" s="95" t="n"/>
      <c r="J221" s="95" t="n"/>
      <c r="K221" s="95" t="n"/>
      <c r="L221" s="95" t="n"/>
    </row>
  </sheetData>
  <mergeCells count="43">
    <mergeCell ref="A65:I65"/>
    <mergeCell ref="D13:F13"/>
    <mergeCell ref="G13:I13"/>
    <mergeCell ref="B8:D8"/>
    <mergeCell ref="D41:I41"/>
    <mergeCell ref="A66:I66"/>
    <mergeCell ref="A12:I12"/>
    <mergeCell ref="C57:I57"/>
    <mergeCell ref="B39:C39"/>
    <mergeCell ref="B52:I52"/>
    <mergeCell ref="B48:I48"/>
    <mergeCell ref="A47:I47"/>
    <mergeCell ref="A5:I5"/>
    <mergeCell ref="B9:D9"/>
    <mergeCell ref="A53:I53"/>
    <mergeCell ref="A62:I62"/>
    <mergeCell ref="B6:D6"/>
    <mergeCell ref="D39:I39"/>
    <mergeCell ref="A43:I43"/>
    <mergeCell ref="A13:C13"/>
    <mergeCell ref="D42:I42"/>
    <mergeCell ref="A63:I63"/>
    <mergeCell ref="A10:I10"/>
    <mergeCell ref="A1:I4"/>
    <mergeCell ref="A42:B42"/>
    <mergeCell ref="A67:I67"/>
    <mergeCell ref="A44:I46"/>
    <mergeCell ref="C54:I54"/>
    <mergeCell ref="B40:C40"/>
    <mergeCell ref="A58:I58"/>
    <mergeCell ref="B7:D7"/>
    <mergeCell ref="B49:I49"/>
    <mergeCell ref="C55:I55"/>
    <mergeCell ref="A64:I64"/>
    <mergeCell ref="A59:I59"/>
    <mergeCell ref="A11:I11"/>
    <mergeCell ref="C56:I56"/>
    <mergeCell ref="A60:I60"/>
    <mergeCell ref="D40:I40"/>
    <mergeCell ref="B51:I51"/>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102" min="0" max="8" man="1"/>
  </rowBreaks>
</worksheet>
</file>

<file path=xl/worksheets/sheet6.xml><?xml version="1.0" encoding="utf-8"?>
<worksheet xmlns="http://schemas.openxmlformats.org/spreadsheetml/2006/main">
  <sheetPr>
    <outlinePr summaryBelow="1" summaryRight="1"/>
    <pageSetUpPr fitToPage="1"/>
  </sheetPr>
  <dimension ref="A1:N222"/>
  <sheetViews>
    <sheetView view="pageBreakPreview" topLeftCell="D1" zoomScale="70" zoomScaleNormal="55" zoomScaleSheetLayoutView="70" workbookViewId="0">
      <selection activeCell="I6" sqref="I6"/>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45968</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13-270C,  Wind:  40 km/h SW, Precip: 0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v>3</v>
      </c>
    </row>
    <row r="17" ht="23.25" customHeight="1">
      <c r="A17" s="24" t="inlineStr">
        <is>
          <t>O"SHEA, John</t>
        </is>
      </c>
      <c r="B17" s="25" t="inlineStr">
        <is>
          <t>Senior Project Engineer</t>
        </is>
      </c>
      <c r="C17" s="26" t="n"/>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v>10</v>
      </c>
      <c r="D18" s="31" t="n"/>
      <c r="E18" s="32" t="n"/>
      <c r="F18" s="28" t="n"/>
      <c r="G18" s="29" t="inlineStr">
        <is>
          <t>Griffiths, Jaquai</t>
        </is>
      </c>
      <c r="H18" s="25" t="inlineStr">
        <is>
          <t>Operator</t>
        </is>
      </c>
      <c r="I18" s="30" t="n">
        <v>10</v>
      </c>
    </row>
    <row r="19" ht="23.25" customHeight="1">
      <c r="A19" s="24" t="inlineStr">
        <is>
          <t>THOMPSON,Cheryl</t>
        </is>
      </c>
      <c r="B19" s="25" t="inlineStr">
        <is>
          <t>HSET</t>
        </is>
      </c>
      <c r="C19" s="26" t="n"/>
      <c r="D19" s="31" t="n"/>
      <c r="E19" s="32" t="n"/>
      <c r="F19" s="28" t="n"/>
      <c r="G19" s="29" t="inlineStr">
        <is>
          <t>McConnell, Adam</t>
        </is>
      </c>
      <c r="H19" s="25" t="inlineStr">
        <is>
          <t>Labourer</t>
        </is>
      </c>
      <c r="I19" s="30" t="n">
        <v>12</v>
      </c>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v>12</v>
      </c>
      <c r="D21" s="31" t="n"/>
      <c r="E21" s="32" t="n"/>
      <c r="F21" s="28" t="n"/>
      <c r="G21" s="29" t="inlineStr">
        <is>
          <t>Pavers</t>
        </is>
      </c>
      <c r="H21" s="25" t="inlineStr">
        <is>
          <t>Pavers</t>
        </is>
      </c>
      <c r="I21" s="30" t="n">
        <v>30</v>
      </c>
    </row>
    <row r="22" ht="23.25" customHeight="1">
      <c r="A22" s="24" t="inlineStr">
        <is>
          <t>JOGI, Amit</t>
        </is>
      </c>
      <c r="B22" s="25" t="inlineStr">
        <is>
          <t>Project Engineer</t>
        </is>
      </c>
      <c r="C22" s="26" t="n">
        <v>12</v>
      </c>
      <c r="D22" s="31" t="n"/>
      <c r="E22" s="32" t="n"/>
      <c r="F22" s="28" t="n"/>
      <c r="G22" s="29" t="inlineStr">
        <is>
          <t>Think Water</t>
        </is>
      </c>
      <c r="H22" s="25" t="inlineStr">
        <is>
          <t>Irrigation</t>
        </is>
      </c>
      <c r="I22" s="127" t="n">
        <v>8</v>
      </c>
    </row>
    <row r="23" ht="23.25" customHeight="1" thickBot="1">
      <c r="A23" s="130" t="n"/>
      <c r="B23" s="120" t="n"/>
      <c r="C23" s="121" t="n"/>
      <c r="D23" s="122" t="n"/>
      <c r="E23" s="123" t="n"/>
      <c r="F23" s="124" t="n"/>
      <c r="G23" s="125" t="n"/>
      <c r="H23" s="126" t="n"/>
      <c r="I23" s="128" t="n"/>
    </row>
    <row r="24" ht="23.25" customHeight="1" thickTop="1">
      <c r="A24" s="173" t="inlineStr">
        <is>
          <t xml:space="preserve">Total Indirect Personnel onsite: </t>
        </is>
      </c>
      <c r="B24" s="116">
        <f>COUNT(C15:C23)</f>
        <v/>
      </c>
      <c r="C24" s="117" t="n"/>
      <c r="D24" s="118" t="inlineStr">
        <is>
          <t xml:space="preserve">Total Direct Personnel onsite:  </t>
        </is>
      </c>
      <c r="E24" s="116">
        <f>COUNT(F15:F23)</f>
        <v/>
      </c>
      <c r="F24" s="21" t="n"/>
      <c r="G24" s="119" t="inlineStr">
        <is>
          <t>Total Subcontractor on-site:</t>
        </is>
      </c>
      <c r="H24" s="116">
        <f>COUNT(I15:I22)</f>
        <v/>
      </c>
      <c r="I24" s="23" t="n"/>
    </row>
    <row r="25" ht="23.25" customHeight="1">
      <c r="A25" s="48" t="inlineStr">
        <is>
          <t xml:space="preserve">Total Indirect Personnel hours: </t>
        </is>
      </c>
      <c r="B25" s="93">
        <f>SUM(C15:C22)</f>
        <v/>
      </c>
      <c r="C25" s="52" t="n"/>
      <c r="D25" s="50" t="inlineStr">
        <is>
          <t xml:space="preserve">Total Direct Personnel hours: </t>
        </is>
      </c>
      <c r="E25" s="93">
        <f>SUM(F15:F16)</f>
        <v/>
      </c>
      <c r="F25" s="53" t="n"/>
      <c r="G25" s="51" t="inlineStr">
        <is>
          <t>Total Subcontractor hours:</t>
        </is>
      </c>
      <c r="H25" s="93">
        <f>SUM(I11:I22)</f>
        <v/>
      </c>
      <c r="I25" s="200" t="n"/>
    </row>
    <row r="26" ht="25" customHeight="1">
      <c r="A26" s="56" t="inlineStr">
        <is>
          <t>PLANT &amp; EQUIPMENT</t>
        </is>
      </c>
      <c r="B26" s="57" t="n"/>
      <c r="C26" s="57" t="n"/>
      <c r="D26" s="57" t="n"/>
      <c r="E26" s="57" t="n"/>
      <c r="F26" s="57" t="n"/>
      <c r="G26" s="57" t="n"/>
      <c r="H26" s="57" t="n"/>
      <c r="I26" s="58" t="n"/>
    </row>
    <row r="27" ht="24" customHeight="1" thickBot="1">
      <c r="A27" s="59" t="inlineStr">
        <is>
          <t>Plant</t>
        </is>
      </c>
      <c r="B27" s="60" t="inlineStr">
        <is>
          <t>ID</t>
        </is>
      </c>
      <c r="C27" s="61" t="inlineStr">
        <is>
          <t>Hrs</t>
        </is>
      </c>
      <c r="D27" s="62" t="inlineStr">
        <is>
          <t xml:space="preserve"> Vehicles</t>
        </is>
      </c>
      <c r="E27" s="60" t="inlineStr">
        <is>
          <t>ID</t>
        </is>
      </c>
      <c r="F27" s="63" t="inlineStr">
        <is>
          <t>QTY</t>
        </is>
      </c>
      <c r="G27" s="64" t="inlineStr">
        <is>
          <t>Site Facilities</t>
        </is>
      </c>
      <c r="H27" s="65" t="inlineStr">
        <is>
          <t>ID</t>
        </is>
      </c>
      <c r="I27" s="66" t="inlineStr">
        <is>
          <t>Qty</t>
        </is>
      </c>
    </row>
    <row r="28" ht="23.25" customHeight="1" thickTop="1">
      <c r="A28" s="75" t="inlineStr">
        <is>
          <t>IT Loader</t>
        </is>
      </c>
      <c r="B28" s="72" t="inlineStr">
        <is>
          <t>LD011</t>
        </is>
      </c>
      <c r="C28" s="26" t="n">
        <v>5</v>
      </c>
      <c r="D28" s="67" t="inlineStr">
        <is>
          <t>Hilux</t>
        </is>
      </c>
      <c r="E28" s="68" t="inlineStr">
        <is>
          <t>DLV90</t>
        </is>
      </c>
      <c r="F28" s="69" t="n">
        <v>1</v>
      </c>
      <c r="G28" s="70" t="inlineStr">
        <is>
          <t>Office 40ft</t>
        </is>
      </c>
      <c r="H28" s="68" t="n">
        <v>9255540</v>
      </c>
      <c r="I28" s="23" t="n">
        <v>1</v>
      </c>
    </row>
    <row r="29" ht="23.25" customHeight="1">
      <c r="A29" s="24" t="inlineStr">
        <is>
          <t>Wacker Neuson DPU</t>
        </is>
      </c>
      <c r="B29" s="25" t="inlineStr">
        <is>
          <t>DPC15</t>
        </is>
      </c>
      <c r="C29" s="106" t="n"/>
      <c r="D29" s="71" t="inlineStr">
        <is>
          <t>Hilux</t>
        </is>
      </c>
      <c r="E29" s="72" t="inlineStr">
        <is>
          <t>1DLV04</t>
        </is>
      </c>
      <c r="F29" s="73" t="n">
        <v>1</v>
      </c>
      <c r="G29" s="74" t="inlineStr">
        <is>
          <t>Sea Container 20ft</t>
        </is>
      </c>
      <c r="H29" s="25" t="n">
        <v>951200</v>
      </c>
      <c r="I29" s="30" t="n">
        <v>1</v>
      </c>
    </row>
    <row r="30" ht="23.25" customHeight="1">
      <c r="A30" s="75" t="inlineStr">
        <is>
          <t>Watercart</t>
        </is>
      </c>
      <c r="B30" s="72" t="inlineStr">
        <is>
          <t>A119</t>
        </is>
      </c>
      <c r="C30" s="106" t="n">
        <v>3</v>
      </c>
      <c r="D30" s="71" t="n"/>
      <c r="E30" s="25" t="n"/>
      <c r="F30" s="73" t="n"/>
      <c r="G30" s="74" t="inlineStr">
        <is>
          <t>Site Sentry Tower</t>
        </is>
      </c>
      <c r="H30" s="72" t="inlineStr">
        <is>
          <t>NA</t>
        </is>
      </c>
      <c r="I30" s="30" t="n">
        <v>2</v>
      </c>
    </row>
    <row r="31" ht="23.25" customHeight="1">
      <c r="A31" s="75" t="inlineStr">
        <is>
          <t>8T Excavator</t>
        </is>
      </c>
      <c r="B31" s="76" t="inlineStr">
        <is>
          <t>AMG 014</t>
        </is>
      </c>
      <c r="C31" s="106" t="n"/>
      <c r="D31" s="71" t="n"/>
      <c r="E31" s="72" t="n"/>
      <c r="F31" s="73" t="n"/>
      <c r="G31" s="74" t="inlineStr">
        <is>
          <t>Skip Bin</t>
        </is>
      </c>
      <c r="H31" s="72" t="inlineStr">
        <is>
          <t>NA</t>
        </is>
      </c>
      <c r="I31" s="30" t="n">
        <v>1</v>
      </c>
    </row>
    <row r="32" ht="23.25" customHeight="1">
      <c r="A32" s="75" t="inlineStr">
        <is>
          <t>Mini Tipper</t>
        </is>
      </c>
      <c r="B32" s="72" t="inlineStr">
        <is>
          <t>SLS04</t>
        </is>
      </c>
      <c r="C32" s="26" t="n">
        <v>6</v>
      </c>
      <c r="D32" s="71" t="n"/>
      <c r="E32" s="72" t="n"/>
      <c r="F32" s="73" t="n"/>
      <c r="G32" s="74" t="inlineStr">
        <is>
          <t>Hydrocarbon Bund</t>
        </is>
      </c>
      <c r="H32" s="72" t="inlineStr">
        <is>
          <t>NA</t>
        </is>
      </c>
      <c r="I32" s="30" t="n">
        <v>1</v>
      </c>
    </row>
    <row r="33" ht="23.25" customHeight="1">
      <c r="A33" s="75" t="inlineStr">
        <is>
          <t>Skid Steer</t>
        </is>
      </c>
      <c r="B33" s="72" t="inlineStr">
        <is>
          <t>SLS03</t>
        </is>
      </c>
      <c r="C33" s="26" t="n">
        <v>2</v>
      </c>
      <c r="D33" s="71" t="n"/>
      <c r="E33" s="72" t="n"/>
      <c r="F33" s="73" t="n"/>
      <c r="G33" s="74" t="inlineStr">
        <is>
          <t>Temp Fence</t>
        </is>
      </c>
      <c r="H33" s="25" t="inlineStr">
        <is>
          <t>NA</t>
        </is>
      </c>
      <c r="I33" s="30" t="n">
        <v>1</v>
      </c>
    </row>
    <row r="34" ht="23.25" customHeight="1">
      <c r="A34" s="75" t="inlineStr">
        <is>
          <t>1t Excavator</t>
        </is>
      </c>
      <c r="B34" s="72" t="inlineStr">
        <is>
          <t>SLS02</t>
        </is>
      </c>
      <c r="C34" s="26" t="n"/>
      <c r="D34" s="71" t="n"/>
      <c r="E34" s="72" t="n"/>
      <c r="F34" s="73" t="n"/>
      <c r="G34" s="74" t="n"/>
      <c r="H34" s="25" t="n"/>
      <c r="I34" s="30" t="n"/>
    </row>
    <row r="35" ht="23.25" customHeight="1">
      <c r="A35" s="75" t="inlineStr">
        <is>
          <t>1t Excavator</t>
        </is>
      </c>
      <c r="B35" s="72" t="inlineStr">
        <is>
          <t>DEX30</t>
        </is>
      </c>
      <c r="C35" s="26" t="n"/>
      <c r="D35" s="71" t="n"/>
      <c r="E35" s="72" t="n"/>
      <c r="F35" s="73" t="n"/>
      <c r="G35" s="74" t="n"/>
      <c r="H35" s="25" t="n"/>
      <c r="I35" s="30" t="n"/>
    </row>
    <row r="36" ht="24" customHeight="1">
      <c r="A36" s="75" t="inlineStr">
        <is>
          <t>8T Excavator (Wheeled)</t>
        </is>
      </c>
      <c r="B36" s="72" t="inlineStr">
        <is>
          <t>BCC12</t>
        </is>
      </c>
      <c r="C36" s="26" t="n"/>
      <c r="D36" s="71" t="n"/>
      <c r="E36" s="72" t="n"/>
      <c r="F36" s="73" t="n"/>
      <c r="G36" s="77" t="n"/>
      <c r="H36" s="78" t="n"/>
      <c r="I36" s="79" t="n"/>
    </row>
    <row r="37" ht="24" customHeight="1">
      <c r="A37" s="75" t="inlineStr">
        <is>
          <t>14t Excavator with GPS</t>
        </is>
      </c>
      <c r="B37" s="72" t="inlineStr">
        <is>
          <t>EX197</t>
        </is>
      </c>
      <c r="C37" s="26" t="n">
        <v>9.5</v>
      </c>
      <c r="D37" s="71" t="n"/>
      <c r="E37" s="72" t="n"/>
      <c r="F37" s="73" t="n"/>
      <c r="G37" s="77" t="n"/>
      <c r="H37" s="78" t="n"/>
      <c r="I37" s="79" t="n"/>
    </row>
    <row r="38" ht="24" customHeight="1" thickBot="1">
      <c r="A38" s="75" t="inlineStr">
        <is>
          <t>Roller</t>
        </is>
      </c>
      <c r="B38" s="72" t="inlineStr">
        <is>
          <t>R538</t>
        </is>
      </c>
      <c r="C38" s="106" t="n">
        <v>2.5</v>
      </c>
      <c r="D38" s="71" t="n"/>
      <c r="E38" s="72" t="n"/>
      <c r="F38" s="73" t="n"/>
      <c r="G38" s="77" t="n"/>
      <c r="H38" s="78" t="n"/>
      <c r="I38" s="79" t="n"/>
    </row>
    <row r="39" ht="24" customHeight="1" thickTop="1">
      <c r="A39" s="85" t="n">
        <v>0</v>
      </c>
      <c r="B39" s="158" t="inlineStr">
        <is>
          <t xml:space="preserve">Repairs Required </t>
        </is>
      </c>
      <c r="C39" s="239" t="n"/>
      <c r="D39" s="160" t="inlineStr">
        <is>
          <t>NA</t>
        </is>
      </c>
      <c r="E39" s="240" t="n"/>
      <c r="F39" s="240" t="n"/>
      <c r="G39" s="240" t="n"/>
      <c r="H39" s="240" t="n"/>
      <c r="I39" s="241" t="n"/>
    </row>
    <row r="40" ht="24" customHeight="1">
      <c r="A40" s="86" t="n">
        <v>0</v>
      </c>
      <c r="B40" s="163" t="inlineStr">
        <is>
          <t>Scheduled Service</t>
        </is>
      </c>
      <c r="C40" s="234" t="n"/>
      <c r="D40" s="165" t="inlineStr">
        <is>
          <t>NA</t>
        </is>
      </c>
      <c r="E40" s="233" t="n"/>
      <c r="F40" s="233" t="n"/>
      <c r="G40" s="233" t="n"/>
      <c r="H40" s="233" t="n"/>
      <c r="I40" s="235" t="n"/>
    </row>
    <row r="41" ht="24" customHeight="1" thickBot="1">
      <c r="A41" s="87" t="n">
        <v>0</v>
      </c>
      <c r="B41" s="168" t="inlineStr">
        <is>
          <t>Repairs Required but Operable</t>
        </is>
      </c>
      <c r="C41" s="242" t="n"/>
      <c r="D41" s="170" t="inlineStr">
        <is>
          <t>NA</t>
        </is>
      </c>
      <c r="E41" s="243" t="n"/>
      <c r="F41" s="243" t="n"/>
      <c r="G41" s="243" t="n"/>
      <c r="H41" s="243" t="n"/>
      <c r="I41" s="244" t="n"/>
    </row>
    <row r="42" ht="23.25" customHeight="1" thickTop="1">
      <c r="A42" s="173" t="inlineStr">
        <is>
          <t xml:space="preserve">Total Plant and Equipment Hours: </t>
        </is>
      </c>
      <c r="B42" s="245" t="n"/>
      <c r="C42" s="88">
        <f>SUM(C28:C38)</f>
        <v/>
      </c>
      <c r="D42" s="175" t="n"/>
      <c r="E42" s="231" t="n"/>
      <c r="F42" s="231" t="n"/>
      <c r="G42" s="231" t="n"/>
      <c r="H42" s="231" t="n"/>
      <c r="I42" s="232" t="n"/>
    </row>
    <row r="43" ht="25" customHeight="1">
      <c r="A43" s="146" t="inlineStr">
        <is>
          <t>DELAYS-OPPORTUNITY</t>
        </is>
      </c>
      <c r="B43" s="233" t="n"/>
      <c r="C43" s="233" t="n"/>
      <c r="D43" s="233" t="n"/>
      <c r="E43" s="233" t="n"/>
      <c r="F43" s="233" t="n"/>
      <c r="G43" s="233" t="n"/>
      <c r="H43" s="233" t="n"/>
      <c r="I43" s="235" t="n"/>
    </row>
    <row r="44" ht="69" customHeight="1" thickBot="1">
      <c r="A44" s="215"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Lateral reticulation pipes hit multiple times during NBN pit installation due to relocation within NBN alignment. Multitude of rework identified.
Vacuum truck used for light poles in locations indicating possible service interfaces. 
Issues around Watercorp Connection Identified
</t>
        </is>
      </c>
      <c r="B44" s="236" t="n"/>
      <c r="C44" s="236" t="n"/>
      <c r="D44" s="236" t="n"/>
      <c r="E44" s="236" t="n"/>
      <c r="F44" s="236" t="n"/>
      <c r="G44" s="236" t="n"/>
      <c r="H44" s="236" t="n"/>
      <c r="I44" s="237" t="n"/>
    </row>
    <row r="45" ht="45" customHeight="1" thickBot="1">
      <c r="A45" s="228" t="n"/>
      <c r="I45" s="229" t="n"/>
    </row>
    <row r="46" hidden="1" ht="9.75" customHeight="1" thickBot="1">
      <c r="A46" s="246" t="n"/>
      <c r="B46" s="247" t="n"/>
      <c r="C46" s="247" t="n"/>
      <c r="D46" s="247" t="n"/>
      <c r="E46" s="247" t="n"/>
      <c r="F46" s="247" t="n"/>
      <c r="G46" s="247" t="n"/>
      <c r="H46" s="247" t="n"/>
      <c r="I46" s="248" t="n"/>
    </row>
    <row r="47" ht="25" customHeight="1">
      <c r="A47" s="185" t="inlineStr">
        <is>
          <t>HSEQ MESSAGES</t>
        </is>
      </c>
      <c r="B47" s="249" t="n"/>
      <c r="C47" s="249" t="n"/>
      <c r="D47" s="249" t="n"/>
      <c r="E47" s="249" t="n"/>
      <c r="F47" s="249" t="n"/>
      <c r="G47" s="249" t="n"/>
      <c r="H47" s="249" t="n"/>
      <c r="I47" s="250" t="n"/>
    </row>
    <row r="48" ht="24" customHeight="1">
      <c r="A48" s="89" t="inlineStr">
        <is>
          <t>TCD - Monthly Safety Focus:</t>
        </is>
      </c>
      <c r="B48" s="155" t="inlineStr">
        <is>
          <t>Cyclones &amp; Wet Weather</t>
        </is>
      </c>
      <c r="C48" s="233" t="n"/>
      <c r="D48" s="233" t="n"/>
      <c r="E48" s="233" t="n"/>
      <c r="F48" s="233" t="n"/>
      <c r="G48" s="233" t="n"/>
      <c r="H48" s="233" t="n"/>
      <c r="I48" s="234" t="n"/>
    </row>
    <row r="49" ht="24" customHeight="1">
      <c r="A49" s="89" t="inlineStr">
        <is>
          <t>TCD - Daily Safety Focus:</t>
        </is>
      </c>
      <c r="B49" s="188" t="inlineStr">
        <is>
          <t>Attention to details</t>
        </is>
      </c>
      <c r="C49" s="233" t="n"/>
      <c r="D49" s="233" t="n"/>
      <c r="E49" s="233" t="n"/>
      <c r="F49" s="233" t="n"/>
      <c r="G49" s="233" t="n"/>
      <c r="H49" s="233" t="n"/>
      <c r="I49" s="235" t="n"/>
    </row>
    <row r="50" ht="24" customHeight="1">
      <c r="A50" s="90" t="inlineStr">
        <is>
          <t xml:space="preserve">Hazards Reported: </t>
        </is>
      </c>
      <c r="B50" s="188" t="inlineStr">
        <is>
          <t>Nil</t>
        </is>
      </c>
      <c r="C50" s="233" t="n"/>
      <c r="D50" s="233" t="n"/>
      <c r="E50" s="233" t="n"/>
      <c r="F50" s="233" t="n"/>
      <c r="G50" s="233" t="n"/>
      <c r="H50" s="233" t="n"/>
      <c r="I50" s="235" t="n"/>
    </row>
    <row r="51" ht="24" customHeight="1">
      <c r="A51" s="90" t="inlineStr">
        <is>
          <t>Incident Free Days</t>
        </is>
      </c>
      <c r="B51" s="251" t="n">
        <v>4</v>
      </c>
      <c r="C51" s="233" t="n"/>
      <c r="D51" s="233" t="n"/>
      <c r="E51" s="233" t="n"/>
      <c r="F51" s="233" t="n"/>
      <c r="G51" s="233" t="n"/>
      <c r="H51" s="233" t="n"/>
      <c r="I51" s="235" t="n"/>
    </row>
    <row r="52" ht="24" customHeight="1">
      <c r="A52" s="91" t="inlineStr">
        <is>
          <t>Other Notes</t>
        </is>
      </c>
      <c r="B52" s="197" t="inlineStr">
        <is>
          <t>NA</t>
        </is>
      </c>
      <c r="C52" s="236" t="n"/>
      <c r="D52" s="236" t="n"/>
      <c r="E52" s="236" t="n"/>
      <c r="F52" s="236" t="n"/>
      <c r="G52" s="236" t="n"/>
      <c r="H52" s="236" t="n"/>
      <c r="I52" s="237" t="n"/>
    </row>
    <row r="53" ht="20.25" customHeight="1">
      <c r="A53" s="146" t="inlineStr">
        <is>
          <t xml:space="preserve">INCIDENTS &amp; REPORTS </t>
        </is>
      </c>
      <c r="B53" s="233" t="n"/>
      <c r="C53" s="233" t="n"/>
      <c r="D53" s="233" t="n"/>
      <c r="E53" s="233" t="n"/>
      <c r="F53" s="233" t="n"/>
      <c r="G53" s="233" t="n"/>
      <c r="H53" s="233" t="n"/>
      <c r="I53" s="235" t="n"/>
    </row>
    <row r="54" ht="20" customHeight="1">
      <c r="A54" s="92" t="n"/>
      <c r="B54" s="93" t="inlineStr">
        <is>
          <t>QTY</t>
        </is>
      </c>
      <c r="C54" s="200" t="inlineStr">
        <is>
          <t>Comments</t>
        </is>
      </c>
      <c r="D54" s="233" t="n"/>
      <c r="E54" s="233" t="n"/>
      <c r="F54" s="233" t="n"/>
      <c r="G54" s="233" t="n"/>
      <c r="H54" s="233" t="n"/>
      <c r="I54" s="235" t="n"/>
    </row>
    <row r="55" ht="24" customHeight="1">
      <c r="A55" s="48" t="inlineStr">
        <is>
          <t>INCIDENT</t>
        </is>
      </c>
      <c r="B55" s="25" t="n">
        <v>0</v>
      </c>
      <c r="C55" s="201" t="inlineStr">
        <is>
          <t>NA</t>
        </is>
      </c>
      <c r="D55" s="236" t="n"/>
      <c r="E55" s="236" t="n"/>
      <c r="F55" s="236" t="n"/>
      <c r="G55" s="236" t="n"/>
      <c r="H55" s="236" t="n"/>
      <c r="I55" s="237" t="n"/>
    </row>
    <row r="56" ht="24" customHeight="1">
      <c r="A56" s="101" t="inlineStr">
        <is>
          <t>IR</t>
        </is>
      </c>
      <c r="B56" s="34" t="n">
        <v>0</v>
      </c>
      <c r="C56" s="201" t="inlineStr">
        <is>
          <t>NA</t>
        </is>
      </c>
      <c r="D56" s="236" t="n"/>
      <c r="E56" s="236" t="n"/>
      <c r="F56" s="236" t="n"/>
      <c r="G56" s="236" t="n"/>
      <c r="H56" s="236" t="n"/>
      <c r="I56" s="237" t="n"/>
    </row>
    <row r="57" ht="24" customHeight="1" thickBot="1">
      <c r="A57" s="102" t="inlineStr">
        <is>
          <t>NCR</t>
        </is>
      </c>
      <c r="B57" s="103" t="n">
        <v>0</v>
      </c>
      <c r="C57" s="204" t="inlineStr">
        <is>
          <t>NA</t>
        </is>
      </c>
      <c r="D57" s="252" t="n"/>
      <c r="E57" s="252" t="n"/>
      <c r="F57" s="252" t="n"/>
      <c r="G57" s="252" t="n"/>
      <c r="H57" s="252" t="n"/>
      <c r="I57" s="253" t="n"/>
    </row>
    <row r="58" ht="20.25" customHeight="1">
      <c r="A58" s="185" t="inlineStr">
        <is>
          <t>COMMUNICATIONS</t>
        </is>
      </c>
      <c r="B58" s="249" t="n"/>
      <c r="C58" s="249" t="n"/>
      <c r="D58" s="249" t="n"/>
      <c r="E58" s="249" t="n"/>
      <c r="F58" s="249" t="n"/>
      <c r="G58" s="249" t="n"/>
      <c r="H58" s="249" t="n"/>
      <c r="I58" s="250" t="n"/>
    </row>
    <row r="59" ht="25" customHeight="1">
      <c r="A59" s="207" t="inlineStr">
        <is>
          <t>TGS MB1119-05 Scheme D implemented</t>
        </is>
      </c>
      <c r="B59" s="233" t="n"/>
      <c r="C59" s="233" t="n"/>
      <c r="D59" s="233" t="n"/>
      <c r="E59" s="233" t="n"/>
      <c r="F59" s="233" t="n"/>
      <c r="G59" s="233" t="n"/>
      <c r="H59" s="233" t="n"/>
      <c r="I59" s="235" t="n"/>
    </row>
    <row r="60" ht="25" customHeight="1">
      <c r="A60" s="146" t="inlineStr">
        <is>
          <t>PRODUCTION (CONSTRUCTION STATUS &amp; PROGRESS)</t>
        </is>
      </c>
      <c r="B60" s="233" t="n"/>
      <c r="C60" s="233" t="n"/>
      <c r="D60" s="233" t="n"/>
      <c r="E60" s="233" t="n"/>
      <c r="F60" s="233" t="n"/>
      <c r="G60" s="233" t="n"/>
      <c r="H60" s="233" t="n"/>
      <c r="I60" s="235" t="n"/>
    </row>
    <row r="61" ht="24" customHeight="1">
      <c r="A61" s="207" t="inlineStr">
        <is>
          <t>Ground Prep works and rolling for Paving along north west is ongoing</t>
        </is>
      </c>
      <c r="B61" s="233" t="n"/>
      <c r="C61" s="233" t="n"/>
      <c r="D61" s="233" t="n"/>
      <c r="E61" s="233" t="n"/>
      <c r="F61" s="233" t="n"/>
      <c r="G61" s="233" t="n"/>
      <c r="H61" s="233" t="n"/>
      <c r="I61" s="235" t="n"/>
    </row>
    <row r="62" ht="24" customHeight="1">
      <c r="A62" s="207" t="inlineStr">
        <is>
          <t>Paving at intersection is ongoing</t>
        </is>
      </c>
      <c r="B62" s="233" t="n"/>
      <c r="C62" s="233" t="n"/>
      <c r="D62" s="233" t="n"/>
      <c r="E62" s="233" t="n"/>
      <c r="F62" s="233" t="n"/>
      <c r="G62" s="233" t="n"/>
      <c r="H62" s="233" t="n"/>
      <c r="I62" s="235" t="n"/>
    </row>
    <row r="63" ht="24" customHeight="1">
      <c r="A63" s="207" t="inlineStr">
        <is>
          <t>Concrete poured for Furniture footings</t>
        </is>
      </c>
      <c r="B63" s="233" t="n"/>
      <c r="C63" s="233" t="n"/>
      <c r="D63" s="233" t="n"/>
      <c r="E63" s="233" t="n"/>
      <c r="F63" s="233" t="n"/>
      <c r="G63" s="233" t="n"/>
      <c r="H63" s="233" t="n"/>
      <c r="I63" s="235" t="n"/>
    </row>
    <row r="64" ht="24" customHeight="1">
      <c r="A64" s="207" t="inlineStr">
        <is>
          <t>Electrical conduits installation in Laneway is ongoing</t>
        </is>
      </c>
      <c r="B64" s="233" t="n"/>
      <c r="C64" s="233" t="n"/>
      <c r="D64" s="233" t="n"/>
      <c r="E64" s="233" t="n"/>
      <c r="F64" s="233" t="n"/>
      <c r="G64" s="233" t="n"/>
      <c r="H64" s="233" t="n"/>
      <c r="I64" s="235" t="n"/>
    </row>
    <row r="65" ht="24" customHeight="1">
      <c r="A65" s="207" t="inlineStr">
        <is>
          <t>Installation of sprinklers on irrigation line is ongoing</t>
        </is>
      </c>
      <c r="B65" s="233" t="n"/>
      <c r="C65" s="233" t="n"/>
      <c r="D65" s="233" t="n"/>
      <c r="E65" s="233" t="n"/>
      <c r="F65" s="233" t="n"/>
      <c r="G65" s="233" t="n"/>
      <c r="H65" s="233" t="n"/>
      <c r="I65" s="235" t="n"/>
    </row>
    <row r="66" ht="24" customHeight="1">
      <c r="A66" s="207" t="inlineStr">
        <is>
          <t>General Site Tidy</t>
        </is>
      </c>
      <c r="B66" s="233" t="n"/>
      <c r="C66" s="233" t="n"/>
      <c r="D66" s="233" t="n"/>
      <c r="E66" s="233" t="n"/>
      <c r="F66" s="233" t="n"/>
      <c r="G66" s="233" t="n"/>
      <c r="H66" s="233" t="n"/>
      <c r="I66" s="235" t="n"/>
    </row>
    <row r="67" ht="24" customHeight="1">
      <c r="A67" s="207" t="inlineStr">
        <is>
          <t>Preparation for Garden Beds at chambers street completed</t>
        </is>
      </c>
      <c r="B67" s="233" t="n"/>
      <c r="C67" s="233" t="n"/>
      <c r="D67" s="233" t="n"/>
      <c r="E67" s="233" t="n"/>
      <c r="F67" s="233" t="n"/>
      <c r="G67" s="233" t="n"/>
      <c r="H67" s="233" t="n"/>
      <c r="I67" s="235" t="n"/>
    </row>
    <row r="68" ht="26.25" customHeight="1">
      <c r="A68" s="148" t="inlineStr">
        <is>
          <t>Photos</t>
        </is>
      </c>
      <c r="B68" s="236" t="n"/>
      <c r="C68" s="236" t="n"/>
      <c r="D68" s="236" t="n"/>
      <c r="E68" s="236" t="n"/>
      <c r="F68" s="236" t="n"/>
      <c r="G68" s="236" t="n"/>
      <c r="H68" s="236" t="n"/>
      <c r="I68" s="237"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94" t="n"/>
      <c r="B74" s="95" t="n"/>
      <c r="C74" s="95" t="n"/>
      <c r="D74" s="95" t="n"/>
      <c r="E74" s="95" t="n"/>
      <c r="F74" s="95" t="n"/>
      <c r="G74" s="95" t="n"/>
      <c r="H74" s="95" t="n"/>
      <c r="I74" s="96" t="n"/>
    </row>
    <row r="75" ht="23.25" customHeight="1">
      <c r="A75" s="10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15" customHeight="1">
      <c r="A96" s="94" t="n"/>
      <c r="B96" s="95" t="n"/>
      <c r="C96" s="95" t="n"/>
      <c r="D96" s="95" t="n"/>
      <c r="E96" s="95" t="n"/>
      <c r="F96" s="95" t="n"/>
      <c r="G96" s="95" t="n"/>
      <c r="H96" s="95" t="n"/>
      <c r="I96" s="96" t="n"/>
    </row>
    <row r="97" ht="25" customFormat="1" customHeight="1" s="97">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thickBot="1">
      <c r="A103" s="98" t="n"/>
      <c r="B103" s="99" t="n"/>
      <c r="C103" s="99" t="n"/>
      <c r="D103" s="99" t="n"/>
      <c r="E103" s="99" t="n"/>
      <c r="F103" s="99" t="n"/>
      <c r="G103" s="99" t="n"/>
      <c r="H103" s="99" t="n"/>
      <c r="I103" s="100"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15" customHeight="1">
      <c r="A120" s="94" t="n"/>
      <c r="B120" s="95" t="n"/>
      <c r="C120" s="95" t="n"/>
      <c r="D120" s="95" t="n"/>
      <c r="E120" s="95" t="n"/>
      <c r="F120" s="95" t="n"/>
      <c r="G120" s="95" t="n"/>
      <c r="H120" s="95" t="n"/>
      <c r="I120" s="96" t="n"/>
    </row>
    <row r="121" ht="2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15" customHeight="1">
      <c r="A123" s="94" t="n"/>
      <c r="B123" s="95" t="n"/>
      <c r="C123" s="95" t="n"/>
      <c r="D123" s="95" t="n"/>
      <c r="E123" s="95" t="n"/>
      <c r="F123" s="95" t="n"/>
      <c r="G123" s="95" t="n"/>
      <c r="H123" s="95" t="n"/>
      <c r="I123" s="96" t="n"/>
    </row>
    <row r="124" ht="28"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5" customHeight="1">
      <c r="A143" s="94" t="n"/>
      <c r="B143" s="95" t="n"/>
      <c r="C143" s="95" t="n"/>
      <c r="D143" s="95" t="n"/>
      <c r="E143" s="95" t="n"/>
      <c r="F143" s="95" t="n"/>
      <c r="G143" s="95" t="n"/>
      <c r="H143" s="95" t="n"/>
      <c r="I143" s="96" t="n"/>
    </row>
    <row r="144" ht="16" customHeight="1">
      <c r="A144" s="94" t="n"/>
      <c r="B144" s="95" t="n"/>
      <c r="C144" s="95" t="n"/>
      <c r="D144" s="95" t="n"/>
      <c r="E144" s="95" t="n"/>
      <c r="F144" s="95" t="n"/>
      <c r="G144" s="95" t="n"/>
      <c r="H144" s="95" t="n"/>
      <c r="I144" s="96" t="n"/>
    </row>
    <row r="145" ht="56.25" customHeight="1">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row>
    <row r="150">
      <c r="A150" s="94" t="n"/>
      <c r="B150" s="95" t="n"/>
      <c r="C150" s="95" t="n"/>
      <c r="D150" s="95" t="n"/>
      <c r="E150" s="95" t="n"/>
      <c r="F150" s="95" t="n"/>
      <c r="G150" s="95" t="n"/>
      <c r="H150" s="95" t="n"/>
      <c r="I150" s="96" t="n"/>
      <c r="J150" s="95" t="n"/>
      <c r="K150" s="95" t="n"/>
      <c r="L150" s="95"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row>
    <row r="171">
      <c r="A171" s="94" t="n"/>
      <c r="B171" s="95" t="n"/>
      <c r="C171" s="95" t="n"/>
      <c r="D171" s="95" t="n"/>
      <c r="E171" s="95" t="n"/>
      <c r="F171" s="95" t="n"/>
      <c r="G171" s="95" t="n"/>
      <c r="H171" s="95" t="n"/>
      <c r="I171" s="96" t="n"/>
      <c r="J171" s="95" t="n"/>
      <c r="K171" s="95" t="n"/>
      <c r="L171" s="95" t="n"/>
      <c r="M171" s="95" t="n"/>
      <c r="N171" s="95" t="n"/>
    </row>
    <row r="172">
      <c r="A172" s="94" t="n"/>
      <c r="B172" s="95" t="n"/>
      <c r="C172" s="95" t="n"/>
      <c r="D172" s="95" t="n"/>
      <c r="E172" s="95" t="n"/>
      <c r="F172" s="95" t="n"/>
      <c r="G172" s="95" t="n"/>
      <c r="H172" s="95" t="n"/>
      <c r="I172" s="96" t="n"/>
      <c r="J172" s="95" t="n"/>
      <c r="K172" s="95" t="n"/>
      <c r="L172" s="95" t="n"/>
      <c r="M172" s="95" t="n"/>
      <c r="N172" s="95" t="n"/>
    </row>
    <row r="173">
      <c r="A173" s="94" t="n"/>
      <c r="B173" s="95" t="n"/>
      <c r="C173" s="95" t="n"/>
      <c r="D173" s="95" t="n"/>
      <c r="E173" s="95" t="n"/>
      <c r="F173" s="95" t="n"/>
      <c r="G173" s="95" t="n"/>
      <c r="H173" s="95" t="n"/>
      <c r="I173" s="96" t="n"/>
      <c r="J173" s="95" t="n"/>
      <c r="K173" s="95" t="n"/>
      <c r="L173" s="95" t="n"/>
      <c r="M173" s="95" t="n"/>
      <c r="N173" s="95" t="n"/>
    </row>
    <row r="174">
      <c r="A174" s="94" t="n"/>
      <c r="B174" s="95" t="n"/>
      <c r="C174" s="95" t="n"/>
      <c r="D174" s="95" t="n"/>
      <c r="E174" s="95" t="n"/>
      <c r="F174" s="95" t="n"/>
      <c r="G174" s="95" t="n"/>
      <c r="H174" s="95" t="n"/>
      <c r="I174" s="96" t="n"/>
      <c r="J174" s="95" t="n"/>
      <c r="K174" s="95" t="n"/>
      <c r="L174" s="95" t="n"/>
      <c r="M174" s="95" t="n"/>
      <c r="N174" s="95" t="n"/>
    </row>
    <row r="175">
      <c r="A175" s="94" t="n"/>
      <c r="B175" s="95" t="n"/>
      <c r="C175" s="95" t="n"/>
      <c r="D175" s="95" t="n"/>
      <c r="E175" s="95" t="n"/>
      <c r="F175" s="95" t="n"/>
      <c r="G175" s="95" t="n"/>
      <c r="H175" s="95" t="n"/>
      <c r="I175" s="96" t="n"/>
      <c r="J175" s="95" t="n"/>
      <c r="K175" s="95" t="n"/>
      <c r="L175" s="95" t="n"/>
      <c r="M175" s="95" t="n"/>
      <c r="N175" s="95" t="n"/>
    </row>
    <row r="176">
      <c r="A176" s="94" t="n"/>
      <c r="B176" s="95" t="n"/>
      <c r="C176" s="95" t="n"/>
      <c r="D176" s="95" t="n"/>
      <c r="E176" s="95" t="n"/>
      <c r="F176" s="95" t="n"/>
      <c r="G176" s="95" t="n"/>
      <c r="H176" s="95" t="n"/>
      <c r="I176" s="96" t="n"/>
      <c r="J176" s="95" t="n"/>
      <c r="K176" s="95" t="n"/>
      <c r="L176" s="95" t="n"/>
      <c r="M176" s="95" t="n"/>
      <c r="N176" s="95" t="n"/>
    </row>
    <row r="177">
      <c r="A177" s="94" t="n"/>
      <c r="B177" s="95" t="n"/>
      <c r="C177" s="95" t="n"/>
      <c r="D177" s="95" t="n"/>
      <c r="E177" s="95" t="n"/>
      <c r="F177" s="95" t="n"/>
      <c r="G177" s="95" t="n"/>
      <c r="H177" s="95" t="n"/>
      <c r="I177" s="96" t="n"/>
      <c r="J177" s="95" t="n"/>
      <c r="K177" s="95" t="n"/>
      <c r="L177" s="95" t="n"/>
      <c r="M177" s="95" t="n"/>
      <c r="N177" s="95" t="n"/>
    </row>
    <row r="178">
      <c r="A178" s="94" t="n"/>
      <c r="B178" s="95" t="n"/>
      <c r="C178" s="95" t="n"/>
      <c r="D178" s="95" t="n"/>
      <c r="E178" s="95" t="n"/>
      <c r="F178" s="95" t="n"/>
      <c r="G178" s="95" t="n"/>
      <c r="H178" s="95" t="n"/>
      <c r="I178" s="96" t="n"/>
      <c r="J178" s="95" t="n"/>
      <c r="K178" s="95" t="n"/>
      <c r="L178" s="95" t="n"/>
      <c r="M178" s="95" t="n"/>
      <c r="N178" s="95" t="n"/>
    </row>
    <row r="179">
      <c r="A179" s="94" t="n"/>
      <c r="B179" s="95" t="n"/>
      <c r="C179" s="95" t="n"/>
      <c r="D179" s="95" t="n"/>
      <c r="E179" s="95" t="n"/>
      <c r="F179" s="95" t="n"/>
      <c r="G179" s="95" t="n"/>
      <c r="H179" s="95" t="n"/>
      <c r="I179" s="96" t="n"/>
      <c r="J179" s="95" t="n"/>
      <c r="K179" s="95" t="n"/>
      <c r="L179" s="95" t="n"/>
      <c r="M179" s="95" t="n"/>
      <c r="N179" s="95" t="n"/>
    </row>
    <row r="180">
      <c r="A180" s="94" t="n"/>
      <c r="B180" s="95" t="n"/>
      <c r="C180" s="95" t="n"/>
      <c r="D180" s="95" t="n"/>
      <c r="E180" s="95" t="n"/>
      <c r="F180" s="95" t="n"/>
      <c r="G180" s="95" t="n"/>
      <c r="H180" s="95" t="n"/>
      <c r="I180" s="96" t="n"/>
      <c r="J180" s="95" t="n"/>
      <c r="K180" s="95" t="n"/>
      <c r="L180" s="95" t="n"/>
      <c r="M180" s="95" t="n"/>
      <c r="N180" s="95" t="n"/>
    </row>
    <row r="181">
      <c r="A181" s="94" t="n"/>
      <c r="B181" s="95" t="n"/>
      <c r="C181" s="95" t="n"/>
      <c r="D181" s="95" t="n"/>
      <c r="E181" s="95" t="n"/>
      <c r="F181" s="95" t="n"/>
      <c r="G181" s="95" t="n"/>
      <c r="H181" s="95" t="n"/>
      <c r="I181" s="96" t="n"/>
      <c r="J181" s="95" t="n"/>
      <c r="K181" s="95" t="n"/>
      <c r="L181" s="95" t="n"/>
      <c r="M181" s="95" t="n"/>
      <c r="N181" s="95" t="n"/>
    </row>
    <row r="182">
      <c r="A182" s="94" t="n"/>
      <c r="B182" s="95" t="n"/>
      <c r="C182" s="95" t="n"/>
      <c r="D182" s="95" t="n"/>
      <c r="E182" s="95" t="n"/>
      <c r="F182" s="95" t="n"/>
      <c r="G182" s="95" t="n"/>
      <c r="H182" s="95" t="n"/>
      <c r="I182" s="96" t="n"/>
      <c r="J182" s="95" t="n"/>
      <c r="K182" s="95" t="n"/>
      <c r="L182" s="95" t="n"/>
      <c r="M182" s="95" t="n"/>
      <c r="N182" s="95" t="n"/>
    </row>
    <row r="183">
      <c r="A183" s="94" t="n"/>
      <c r="B183" s="95" t="n"/>
      <c r="C183" s="95" t="n"/>
      <c r="D183" s="95" t="n"/>
      <c r="E183" s="95" t="n"/>
      <c r="F183" s="95" t="n"/>
      <c r="G183" s="95" t="n"/>
      <c r="H183" s="95" t="n"/>
      <c r="I183" s="96" t="n"/>
      <c r="J183" s="95" t="n"/>
      <c r="K183" s="95" t="n"/>
      <c r="L183" s="95" t="n"/>
      <c r="M183" s="95" t="n"/>
      <c r="N183" s="95" t="n"/>
    </row>
    <row r="184">
      <c r="A184" s="94" t="n"/>
      <c r="B184" s="95" t="n"/>
      <c r="C184" s="95" t="n"/>
      <c r="D184" s="95" t="n"/>
      <c r="E184" s="95" t="n"/>
      <c r="F184" s="95" t="n"/>
      <c r="G184" s="95" t="n"/>
      <c r="H184" s="95" t="n"/>
      <c r="I184" s="96" t="n"/>
      <c r="J184" s="95" t="n"/>
      <c r="K184" s="95" t="n"/>
      <c r="L184" s="95" t="n"/>
      <c r="M184" s="95" t="n"/>
      <c r="N184" s="95" t="n"/>
    </row>
    <row r="185">
      <c r="A185" s="94" t="n"/>
      <c r="B185" s="95" t="n"/>
      <c r="C185" s="95" t="n"/>
      <c r="D185" s="95" t="n"/>
      <c r="E185" s="95" t="n"/>
      <c r="F185" s="95" t="n"/>
      <c r="G185" s="95" t="n"/>
      <c r="H185" s="95" t="n"/>
      <c r="I185" s="96" t="n"/>
      <c r="J185" s="95" t="n"/>
      <c r="K185" s="95" t="n"/>
      <c r="L185" s="95" t="n"/>
      <c r="M185" s="95" t="n"/>
      <c r="N185" s="95" t="n"/>
    </row>
    <row r="186">
      <c r="A186" s="94" t="n"/>
      <c r="B186" s="95" t="n"/>
      <c r="C186" s="95" t="n"/>
      <c r="D186" s="95" t="n"/>
      <c r="E186" s="95" t="n"/>
      <c r="F186" s="95" t="n"/>
      <c r="G186" s="95" t="n"/>
      <c r="H186" s="95" t="n"/>
      <c r="I186" s="96" t="n"/>
      <c r="J186" s="95" t="n"/>
      <c r="K186" s="95" t="n"/>
      <c r="L186" s="95" t="n"/>
      <c r="M186" s="95" t="n"/>
      <c r="N186" s="95" t="n"/>
    </row>
    <row r="187">
      <c r="A187" s="94" t="n"/>
      <c r="B187" s="95" t="n"/>
      <c r="C187" s="95" t="n"/>
      <c r="D187" s="95" t="n"/>
      <c r="E187" s="95" t="n"/>
      <c r="F187" s="95" t="n"/>
      <c r="G187" s="95" t="n"/>
      <c r="H187" s="95" t="n"/>
      <c r="I187" s="96" t="n"/>
      <c r="J187" s="95" t="n"/>
      <c r="K187" s="95" t="n"/>
      <c r="L187" s="95" t="n"/>
      <c r="M187" s="95" t="n"/>
      <c r="N187" s="95" t="n"/>
    </row>
    <row r="188">
      <c r="A188" s="94" t="n"/>
      <c r="B188" s="95" t="n"/>
      <c r="C188" s="95" t="n"/>
      <c r="D188" s="95" t="n"/>
      <c r="E188" s="95" t="n"/>
      <c r="F188" s="95" t="n"/>
      <c r="G188" s="95" t="n"/>
      <c r="H188" s="95" t="n"/>
      <c r="I188" s="96" t="n"/>
      <c r="J188" s="95" t="n"/>
      <c r="K188" s="95" t="n"/>
      <c r="L188" s="95" t="n"/>
      <c r="M188" s="95" t="n"/>
      <c r="N188" s="95" t="n"/>
    </row>
    <row r="189">
      <c r="A189" s="94" t="n"/>
      <c r="B189" s="95" t="n"/>
      <c r="C189" s="95" t="n"/>
      <c r="D189" s="95" t="n"/>
      <c r="E189" s="95" t="n"/>
      <c r="F189" s="95" t="n"/>
      <c r="G189" s="95" t="n"/>
      <c r="H189" s="95" t="n"/>
      <c r="I189" s="96" t="n"/>
      <c r="J189" s="95" t="n"/>
      <c r="K189" s="95" t="n"/>
      <c r="L189" s="95" t="n"/>
      <c r="M189" s="95" t="n"/>
      <c r="N189" s="95" t="n"/>
    </row>
    <row r="190">
      <c r="A190" s="94" t="n"/>
      <c r="B190" s="95" t="n"/>
      <c r="C190" s="95" t="n"/>
      <c r="D190" s="95" t="n"/>
      <c r="E190" s="95" t="n"/>
      <c r="F190" s="95" t="n"/>
      <c r="G190" s="95" t="n"/>
      <c r="H190" s="95" t="n"/>
      <c r="I190" s="96" t="n"/>
      <c r="J190" s="95" t="n"/>
      <c r="K190" s="95" t="n"/>
      <c r="L190" s="95" t="n"/>
      <c r="M190" s="95" t="n"/>
      <c r="N190" s="95" t="n"/>
    </row>
    <row r="191">
      <c r="A191" s="94" t="n"/>
      <c r="B191" s="95" t="n"/>
      <c r="C191" s="95" t="n"/>
      <c r="D191" s="95" t="n"/>
      <c r="E191" s="95" t="n"/>
      <c r="F191" s="95" t="n"/>
      <c r="G191" s="95" t="n"/>
      <c r="H191" s="95" t="n"/>
      <c r="I191" s="96" t="n"/>
      <c r="J191" s="95" t="n"/>
      <c r="K191" s="95" t="n"/>
      <c r="L191" s="95" t="n"/>
      <c r="M191" s="95" t="n"/>
      <c r="N191" s="95" t="n"/>
    </row>
    <row r="192">
      <c r="A192" s="94" t="n"/>
      <c r="B192" s="95" t="n"/>
      <c r="C192" s="95" t="n"/>
      <c r="D192" s="95" t="n"/>
      <c r="E192" s="95" t="n"/>
      <c r="F192" s="95" t="n"/>
      <c r="G192" s="95" t="n"/>
      <c r="H192" s="95" t="n"/>
      <c r="I192" s="96" t="n"/>
      <c r="J192" s="95" t="n"/>
      <c r="K192" s="95" t="n"/>
      <c r="L192" s="95" t="n"/>
      <c r="M192" s="95" t="n"/>
      <c r="N192" s="95" t="n"/>
    </row>
    <row r="193">
      <c r="A193" s="94" t="n"/>
      <c r="B193" s="95" t="n"/>
      <c r="C193" s="95" t="n"/>
      <c r="D193" s="95" t="n"/>
      <c r="E193" s="95" t="n"/>
      <c r="F193" s="95" t="n"/>
      <c r="G193" s="95" t="n"/>
      <c r="H193" s="95" t="n"/>
      <c r="I193" s="96" t="n"/>
      <c r="J193" s="95" t="n"/>
      <c r="K193" s="95" t="n"/>
      <c r="L193" s="95" t="n"/>
      <c r="M193" s="95" t="n"/>
      <c r="N193" s="95" t="n"/>
    </row>
    <row r="194">
      <c r="A194" s="94" t="n"/>
      <c r="B194" s="95" t="n"/>
      <c r="C194" s="95" t="n"/>
      <c r="D194" s="95" t="n"/>
      <c r="E194" s="95" t="n"/>
      <c r="F194" s="95" t="n"/>
      <c r="G194" s="95" t="n"/>
      <c r="H194" s="95" t="n"/>
      <c r="I194" s="96" t="n"/>
      <c r="J194" s="95" t="n"/>
      <c r="K194" s="95" t="n"/>
      <c r="L194" s="95" t="n"/>
      <c r="M194" s="95" t="n"/>
      <c r="N194" s="95" t="n"/>
    </row>
    <row r="195">
      <c r="A195" s="94" t="n"/>
      <c r="B195" s="95" t="n"/>
      <c r="C195" s="95" t="n"/>
      <c r="D195" s="95" t="n"/>
      <c r="E195" s="95" t="n"/>
      <c r="F195" s="95" t="n"/>
      <c r="G195" s="95" t="n"/>
      <c r="H195" s="95" t="n"/>
      <c r="I195" s="96" t="n"/>
      <c r="J195" s="95" t="n"/>
      <c r="K195" s="95" t="n"/>
      <c r="L195" s="95" t="n"/>
      <c r="M195" s="95" t="n"/>
      <c r="N195" s="95" t="n"/>
    </row>
    <row r="196">
      <c r="A196" s="94" t="n"/>
      <c r="B196" s="95" t="n"/>
      <c r="C196" s="95" t="n"/>
      <c r="D196" s="95" t="n"/>
      <c r="E196" s="95" t="n"/>
      <c r="F196" s="95" t="n"/>
      <c r="G196" s="95" t="n"/>
      <c r="H196" s="95" t="n"/>
      <c r="I196" s="96" t="n"/>
      <c r="J196" s="95" t="n"/>
      <c r="K196" s="95" t="n"/>
      <c r="L196" s="95" t="n"/>
      <c r="M196" s="95" t="n"/>
      <c r="N196" s="95" t="n"/>
    </row>
    <row r="197">
      <c r="A197" s="94" t="n"/>
      <c r="B197" s="95" t="n"/>
      <c r="C197" s="95" t="n"/>
      <c r="D197" s="95" t="n"/>
      <c r="E197" s="95" t="n"/>
      <c r="F197" s="95" t="n"/>
      <c r="G197" s="95" t="n"/>
      <c r="H197" s="95" t="n"/>
      <c r="I197" s="96" t="n"/>
      <c r="J197" s="95" t="n"/>
      <c r="K197" s="95" t="n"/>
      <c r="L197" s="95" t="n"/>
      <c r="M197" s="95" t="n"/>
      <c r="N197" s="95" t="n"/>
    </row>
    <row r="198" ht="16" customHeight="1">
      <c r="A198" s="94" t="n"/>
      <c r="B198" s="95" t="n"/>
      <c r="C198" s="95" t="n"/>
      <c r="D198" s="95" t="n"/>
      <c r="E198" s="95" t="n"/>
      <c r="F198" s="95" t="n"/>
      <c r="G198" s="95" t="n"/>
      <c r="H198" s="95" t="n"/>
      <c r="I198" s="96" t="n"/>
      <c r="J198" s="95" t="n"/>
      <c r="K198" s="95" t="n"/>
      <c r="L198" s="95" t="n"/>
      <c r="M198" s="95" t="n"/>
      <c r="N198" s="95" t="n"/>
    </row>
    <row r="199">
      <c r="A199" s="94" t="n"/>
      <c r="B199" s="95" t="n"/>
      <c r="C199" s="95" t="n"/>
      <c r="D199" s="95" t="n"/>
      <c r="E199" s="95" t="n"/>
      <c r="F199" s="95" t="n"/>
      <c r="G199" s="95" t="n"/>
      <c r="H199" s="95" t="n"/>
      <c r="I199" s="96" t="n"/>
    </row>
    <row r="200">
      <c r="A200" s="94" t="n"/>
      <c r="B200" s="95" t="n"/>
      <c r="C200" s="95" t="n"/>
      <c r="D200" s="95" t="n"/>
      <c r="E200" s="95" t="n"/>
      <c r="F200" s="95" t="n"/>
      <c r="G200" s="95" t="n"/>
      <c r="H200" s="95" t="n"/>
      <c r="I200" s="96" t="n"/>
    </row>
    <row r="201" ht="19" customHeight="1" thickBot="1">
      <c r="A201" s="98" t="n"/>
      <c r="B201" s="99" t="n"/>
      <c r="C201" s="99" t="n"/>
      <c r="D201" s="99" t="n"/>
      <c r="E201" s="99" t="n"/>
      <c r="F201" s="99" t="n"/>
      <c r="G201" s="99" t="n"/>
      <c r="H201" s="99" t="n"/>
      <c r="I201" s="100" t="n"/>
    </row>
    <row r="202">
      <c r="A202" s="95" t="n"/>
      <c r="B202" s="95" t="n"/>
      <c r="C202" s="95" t="n"/>
      <c r="D202" s="95" t="n"/>
      <c r="E202" s="95" t="n"/>
      <c r="F202" s="95" t="n"/>
      <c r="G202" s="95" t="n"/>
      <c r="H202" s="95" t="n"/>
      <c r="I202" s="95" t="n"/>
      <c r="J202" s="95" t="n"/>
      <c r="K202" s="95" t="n"/>
      <c r="L202" s="95" t="n"/>
    </row>
    <row r="203">
      <c r="A203" s="95" t="n"/>
      <c r="B203" s="95" t="n"/>
      <c r="C203" s="95" t="n"/>
      <c r="D203" s="95" t="n"/>
      <c r="E203" s="95" t="n"/>
      <c r="F203" s="95" t="n"/>
      <c r="G203" s="95" t="n"/>
      <c r="H203" s="95" t="n"/>
      <c r="I203" s="95" t="n"/>
      <c r="J203" s="95" t="n"/>
      <c r="K203" s="95" t="n"/>
      <c r="L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5" t="n"/>
      <c r="B207" s="95" t="n"/>
      <c r="C207" s="95" t="n"/>
      <c r="D207" s="95" t="n"/>
      <c r="E207" s="95" t="n"/>
      <c r="F207" s="95" t="n"/>
      <c r="G207" s="95" t="n"/>
      <c r="H207" s="95" t="n"/>
      <c r="I207" s="95" t="n"/>
      <c r="J207" s="95" t="n"/>
      <c r="K207" s="95" t="n"/>
      <c r="L207" s="95" t="n"/>
    </row>
    <row r="208">
      <c r="A208" s="95" t="n"/>
      <c r="B208" s="95" t="n"/>
      <c r="C208" s="95" t="n"/>
      <c r="D208" s="95" t="n"/>
      <c r="E208" s="95" t="n"/>
      <c r="F208" s="95" t="n"/>
      <c r="G208" s="95" t="n"/>
      <c r="H208" s="95" t="n"/>
      <c r="I208" s="95" t="n"/>
      <c r="J208" s="95" t="n"/>
      <c r="K208" s="95" t="n"/>
      <c r="L208" s="95" t="n"/>
    </row>
    <row r="209">
      <c r="A209" s="94" t="n"/>
      <c r="B209" s="95" t="n"/>
      <c r="C209" s="95" t="n"/>
      <c r="D209" s="95" t="n"/>
      <c r="E209" s="95" t="n"/>
      <c r="F209" s="95" t="n"/>
      <c r="G209" s="95" t="n"/>
      <c r="H209" s="95" t="n"/>
      <c r="I209" s="95" t="n"/>
      <c r="J209" s="95" t="n"/>
      <c r="K209" s="95" t="n"/>
      <c r="L209" s="95" t="n"/>
    </row>
    <row r="210">
      <c r="A210" s="94"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A218" s="94" t="n"/>
      <c r="B218" s="95" t="n"/>
      <c r="C218" s="95" t="n"/>
      <c r="D218" s="95" t="n"/>
      <c r="E218" s="95" t="n"/>
      <c r="F218" s="95" t="n"/>
      <c r="G218" s="95" t="n"/>
      <c r="H218" s="95" t="n"/>
      <c r="I218" s="95" t="n"/>
      <c r="J218" s="95" t="n"/>
      <c r="K218" s="95" t="n"/>
      <c r="L218" s="95" t="n"/>
    </row>
    <row r="219">
      <c r="A219" s="94" t="n"/>
      <c r="B219" s="95" t="n"/>
      <c r="C219" s="95" t="n"/>
      <c r="D219" s="95" t="n"/>
      <c r="E219" s="95" t="n"/>
      <c r="F219" s="95" t="n"/>
      <c r="G219" s="95" t="n"/>
      <c r="H219" s="95" t="n"/>
      <c r="I219" s="95" t="n"/>
      <c r="J219" s="95" t="n"/>
      <c r="K219" s="95" t="n"/>
      <c r="L219" s="95" t="n"/>
    </row>
    <row r="220">
      <c r="G220" s="95" t="n"/>
      <c r="H220" s="95" t="n"/>
      <c r="I220" s="95" t="n"/>
      <c r="J220" s="95" t="n"/>
      <c r="K220" s="95" t="n"/>
      <c r="L220" s="95" t="n"/>
    </row>
    <row r="221">
      <c r="G221" s="95" t="n"/>
      <c r="H221" s="95" t="n"/>
      <c r="I221" s="95" t="n"/>
      <c r="J221" s="95" t="n"/>
      <c r="K221" s="95" t="n"/>
      <c r="L221" s="95" t="n"/>
    </row>
    <row r="222">
      <c r="G222" s="95" t="n"/>
      <c r="H222" s="95" t="n"/>
      <c r="I222" s="95" t="n"/>
      <c r="J222" s="95" t="n"/>
      <c r="K222" s="95" t="n"/>
      <c r="L222" s="95" t="n"/>
    </row>
  </sheetData>
  <mergeCells count="44">
    <mergeCell ref="A65:I65"/>
    <mergeCell ref="D13:F13"/>
    <mergeCell ref="G13:I13"/>
    <mergeCell ref="B8:D8"/>
    <mergeCell ref="A66:I66"/>
    <mergeCell ref="D41:I41"/>
    <mergeCell ref="A12:I12"/>
    <mergeCell ref="C57:I57"/>
    <mergeCell ref="B39:C39"/>
    <mergeCell ref="B52:I52"/>
    <mergeCell ref="B48:I48"/>
    <mergeCell ref="A47:I47"/>
    <mergeCell ref="A5:I5"/>
    <mergeCell ref="B9:D9"/>
    <mergeCell ref="A53:I53"/>
    <mergeCell ref="B6:D6"/>
    <mergeCell ref="A62:I62"/>
    <mergeCell ref="D39:I39"/>
    <mergeCell ref="A43:I43"/>
    <mergeCell ref="D42:I42"/>
    <mergeCell ref="A68:I68"/>
    <mergeCell ref="A63:I63"/>
    <mergeCell ref="A13:C13"/>
    <mergeCell ref="A10:I10"/>
    <mergeCell ref="A1:I4"/>
    <mergeCell ref="A42:B42"/>
    <mergeCell ref="A67:I67"/>
    <mergeCell ref="A44:I46"/>
    <mergeCell ref="C54:I54"/>
    <mergeCell ref="A58:I58"/>
    <mergeCell ref="B40:C40"/>
    <mergeCell ref="B7:D7"/>
    <mergeCell ref="B49:I49"/>
    <mergeCell ref="C55:I55"/>
    <mergeCell ref="A64:I64"/>
    <mergeCell ref="A59:I59"/>
    <mergeCell ref="A11:I11"/>
    <mergeCell ref="A60:I60"/>
    <mergeCell ref="C56:I56"/>
    <mergeCell ref="B51:I51"/>
    <mergeCell ref="D40:I40"/>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103" min="0" max="8" man="1"/>
  </rowBreaks>
</worksheet>
</file>

<file path=xl/worksheets/sheet7.xml><?xml version="1.0" encoding="utf-8"?>
<worksheet xmlns="http://schemas.openxmlformats.org/spreadsheetml/2006/main">
  <sheetPr>
    <outlinePr summaryBelow="1" summaryRight="1"/>
    <pageSetUpPr fitToPage="1"/>
  </sheetPr>
  <dimension ref="A1:N221"/>
  <sheetViews>
    <sheetView view="pageBreakPreview" topLeftCell="E1" zoomScale="85" zoomScaleNormal="55" zoomScaleSheetLayoutView="85" workbookViewId="0">
      <selection activeCell="A61" sqref="A61:I65"/>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45969</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12-320C,  Wind:  52 km/h S, Precip: 0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row>
    <row r="16" ht="23.25" customHeight="1">
      <c r="A16" s="24" t="inlineStr">
        <is>
          <t>GRIFFITHS, Daniel</t>
        </is>
      </c>
      <c r="B16" s="25" t="inlineStr">
        <is>
          <t>Project Manager</t>
        </is>
      </c>
      <c r="C16" s="26" t="n">
        <v>8</v>
      </c>
      <c r="D16" s="27" t="inlineStr">
        <is>
          <t>McGahon,Aideen</t>
        </is>
      </c>
      <c r="E16" s="25" t="inlineStr">
        <is>
          <t>Operator</t>
        </is>
      </c>
      <c r="F16" s="28" t="n">
        <v>12</v>
      </c>
      <c r="G16" s="29" t="inlineStr">
        <is>
          <t>Mosley,Joshua</t>
        </is>
      </c>
      <c r="H16" s="25" t="inlineStr">
        <is>
          <t>Surveyor</t>
        </is>
      </c>
      <c r="I16" s="30" t="n"/>
    </row>
    <row r="17" ht="23.25" customHeight="1">
      <c r="A17" s="24" t="inlineStr">
        <is>
          <t>O"SHEA, John</t>
        </is>
      </c>
      <c r="B17" s="25" t="inlineStr">
        <is>
          <t>Senior Project Engineer</t>
        </is>
      </c>
      <c r="C17" s="26" t="n"/>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c r="D18" s="31" t="n"/>
      <c r="E18" s="32" t="n"/>
      <c r="F18" s="28" t="n"/>
      <c r="G18" s="29" t="inlineStr">
        <is>
          <t>Griffiths, Jaquai</t>
        </is>
      </c>
      <c r="H18" s="25" t="inlineStr">
        <is>
          <t>Operator</t>
        </is>
      </c>
      <c r="I18" s="30" t="n"/>
    </row>
    <row r="19" ht="23.25" customHeight="1">
      <c r="A19" s="24" t="inlineStr">
        <is>
          <t>THOMPSON,Cheryl</t>
        </is>
      </c>
      <c r="B19" s="25" t="inlineStr">
        <is>
          <t>HSET</t>
        </is>
      </c>
      <c r="C19" s="26" t="n"/>
      <c r="D19" s="31" t="n"/>
      <c r="E19" s="32" t="n"/>
      <c r="F19" s="28" t="n"/>
      <c r="G19" s="29" t="inlineStr">
        <is>
          <t>McConnell, Adam</t>
        </is>
      </c>
      <c r="H19" s="25" t="inlineStr">
        <is>
          <t>Labourer</t>
        </is>
      </c>
      <c r="I19" s="30" t="n"/>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c r="D21" s="31" t="n"/>
      <c r="E21" s="32" t="n"/>
      <c r="F21" s="28" t="n"/>
      <c r="G21" s="29" t="inlineStr">
        <is>
          <t>Pavers</t>
        </is>
      </c>
      <c r="H21" s="25" t="inlineStr">
        <is>
          <t>Pavers</t>
        </is>
      </c>
      <c r="I21" s="30" t="n">
        <v>40</v>
      </c>
    </row>
    <row r="22" ht="23.25" customHeight="1">
      <c r="A22" s="24" t="inlineStr">
        <is>
          <t>JOGI, Amit</t>
        </is>
      </c>
      <c r="B22" s="25" t="inlineStr">
        <is>
          <t>Project Engineer</t>
        </is>
      </c>
      <c r="C22" s="26" t="n">
        <v>12</v>
      </c>
      <c r="D22" s="31" t="n"/>
      <c r="E22" s="32" t="n"/>
      <c r="F22" s="28" t="n"/>
      <c r="G22" s="29" t="inlineStr">
        <is>
          <t>Think Water</t>
        </is>
      </c>
      <c r="H22" s="25" t="inlineStr">
        <is>
          <t>Irrigation</t>
        </is>
      </c>
      <c r="I22" s="127" t="n"/>
    </row>
    <row r="23" ht="23.25" customHeight="1" thickBot="1">
      <c r="A23" s="130" t="n"/>
      <c r="B23" s="120" t="n"/>
      <c r="C23" s="121" t="n"/>
      <c r="D23" s="122" t="n"/>
      <c r="E23" s="123" t="n"/>
      <c r="F23" s="124" t="n"/>
      <c r="G23" s="125" t="n"/>
      <c r="H23" s="126" t="n"/>
      <c r="I23" s="128" t="n"/>
    </row>
    <row r="24" ht="23.25" customHeight="1" thickTop="1">
      <c r="A24" s="173" t="inlineStr">
        <is>
          <t xml:space="preserve">Total Indirect Personnel onsite: </t>
        </is>
      </c>
      <c r="B24" s="116">
        <f>COUNT(C15:C23)</f>
        <v/>
      </c>
      <c r="C24" s="117" t="n"/>
      <c r="D24" s="118" t="inlineStr">
        <is>
          <t xml:space="preserve">Total Direct Personnel onsite:  </t>
        </is>
      </c>
      <c r="E24" s="116">
        <f>COUNT(F15:F23)</f>
        <v/>
      </c>
      <c r="F24" s="21" t="n"/>
      <c r="G24" s="119" t="inlineStr">
        <is>
          <t>Total Subcontractor on-site:</t>
        </is>
      </c>
      <c r="H24" s="116">
        <f>COUNT(I15:I22)</f>
        <v/>
      </c>
      <c r="I24" s="23" t="n"/>
    </row>
    <row r="25" ht="23.25" customHeight="1">
      <c r="A25" s="48" t="inlineStr">
        <is>
          <t xml:space="preserve">Total Indirect Personnel hours: </t>
        </is>
      </c>
      <c r="B25" s="93">
        <f>SUM(C15:C22)</f>
        <v/>
      </c>
      <c r="C25" s="52" t="n"/>
      <c r="D25" s="50" t="inlineStr">
        <is>
          <t xml:space="preserve">Total Direct Personnel hours: </t>
        </is>
      </c>
      <c r="E25" s="93">
        <f>SUM(F15:F16)</f>
        <v/>
      </c>
      <c r="F25" s="53" t="n"/>
      <c r="G25" s="51" t="inlineStr">
        <is>
          <t>Total Subcontractor hours:</t>
        </is>
      </c>
      <c r="H25" s="93">
        <f>SUM(I11:I22)</f>
        <v/>
      </c>
      <c r="I25" s="200" t="n"/>
    </row>
    <row r="26" ht="25" customHeight="1">
      <c r="A26" s="56" t="inlineStr">
        <is>
          <t>PLANT &amp; EQUIPMENT</t>
        </is>
      </c>
      <c r="B26" s="57" t="n"/>
      <c r="C26" s="57" t="n"/>
      <c r="D26" s="57" t="n"/>
      <c r="E26" s="57" t="n"/>
      <c r="F26" s="57" t="n"/>
      <c r="G26" s="57" t="n"/>
      <c r="H26" s="57" t="n"/>
      <c r="I26" s="58" t="n"/>
    </row>
    <row r="27" ht="24" customHeight="1" thickBot="1">
      <c r="A27" s="59" t="inlineStr">
        <is>
          <t>Plant</t>
        </is>
      </c>
      <c r="B27" s="60" t="inlineStr">
        <is>
          <t>ID</t>
        </is>
      </c>
      <c r="C27" s="61" t="inlineStr">
        <is>
          <t>Hrs</t>
        </is>
      </c>
      <c r="D27" s="62" t="inlineStr">
        <is>
          <t xml:space="preserve"> Vehicles</t>
        </is>
      </c>
      <c r="E27" s="60" t="inlineStr">
        <is>
          <t>ID</t>
        </is>
      </c>
      <c r="F27" s="63" t="inlineStr">
        <is>
          <t>QTY</t>
        </is>
      </c>
      <c r="G27" s="64" t="inlineStr">
        <is>
          <t>Site Facilities</t>
        </is>
      </c>
      <c r="H27" s="65" t="inlineStr">
        <is>
          <t>ID</t>
        </is>
      </c>
      <c r="I27" s="66" t="inlineStr">
        <is>
          <t>Qty</t>
        </is>
      </c>
    </row>
    <row r="28" ht="23.25" customHeight="1" thickTop="1">
      <c r="A28" s="75" t="inlineStr">
        <is>
          <t>IT Loader</t>
        </is>
      </c>
      <c r="B28" s="72" t="inlineStr">
        <is>
          <t>LD011</t>
        </is>
      </c>
      <c r="C28" s="26" t="n">
        <v>1</v>
      </c>
      <c r="D28" s="67" t="inlineStr">
        <is>
          <t>Hilux</t>
        </is>
      </c>
      <c r="E28" s="68" t="inlineStr">
        <is>
          <t>DLV90</t>
        </is>
      </c>
      <c r="F28" s="69" t="n">
        <v>1</v>
      </c>
      <c r="G28" s="70" t="inlineStr">
        <is>
          <t>Office 40ft</t>
        </is>
      </c>
      <c r="H28" s="68" t="n">
        <v>9255540</v>
      </c>
      <c r="I28" s="23" t="n">
        <v>1</v>
      </c>
    </row>
    <row r="29" ht="23.25" customHeight="1">
      <c r="A29" s="24" t="inlineStr">
        <is>
          <t>Wacker Neuson DPU</t>
        </is>
      </c>
      <c r="B29" s="25" t="inlineStr">
        <is>
          <t>DPC15</t>
        </is>
      </c>
      <c r="C29" s="106" t="n"/>
      <c r="D29" s="71" t="inlineStr">
        <is>
          <t>Hilux</t>
        </is>
      </c>
      <c r="E29" s="72" t="inlineStr">
        <is>
          <t>1DLV04</t>
        </is>
      </c>
      <c r="F29" s="73" t="n">
        <v>1</v>
      </c>
      <c r="G29" s="74" t="inlineStr">
        <is>
          <t>Sea Container 20ft</t>
        </is>
      </c>
      <c r="H29" s="25" t="n">
        <v>951200</v>
      </c>
      <c r="I29" s="30" t="n">
        <v>1</v>
      </c>
    </row>
    <row r="30" ht="23.25" customHeight="1">
      <c r="A30" s="75" t="inlineStr">
        <is>
          <t>Watercart</t>
        </is>
      </c>
      <c r="B30" s="72" t="inlineStr">
        <is>
          <t>A119</t>
        </is>
      </c>
      <c r="C30" s="106" t="n">
        <v>4</v>
      </c>
      <c r="D30" s="71" t="n"/>
      <c r="E30" s="25" t="n"/>
      <c r="F30" s="73" t="n"/>
      <c r="G30" s="74" t="inlineStr">
        <is>
          <t>Site Sentry Tower</t>
        </is>
      </c>
      <c r="H30" s="72" t="inlineStr">
        <is>
          <t>NA</t>
        </is>
      </c>
      <c r="I30" s="30" t="n">
        <v>2</v>
      </c>
    </row>
    <row r="31" ht="23.25" customHeight="1">
      <c r="A31" s="75" t="inlineStr">
        <is>
          <t>8T Excavator</t>
        </is>
      </c>
      <c r="B31" s="76" t="inlineStr">
        <is>
          <t>AMG 014</t>
        </is>
      </c>
      <c r="C31" s="106" t="n"/>
      <c r="D31" s="71" t="n"/>
      <c r="E31" s="72" t="n"/>
      <c r="F31" s="73" t="n"/>
      <c r="G31" s="74" t="inlineStr">
        <is>
          <t>Skip Bin</t>
        </is>
      </c>
      <c r="H31" s="72" t="inlineStr">
        <is>
          <t>NA</t>
        </is>
      </c>
      <c r="I31" s="30" t="n">
        <v>1</v>
      </c>
    </row>
    <row r="32" ht="23.25" customHeight="1">
      <c r="A32" s="75" t="inlineStr">
        <is>
          <t>Mini Tipper</t>
        </is>
      </c>
      <c r="B32" s="72" t="inlineStr">
        <is>
          <t>SLS04</t>
        </is>
      </c>
      <c r="C32" s="26" t="n">
        <v>3</v>
      </c>
      <c r="D32" s="71" t="n"/>
      <c r="E32" s="72" t="n"/>
      <c r="F32" s="73" t="n"/>
      <c r="G32" s="74" t="inlineStr">
        <is>
          <t>Hydrocarbon Bund</t>
        </is>
      </c>
      <c r="H32" s="72" t="inlineStr">
        <is>
          <t>NA</t>
        </is>
      </c>
      <c r="I32" s="30" t="n">
        <v>1</v>
      </c>
    </row>
    <row r="33" ht="23.25" customHeight="1">
      <c r="A33" s="75" t="inlineStr">
        <is>
          <t>Skid Steer</t>
        </is>
      </c>
      <c r="B33" s="72" t="inlineStr">
        <is>
          <t>SLS03</t>
        </is>
      </c>
      <c r="C33" s="26" t="n"/>
      <c r="D33" s="71" t="n"/>
      <c r="E33" s="72" t="n"/>
      <c r="F33" s="73" t="n"/>
      <c r="G33" s="74" t="inlineStr">
        <is>
          <t>Temp Fence</t>
        </is>
      </c>
      <c r="H33" s="25" t="inlineStr">
        <is>
          <t>NA</t>
        </is>
      </c>
      <c r="I33" s="30" t="n">
        <v>1</v>
      </c>
    </row>
    <row r="34" ht="23.25" customHeight="1">
      <c r="A34" s="75" t="inlineStr">
        <is>
          <t>1t Excavator</t>
        </is>
      </c>
      <c r="B34" s="72" t="inlineStr">
        <is>
          <t>SLS02</t>
        </is>
      </c>
      <c r="C34" s="26" t="n"/>
      <c r="D34" s="71" t="n"/>
      <c r="E34" s="72" t="n"/>
      <c r="F34" s="73" t="n"/>
      <c r="G34" s="74" t="n"/>
      <c r="H34" s="25" t="n"/>
      <c r="I34" s="30" t="n"/>
    </row>
    <row r="35" ht="23.25" customHeight="1">
      <c r="A35" s="75" t="inlineStr">
        <is>
          <t>1t Excavator</t>
        </is>
      </c>
      <c r="B35" s="72" t="inlineStr">
        <is>
          <t>DEX30</t>
        </is>
      </c>
      <c r="C35" s="26" t="n">
        <v>2</v>
      </c>
      <c r="D35" s="71" t="n"/>
      <c r="E35" s="72" t="n"/>
      <c r="F35" s="73" t="n"/>
      <c r="G35" s="74" t="n"/>
      <c r="H35" s="25" t="n"/>
      <c r="I35" s="30" t="n"/>
    </row>
    <row r="36" ht="24" customHeight="1">
      <c r="A36" s="75" t="inlineStr">
        <is>
          <t>8T Excavator (Wheeled)</t>
        </is>
      </c>
      <c r="B36" s="72" t="inlineStr">
        <is>
          <t>BCC12</t>
        </is>
      </c>
      <c r="C36" s="26" t="n"/>
      <c r="D36" s="71" t="n"/>
      <c r="E36" s="72" t="n"/>
      <c r="F36" s="73" t="n"/>
      <c r="G36" s="77" t="n"/>
      <c r="H36" s="78" t="n"/>
      <c r="I36" s="79" t="n"/>
    </row>
    <row r="37" ht="24" customHeight="1">
      <c r="A37" s="75" t="inlineStr">
        <is>
          <t>14t Excavator with GPS</t>
        </is>
      </c>
      <c r="B37" s="72" t="inlineStr">
        <is>
          <t>EX197</t>
        </is>
      </c>
      <c r="C37" s="26" t="n"/>
      <c r="D37" s="71" t="n"/>
      <c r="E37" s="72" t="n"/>
      <c r="F37" s="73" t="n"/>
      <c r="G37" s="77" t="n"/>
      <c r="H37" s="78" t="n"/>
      <c r="I37" s="79" t="n"/>
    </row>
    <row r="38" ht="24" customHeight="1" thickBot="1">
      <c r="A38" s="75" t="inlineStr">
        <is>
          <t>Roller</t>
        </is>
      </c>
      <c r="B38" s="72" t="inlineStr">
        <is>
          <t>R538</t>
        </is>
      </c>
      <c r="C38" s="106" t="n"/>
      <c r="D38" s="71" t="n"/>
      <c r="E38" s="72" t="n"/>
      <c r="F38" s="73" t="n"/>
      <c r="G38" s="77" t="n"/>
      <c r="H38" s="78" t="n"/>
      <c r="I38" s="79" t="n"/>
    </row>
    <row r="39" ht="24" customHeight="1" thickTop="1">
      <c r="A39" s="85" t="n">
        <v>0</v>
      </c>
      <c r="B39" s="158" t="inlineStr">
        <is>
          <t xml:space="preserve">Repairs Required </t>
        </is>
      </c>
      <c r="C39" s="239" t="n"/>
      <c r="D39" s="160" t="inlineStr">
        <is>
          <t>NA</t>
        </is>
      </c>
      <c r="E39" s="240" t="n"/>
      <c r="F39" s="240" t="n"/>
      <c r="G39" s="240" t="n"/>
      <c r="H39" s="240" t="n"/>
      <c r="I39" s="241" t="n"/>
    </row>
    <row r="40" ht="24" customHeight="1">
      <c r="A40" s="86" t="n">
        <v>0</v>
      </c>
      <c r="B40" s="163" t="inlineStr">
        <is>
          <t>Scheduled Service</t>
        </is>
      </c>
      <c r="C40" s="234" t="n"/>
      <c r="D40" s="165" t="inlineStr">
        <is>
          <t>NA</t>
        </is>
      </c>
      <c r="E40" s="233" t="n"/>
      <c r="F40" s="233" t="n"/>
      <c r="G40" s="233" t="n"/>
      <c r="H40" s="233" t="n"/>
      <c r="I40" s="235" t="n"/>
    </row>
    <row r="41" ht="24" customHeight="1" thickBot="1">
      <c r="A41" s="87" t="n">
        <v>0</v>
      </c>
      <c r="B41" s="168" t="inlineStr">
        <is>
          <t>Repairs Required but Operable</t>
        </is>
      </c>
      <c r="C41" s="242" t="n"/>
      <c r="D41" s="170" t="inlineStr">
        <is>
          <t>NA</t>
        </is>
      </c>
      <c r="E41" s="243" t="n"/>
      <c r="F41" s="243" t="n"/>
      <c r="G41" s="243" t="n"/>
      <c r="H41" s="243" t="n"/>
      <c r="I41" s="244" t="n"/>
    </row>
    <row r="42" ht="23.25" customHeight="1" thickTop="1">
      <c r="A42" s="173" t="inlineStr">
        <is>
          <t xml:space="preserve">Total Plant and Equipment Hours: </t>
        </is>
      </c>
      <c r="B42" s="245" t="n"/>
      <c r="C42" s="88">
        <f>SUM(C28:C38)</f>
        <v/>
      </c>
      <c r="D42" s="175" t="n"/>
      <c r="E42" s="231" t="n"/>
      <c r="F42" s="231" t="n"/>
      <c r="G42" s="231" t="n"/>
      <c r="H42" s="231" t="n"/>
      <c r="I42" s="232" t="n"/>
    </row>
    <row r="43" ht="25" customHeight="1">
      <c r="A43" s="146" t="inlineStr">
        <is>
          <t>DELAYS-OPPORTUNITY</t>
        </is>
      </c>
      <c r="B43" s="233" t="n"/>
      <c r="C43" s="233" t="n"/>
      <c r="D43" s="233" t="n"/>
      <c r="E43" s="233" t="n"/>
      <c r="F43" s="233" t="n"/>
      <c r="G43" s="233" t="n"/>
      <c r="H43" s="233" t="n"/>
      <c r="I43" s="235" t="n"/>
    </row>
    <row r="44" ht="69" customHeight="1" thickBot="1">
      <c r="A44" s="215"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Lateral reticulation pipes hit multiple times during NBN pit installation due to relocation within NBN alignment. Multitude of rework identified.
Vacuum truck used for light poles in locations indicating possible service interfaces. 
Issues around Watercorp Connection Identified
</t>
        </is>
      </c>
      <c r="B44" s="236" t="n"/>
      <c r="C44" s="236" t="n"/>
      <c r="D44" s="236" t="n"/>
      <c r="E44" s="236" t="n"/>
      <c r="F44" s="236" t="n"/>
      <c r="G44" s="236" t="n"/>
      <c r="H44" s="236" t="n"/>
      <c r="I44" s="237" t="n"/>
    </row>
    <row r="45" ht="45" customHeight="1" thickBot="1">
      <c r="A45" s="228" t="n"/>
      <c r="I45" s="229" t="n"/>
    </row>
    <row r="46" hidden="1" ht="9.75" customHeight="1" thickBot="1">
      <c r="A46" s="246" t="n"/>
      <c r="B46" s="247" t="n"/>
      <c r="C46" s="247" t="n"/>
      <c r="D46" s="247" t="n"/>
      <c r="E46" s="247" t="n"/>
      <c r="F46" s="247" t="n"/>
      <c r="G46" s="247" t="n"/>
      <c r="H46" s="247" t="n"/>
      <c r="I46" s="248" t="n"/>
    </row>
    <row r="47" ht="25" customHeight="1">
      <c r="A47" s="185" t="inlineStr">
        <is>
          <t>HSEQ MESSAGES</t>
        </is>
      </c>
      <c r="B47" s="249" t="n"/>
      <c r="C47" s="249" t="n"/>
      <c r="D47" s="249" t="n"/>
      <c r="E47" s="249" t="n"/>
      <c r="F47" s="249" t="n"/>
      <c r="G47" s="249" t="n"/>
      <c r="H47" s="249" t="n"/>
      <c r="I47" s="250" t="n"/>
    </row>
    <row r="48" ht="24" customHeight="1">
      <c r="A48" s="89" t="inlineStr">
        <is>
          <t>TCD - Monthly Safety Focus:</t>
        </is>
      </c>
      <c r="B48" s="155" t="inlineStr">
        <is>
          <t>Cyclones &amp; Wet Weather</t>
        </is>
      </c>
      <c r="C48" s="233" t="n"/>
      <c r="D48" s="233" t="n"/>
      <c r="E48" s="233" t="n"/>
      <c r="F48" s="233" t="n"/>
      <c r="G48" s="233" t="n"/>
      <c r="H48" s="233" t="n"/>
      <c r="I48" s="234" t="n"/>
    </row>
    <row r="49" ht="24" customHeight="1">
      <c r="A49" s="89" t="inlineStr">
        <is>
          <t>TCD - Daily Safety Focus:</t>
        </is>
      </c>
      <c r="B49" s="188" t="inlineStr">
        <is>
          <t>Fitness for work</t>
        </is>
      </c>
      <c r="C49" s="233" t="n"/>
      <c r="D49" s="233" t="n"/>
      <c r="E49" s="233" t="n"/>
      <c r="F49" s="233" t="n"/>
      <c r="G49" s="233" t="n"/>
      <c r="H49" s="233" t="n"/>
      <c r="I49" s="235" t="n"/>
    </row>
    <row r="50" ht="24" customHeight="1">
      <c r="A50" s="90" t="inlineStr">
        <is>
          <t xml:space="preserve">Hazards Reported: </t>
        </is>
      </c>
      <c r="B50" s="188" t="inlineStr">
        <is>
          <t>Nil</t>
        </is>
      </c>
      <c r="C50" s="233" t="n"/>
      <c r="D50" s="233" t="n"/>
      <c r="E50" s="233" t="n"/>
      <c r="F50" s="233" t="n"/>
      <c r="G50" s="233" t="n"/>
      <c r="H50" s="233" t="n"/>
      <c r="I50" s="235" t="n"/>
    </row>
    <row r="51" ht="24" customHeight="1">
      <c r="A51" s="90" t="inlineStr">
        <is>
          <t>Incident Free Days</t>
        </is>
      </c>
      <c r="B51" s="251" t="n">
        <v>5</v>
      </c>
      <c r="C51" s="233" t="n"/>
      <c r="D51" s="233" t="n"/>
      <c r="E51" s="233" t="n"/>
      <c r="F51" s="233" t="n"/>
      <c r="G51" s="233" t="n"/>
      <c r="H51" s="233" t="n"/>
      <c r="I51" s="235" t="n"/>
    </row>
    <row r="52" ht="24" customHeight="1">
      <c r="A52" s="91" t="inlineStr">
        <is>
          <t>Other Notes</t>
        </is>
      </c>
      <c r="B52" s="197" t="inlineStr">
        <is>
          <t>NA</t>
        </is>
      </c>
      <c r="C52" s="236" t="n"/>
      <c r="D52" s="236" t="n"/>
      <c r="E52" s="236" t="n"/>
      <c r="F52" s="236" t="n"/>
      <c r="G52" s="236" t="n"/>
      <c r="H52" s="236" t="n"/>
      <c r="I52" s="237" t="n"/>
    </row>
    <row r="53" ht="20.25" customHeight="1">
      <c r="A53" s="146" t="inlineStr">
        <is>
          <t xml:space="preserve">INCIDENTS &amp; REPORTS </t>
        </is>
      </c>
      <c r="B53" s="233" t="n"/>
      <c r="C53" s="233" t="n"/>
      <c r="D53" s="233" t="n"/>
      <c r="E53" s="233" t="n"/>
      <c r="F53" s="233" t="n"/>
      <c r="G53" s="233" t="n"/>
      <c r="H53" s="233" t="n"/>
      <c r="I53" s="235" t="n"/>
    </row>
    <row r="54" ht="20" customHeight="1">
      <c r="A54" s="92" t="n"/>
      <c r="B54" s="93" t="inlineStr">
        <is>
          <t>QTY</t>
        </is>
      </c>
      <c r="C54" s="200" t="inlineStr">
        <is>
          <t>Comments</t>
        </is>
      </c>
      <c r="D54" s="233" t="n"/>
      <c r="E54" s="233" t="n"/>
      <c r="F54" s="233" t="n"/>
      <c r="G54" s="233" t="n"/>
      <c r="H54" s="233" t="n"/>
      <c r="I54" s="235" t="n"/>
    </row>
    <row r="55" ht="24" customHeight="1">
      <c r="A55" s="48" t="inlineStr">
        <is>
          <t>INCIDENT</t>
        </is>
      </c>
      <c r="B55" s="25" t="n">
        <v>0</v>
      </c>
      <c r="C55" s="201" t="inlineStr">
        <is>
          <t>NA</t>
        </is>
      </c>
      <c r="D55" s="236" t="n"/>
      <c r="E55" s="236" t="n"/>
      <c r="F55" s="236" t="n"/>
      <c r="G55" s="236" t="n"/>
      <c r="H55" s="236" t="n"/>
      <c r="I55" s="237" t="n"/>
    </row>
    <row r="56" ht="24" customHeight="1">
      <c r="A56" s="101" t="inlineStr">
        <is>
          <t>IR</t>
        </is>
      </c>
      <c r="B56" s="34" t="n">
        <v>0</v>
      </c>
      <c r="C56" s="201" t="inlineStr">
        <is>
          <t>NA</t>
        </is>
      </c>
      <c r="D56" s="236" t="n"/>
      <c r="E56" s="236" t="n"/>
      <c r="F56" s="236" t="n"/>
      <c r="G56" s="236" t="n"/>
      <c r="H56" s="236" t="n"/>
      <c r="I56" s="237" t="n"/>
    </row>
    <row r="57" ht="24" customHeight="1" thickBot="1">
      <c r="A57" s="102" t="inlineStr">
        <is>
          <t>NCR</t>
        </is>
      </c>
      <c r="B57" s="103" t="n">
        <v>0</v>
      </c>
      <c r="C57" s="204" t="inlineStr">
        <is>
          <t>NA</t>
        </is>
      </c>
      <c r="D57" s="252" t="n"/>
      <c r="E57" s="252" t="n"/>
      <c r="F57" s="252" t="n"/>
      <c r="G57" s="252" t="n"/>
      <c r="H57" s="252" t="n"/>
      <c r="I57" s="253" t="n"/>
    </row>
    <row r="58" ht="20.25" customHeight="1">
      <c r="A58" s="185" t="inlineStr">
        <is>
          <t>COMMUNICATIONS</t>
        </is>
      </c>
      <c r="B58" s="249" t="n"/>
      <c r="C58" s="249" t="n"/>
      <c r="D58" s="249" t="n"/>
      <c r="E58" s="249" t="n"/>
      <c r="F58" s="249" t="n"/>
      <c r="G58" s="249" t="n"/>
      <c r="H58" s="249" t="n"/>
      <c r="I58" s="250" t="n"/>
    </row>
    <row r="59" ht="25" customHeight="1">
      <c r="A59" s="207" t="inlineStr">
        <is>
          <t>TGS MB1119-05 Scheme D implemented</t>
        </is>
      </c>
      <c r="B59" s="233" t="n"/>
      <c r="C59" s="233" t="n"/>
      <c r="D59" s="233" t="n"/>
      <c r="E59" s="233" t="n"/>
      <c r="F59" s="233" t="n"/>
      <c r="G59" s="233" t="n"/>
      <c r="H59" s="233" t="n"/>
      <c r="I59" s="235" t="n"/>
    </row>
    <row r="60" ht="25" customHeight="1">
      <c r="A60" s="146" t="inlineStr">
        <is>
          <t>PRODUCTION (CONSTRUCTION STATUS &amp; PROGRESS)</t>
        </is>
      </c>
      <c r="B60" s="233" t="n"/>
      <c r="C60" s="233" t="n"/>
      <c r="D60" s="233" t="n"/>
      <c r="E60" s="233" t="n"/>
      <c r="F60" s="233" t="n"/>
      <c r="G60" s="233" t="n"/>
      <c r="H60" s="233" t="n"/>
      <c r="I60" s="235" t="n"/>
    </row>
    <row r="61" ht="24" customHeight="1">
      <c r="A61" s="207" t="inlineStr">
        <is>
          <t>Ground Prep works and rolling for Paving along north west is ongoing</t>
        </is>
      </c>
      <c r="B61" s="233" t="n"/>
      <c r="C61" s="233" t="n"/>
      <c r="D61" s="233" t="n"/>
      <c r="E61" s="233" t="n"/>
      <c r="F61" s="233" t="n"/>
      <c r="G61" s="233" t="n"/>
      <c r="H61" s="233" t="n"/>
      <c r="I61" s="235" t="n"/>
    </row>
    <row r="62" ht="24" customHeight="1">
      <c r="A62" s="207" t="inlineStr">
        <is>
          <t>Paving at intersection is completed. Paving continues on NW run.</t>
        </is>
      </c>
      <c r="B62" s="233" t="n"/>
      <c r="C62" s="233" t="n"/>
      <c r="D62" s="233" t="n"/>
      <c r="E62" s="233" t="n"/>
      <c r="F62" s="233" t="n"/>
      <c r="G62" s="233" t="n"/>
      <c r="H62" s="233" t="n"/>
      <c r="I62" s="235" t="n"/>
    </row>
    <row r="63" ht="24" customHeight="1">
      <c r="A63" s="207" t="inlineStr">
        <is>
          <t>Riverstone installation in the Garden beds is on going</t>
        </is>
      </c>
      <c r="B63" s="233" t="n"/>
      <c r="C63" s="233" t="n"/>
      <c r="D63" s="233" t="n"/>
      <c r="E63" s="233" t="n"/>
      <c r="F63" s="233" t="n"/>
      <c r="G63" s="233" t="n"/>
      <c r="H63" s="233" t="n"/>
      <c r="I63" s="235" t="n"/>
    </row>
    <row r="64" ht="24" customHeight="1">
      <c r="A64" s="207" t="inlineStr">
        <is>
          <t>General site tidy up is ongoing</t>
        </is>
      </c>
      <c r="B64" s="233" t="n"/>
      <c r="C64" s="233" t="n"/>
      <c r="D64" s="233" t="n"/>
      <c r="E64" s="233" t="n"/>
      <c r="F64" s="233" t="n"/>
      <c r="G64" s="233" t="n"/>
      <c r="H64" s="233" t="n"/>
      <c r="I64" s="235" t="n"/>
    </row>
    <row r="65" ht="24" customHeight="1">
      <c r="A65" s="207" t="inlineStr">
        <is>
          <t>Garden bed prep completed on Chambers Street</t>
        </is>
      </c>
      <c r="B65" s="233" t="n"/>
      <c r="C65" s="233" t="n"/>
      <c r="D65" s="233" t="n"/>
      <c r="E65" s="233" t="n"/>
      <c r="F65" s="233" t="n"/>
      <c r="G65" s="233" t="n"/>
      <c r="H65" s="233" t="n"/>
      <c r="I65" s="235" t="n"/>
    </row>
    <row r="66" ht="24" customHeight="1">
      <c r="A66" s="207" t="n"/>
      <c r="B66" s="233" t="n"/>
      <c r="C66" s="233" t="n"/>
      <c r="D66" s="233" t="n"/>
      <c r="E66" s="233" t="n"/>
      <c r="F66" s="233" t="n"/>
      <c r="G66" s="233" t="n"/>
      <c r="H66" s="233" t="n"/>
      <c r="I66" s="235" t="n"/>
    </row>
    <row r="67" ht="26.25" customHeight="1">
      <c r="A67" s="148" t="inlineStr">
        <is>
          <t>Photos</t>
        </is>
      </c>
      <c r="B67" s="236" t="n"/>
      <c r="C67" s="236" t="n"/>
      <c r="D67" s="236" t="n"/>
      <c r="E67" s="236" t="n"/>
      <c r="F67" s="236" t="n"/>
      <c r="G67" s="236" t="n"/>
      <c r="H67" s="236" t="n"/>
      <c r="I67" s="237" t="n"/>
    </row>
    <row r="68" ht="23.25" customHeight="1">
      <c r="A68" s="94" t="n"/>
      <c r="B68" s="95" t="n"/>
      <c r="C68" s="95" t="n"/>
      <c r="D68" s="95" t="n"/>
      <c r="E68" s="95" t="n"/>
      <c r="F68" s="95" t="n"/>
      <c r="G68" s="95" t="n"/>
      <c r="H68" s="95" t="n"/>
      <c r="I68" s="96"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104" t="n"/>
      <c r="B74" s="95" t="n"/>
      <c r="C74" s="95" t="n"/>
      <c r="D74" s="95" t="n"/>
      <c r="E74" s="95" t="n"/>
      <c r="F74" s="95" t="n"/>
      <c r="G74" s="95" t="n"/>
      <c r="H74" s="95" t="n"/>
      <c r="I74" s="96" t="n"/>
    </row>
    <row r="75" ht="15" customHeight="1">
      <c r="A75" s="9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25" customFormat="1" customHeight="1" s="97">
      <c r="A96" s="94" t="n"/>
      <c r="B96" s="95" t="n"/>
      <c r="C96" s="95" t="n"/>
      <c r="D96" s="95" t="n"/>
      <c r="E96" s="95" t="n"/>
      <c r="F96" s="95" t="n"/>
      <c r="G96" s="95" t="n"/>
      <c r="H96" s="95" t="n"/>
      <c r="I96" s="96" t="n"/>
    </row>
    <row r="97" ht="15" customHeight="1">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thickBot="1">
      <c r="A102" s="98" t="n"/>
      <c r="B102" s="99" t="n"/>
      <c r="C102" s="99" t="n"/>
      <c r="D102" s="99" t="n"/>
      <c r="E102" s="99" t="n"/>
      <c r="F102" s="99" t="n"/>
      <c r="G102" s="99" t="n"/>
      <c r="H102" s="99" t="n"/>
      <c r="I102" s="100" t="n"/>
    </row>
    <row r="103" ht="15" customHeight="1">
      <c r="A103" s="94" t="n"/>
      <c r="B103" s="95" t="n"/>
      <c r="C103" s="95" t="n"/>
      <c r="D103" s="95" t="n"/>
      <c r="E103" s="95" t="n"/>
      <c r="F103" s="95" t="n"/>
      <c r="G103" s="95" t="n"/>
      <c r="H103" s="95" t="n"/>
      <c r="I103" s="96"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25" customHeight="1">
      <c r="A120" s="94" t="n"/>
      <c r="B120" s="95" t="n"/>
      <c r="C120" s="95" t="n"/>
      <c r="D120" s="95" t="n"/>
      <c r="E120" s="95" t="n"/>
      <c r="F120" s="95" t="n"/>
      <c r="G120" s="95" t="n"/>
      <c r="H120" s="95" t="n"/>
      <c r="I120" s="96" t="n"/>
    </row>
    <row r="121" ht="1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28" customHeight="1">
      <c r="A123" s="94" t="n"/>
      <c r="B123" s="95" t="n"/>
      <c r="C123" s="95" t="n"/>
      <c r="D123" s="95" t="n"/>
      <c r="E123" s="95" t="n"/>
      <c r="F123" s="95" t="n"/>
      <c r="G123" s="95" t="n"/>
      <c r="H123" s="95" t="n"/>
      <c r="I123" s="96" t="n"/>
    </row>
    <row r="124" ht="15"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6" customHeight="1">
      <c r="A143" s="94" t="n"/>
      <c r="B143" s="95" t="n"/>
      <c r="C143" s="95" t="n"/>
      <c r="D143" s="95" t="n"/>
      <c r="E143" s="95" t="n"/>
      <c r="F143" s="95" t="n"/>
      <c r="G143" s="95" t="n"/>
      <c r="H143" s="95" t="n"/>
      <c r="I143" s="96" t="n"/>
    </row>
    <row r="144" ht="56.25" customHeight="1">
      <c r="A144" s="94" t="n"/>
      <c r="B144" s="95" t="n"/>
      <c r="C144" s="95" t="n"/>
      <c r="D144" s="95" t="n"/>
      <c r="E144" s="95" t="n"/>
      <c r="F144" s="95" t="n"/>
      <c r="G144" s="95" t="n"/>
      <c r="H144" s="95" t="n"/>
      <c r="I144" s="96" t="n"/>
    </row>
    <row r="145">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c r="J149" s="95" t="n"/>
      <c r="K149" s="95" t="n"/>
      <c r="L149" s="95" t="n"/>
    </row>
    <row r="150">
      <c r="A150" s="94" t="n"/>
      <c r="B150" s="95" t="n"/>
      <c r="C150" s="95" t="n"/>
      <c r="D150" s="95" t="n"/>
      <c r="E150" s="95" t="n"/>
      <c r="F150" s="95" t="n"/>
      <c r="G150" s="95" t="n"/>
      <c r="H150" s="95" t="n"/>
      <c r="I150" s="96"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c r="J170" s="95" t="n"/>
      <c r="K170" s="95" t="n"/>
      <c r="L170" s="95" t="n"/>
      <c r="M170" s="95" t="n"/>
      <c r="N170" s="95" t="n"/>
    </row>
    <row r="171">
      <c r="A171" s="94" t="n"/>
      <c r="B171" s="95" t="n"/>
      <c r="C171" s="95" t="n"/>
      <c r="D171" s="95" t="n"/>
      <c r="E171" s="95" t="n"/>
      <c r="F171" s="95" t="n"/>
      <c r="G171" s="95" t="n"/>
      <c r="H171" s="95" t="n"/>
      <c r="I171" s="96" t="n"/>
      <c r="J171" s="95" t="n"/>
      <c r="K171" s="95" t="n"/>
      <c r="L171" s="95" t="n"/>
      <c r="M171" s="95" t="n"/>
      <c r="N171" s="95" t="n"/>
    </row>
    <row r="172">
      <c r="A172" s="94" t="n"/>
      <c r="B172" s="95" t="n"/>
      <c r="C172" s="95" t="n"/>
      <c r="D172" s="95" t="n"/>
      <c r="E172" s="95" t="n"/>
      <c r="F172" s="95" t="n"/>
      <c r="G172" s="95" t="n"/>
      <c r="H172" s="95" t="n"/>
      <c r="I172" s="96" t="n"/>
      <c r="J172" s="95" t="n"/>
      <c r="K172" s="95" t="n"/>
      <c r="L172" s="95" t="n"/>
      <c r="M172" s="95" t="n"/>
      <c r="N172" s="95" t="n"/>
    </row>
    <row r="173">
      <c r="A173" s="94" t="n"/>
      <c r="B173" s="95" t="n"/>
      <c r="C173" s="95" t="n"/>
      <c r="D173" s="95" t="n"/>
      <c r="E173" s="95" t="n"/>
      <c r="F173" s="95" t="n"/>
      <c r="G173" s="95" t="n"/>
      <c r="H173" s="95" t="n"/>
      <c r="I173" s="96" t="n"/>
      <c r="J173" s="95" t="n"/>
      <c r="K173" s="95" t="n"/>
      <c r="L173" s="95" t="n"/>
      <c r="M173" s="95" t="n"/>
      <c r="N173" s="95" t="n"/>
    </row>
    <row r="174">
      <c r="A174" s="94" t="n"/>
      <c r="B174" s="95" t="n"/>
      <c r="C174" s="95" t="n"/>
      <c r="D174" s="95" t="n"/>
      <c r="E174" s="95" t="n"/>
      <c r="F174" s="95" t="n"/>
      <c r="G174" s="95" t="n"/>
      <c r="H174" s="95" t="n"/>
      <c r="I174" s="96" t="n"/>
      <c r="J174" s="95" t="n"/>
      <c r="K174" s="95" t="n"/>
      <c r="L174" s="95" t="n"/>
      <c r="M174" s="95" t="n"/>
      <c r="N174" s="95" t="n"/>
    </row>
    <row r="175">
      <c r="A175" s="94" t="n"/>
      <c r="B175" s="95" t="n"/>
      <c r="C175" s="95" t="n"/>
      <c r="D175" s="95" t="n"/>
      <c r="E175" s="95" t="n"/>
      <c r="F175" s="95" t="n"/>
      <c r="G175" s="95" t="n"/>
      <c r="H175" s="95" t="n"/>
      <c r="I175" s="96" t="n"/>
      <c r="J175" s="95" t="n"/>
      <c r="K175" s="95" t="n"/>
      <c r="L175" s="95" t="n"/>
      <c r="M175" s="95" t="n"/>
      <c r="N175" s="95" t="n"/>
    </row>
    <row r="176">
      <c r="A176" s="94" t="n"/>
      <c r="B176" s="95" t="n"/>
      <c r="C176" s="95" t="n"/>
      <c r="D176" s="95" t="n"/>
      <c r="E176" s="95" t="n"/>
      <c r="F176" s="95" t="n"/>
      <c r="G176" s="95" t="n"/>
      <c r="H176" s="95" t="n"/>
      <c r="I176" s="96" t="n"/>
      <c r="J176" s="95" t="n"/>
      <c r="K176" s="95" t="n"/>
      <c r="L176" s="95" t="n"/>
      <c r="M176" s="95" t="n"/>
      <c r="N176" s="95" t="n"/>
    </row>
    <row r="177">
      <c r="A177" s="94" t="n"/>
      <c r="B177" s="95" t="n"/>
      <c r="C177" s="95" t="n"/>
      <c r="D177" s="95" t="n"/>
      <c r="E177" s="95" t="n"/>
      <c r="F177" s="95" t="n"/>
      <c r="G177" s="95" t="n"/>
      <c r="H177" s="95" t="n"/>
      <c r="I177" s="96" t="n"/>
      <c r="J177" s="95" t="n"/>
      <c r="K177" s="95" t="n"/>
      <c r="L177" s="95" t="n"/>
      <c r="M177" s="95" t="n"/>
      <c r="N177" s="95" t="n"/>
    </row>
    <row r="178">
      <c r="A178" s="94" t="n"/>
      <c r="B178" s="95" t="n"/>
      <c r="C178" s="95" t="n"/>
      <c r="D178" s="95" t="n"/>
      <c r="E178" s="95" t="n"/>
      <c r="F178" s="95" t="n"/>
      <c r="G178" s="95" t="n"/>
      <c r="H178" s="95" t="n"/>
      <c r="I178" s="96" t="n"/>
      <c r="J178" s="95" t="n"/>
      <c r="K178" s="95" t="n"/>
      <c r="L178" s="95" t="n"/>
      <c r="M178" s="95" t="n"/>
      <c r="N178" s="95" t="n"/>
    </row>
    <row r="179">
      <c r="A179" s="94" t="n"/>
      <c r="B179" s="95" t="n"/>
      <c r="C179" s="95" t="n"/>
      <c r="D179" s="95" t="n"/>
      <c r="E179" s="95" t="n"/>
      <c r="F179" s="95" t="n"/>
      <c r="G179" s="95" t="n"/>
      <c r="H179" s="95" t="n"/>
      <c r="I179" s="96" t="n"/>
      <c r="J179" s="95" t="n"/>
      <c r="K179" s="95" t="n"/>
      <c r="L179" s="95" t="n"/>
      <c r="M179" s="95" t="n"/>
      <c r="N179" s="95" t="n"/>
    </row>
    <row r="180">
      <c r="A180" s="94" t="n"/>
      <c r="B180" s="95" t="n"/>
      <c r="C180" s="95" t="n"/>
      <c r="D180" s="95" t="n"/>
      <c r="E180" s="95" t="n"/>
      <c r="F180" s="95" t="n"/>
      <c r="G180" s="95" t="n"/>
      <c r="H180" s="95" t="n"/>
      <c r="I180" s="96" t="n"/>
      <c r="J180" s="95" t="n"/>
      <c r="K180" s="95" t="n"/>
      <c r="L180" s="95" t="n"/>
      <c r="M180" s="95" t="n"/>
      <c r="N180" s="95" t="n"/>
    </row>
    <row r="181">
      <c r="A181" s="94" t="n"/>
      <c r="B181" s="95" t="n"/>
      <c r="C181" s="95" t="n"/>
      <c r="D181" s="95" t="n"/>
      <c r="E181" s="95" t="n"/>
      <c r="F181" s="95" t="n"/>
      <c r="G181" s="95" t="n"/>
      <c r="H181" s="95" t="n"/>
      <c r="I181" s="96" t="n"/>
      <c r="J181" s="95" t="n"/>
      <c r="K181" s="95" t="n"/>
      <c r="L181" s="95" t="n"/>
      <c r="M181" s="95" t="n"/>
      <c r="N181" s="95" t="n"/>
    </row>
    <row r="182">
      <c r="A182" s="94" t="n"/>
      <c r="B182" s="95" t="n"/>
      <c r="C182" s="95" t="n"/>
      <c r="D182" s="95" t="n"/>
      <c r="E182" s="95" t="n"/>
      <c r="F182" s="95" t="n"/>
      <c r="G182" s="95" t="n"/>
      <c r="H182" s="95" t="n"/>
      <c r="I182" s="96" t="n"/>
      <c r="J182" s="95" t="n"/>
      <c r="K182" s="95" t="n"/>
      <c r="L182" s="95" t="n"/>
      <c r="M182" s="95" t="n"/>
      <c r="N182" s="95" t="n"/>
    </row>
    <row r="183">
      <c r="A183" s="94" t="n"/>
      <c r="B183" s="95" t="n"/>
      <c r="C183" s="95" t="n"/>
      <c r="D183" s="95" t="n"/>
      <c r="E183" s="95" t="n"/>
      <c r="F183" s="95" t="n"/>
      <c r="G183" s="95" t="n"/>
      <c r="H183" s="95" t="n"/>
      <c r="I183" s="96" t="n"/>
      <c r="J183" s="95" t="n"/>
      <c r="K183" s="95" t="n"/>
      <c r="L183" s="95" t="n"/>
      <c r="M183" s="95" t="n"/>
      <c r="N183" s="95" t="n"/>
    </row>
    <row r="184">
      <c r="A184" s="94" t="n"/>
      <c r="B184" s="95" t="n"/>
      <c r="C184" s="95" t="n"/>
      <c r="D184" s="95" t="n"/>
      <c r="E184" s="95" t="n"/>
      <c r="F184" s="95" t="n"/>
      <c r="G184" s="95" t="n"/>
      <c r="H184" s="95" t="n"/>
      <c r="I184" s="96" t="n"/>
      <c r="J184" s="95" t="n"/>
      <c r="K184" s="95" t="n"/>
      <c r="L184" s="95" t="n"/>
      <c r="M184" s="95" t="n"/>
      <c r="N184" s="95" t="n"/>
    </row>
    <row r="185">
      <c r="A185" s="94" t="n"/>
      <c r="B185" s="95" t="n"/>
      <c r="C185" s="95" t="n"/>
      <c r="D185" s="95" t="n"/>
      <c r="E185" s="95" t="n"/>
      <c r="F185" s="95" t="n"/>
      <c r="G185" s="95" t="n"/>
      <c r="H185" s="95" t="n"/>
      <c r="I185" s="96" t="n"/>
      <c r="J185" s="95" t="n"/>
      <c r="K185" s="95" t="n"/>
      <c r="L185" s="95" t="n"/>
      <c r="M185" s="95" t="n"/>
      <c r="N185" s="95" t="n"/>
    </row>
    <row r="186">
      <c r="A186" s="94" t="n"/>
      <c r="B186" s="95" t="n"/>
      <c r="C186" s="95" t="n"/>
      <c r="D186" s="95" t="n"/>
      <c r="E186" s="95" t="n"/>
      <c r="F186" s="95" t="n"/>
      <c r="G186" s="95" t="n"/>
      <c r="H186" s="95" t="n"/>
      <c r="I186" s="96" t="n"/>
      <c r="J186" s="95" t="n"/>
      <c r="K186" s="95" t="n"/>
      <c r="L186" s="95" t="n"/>
      <c r="M186" s="95" t="n"/>
      <c r="N186" s="95" t="n"/>
    </row>
    <row r="187">
      <c r="A187" s="94" t="n"/>
      <c r="B187" s="95" t="n"/>
      <c r="C187" s="95" t="n"/>
      <c r="D187" s="95" t="n"/>
      <c r="E187" s="95" t="n"/>
      <c r="F187" s="95" t="n"/>
      <c r="G187" s="95" t="n"/>
      <c r="H187" s="95" t="n"/>
      <c r="I187" s="96" t="n"/>
      <c r="J187" s="95" t="n"/>
      <c r="K187" s="95" t="n"/>
      <c r="L187" s="95" t="n"/>
      <c r="M187" s="95" t="n"/>
      <c r="N187" s="95" t="n"/>
    </row>
    <row r="188">
      <c r="A188" s="94" t="n"/>
      <c r="B188" s="95" t="n"/>
      <c r="C188" s="95" t="n"/>
      <c r="D188" s="95" t="n"/>
      <c r="E188" s="95" t="n"/>
      <c r="F188" s="95" t="n"/>
      <c r="G188" s="95" t="n"/>
      <c r="H188" s="95" t="n"/>
      <c r="I188" s="96" t="n"/>
      <c r="J188" s="95" t="n"/>
      <c r="K188" s="95" t="n"/>
      <c r="L188" s="95" t="n"/>
      <c r="M188" s="95" t="n"/>
      <c r="N188" s="95" t="n"/>
    </row>
    <row r="189">
      <c r="A189" s="94" t="n"/>
      <c r="B189" s="95" t="n"/>
      <c r="C189" s="95" t="n"/>
      <c r="D189" s="95" t="n"/>
      <c r="E189" s="95" t="n"/>
      <c r="F189" s="95" t="n"/>
      <c r="G189" s="95" t="n"/>
      <c r="H189" s="95" t="n"/>
      <c r="I189" s="96" t="n"/>
      <c r="J189" s="95" t="n"/>
      <c r="K189" s="95" t="n"/>
      <c r="L189" s="95" t="n"/>
      <c r="M189" s="95" t="n"/>
      <c r="N189" s="95" t="n"/>
    </row>
    <row r="190">
      <c r="A190" s="94" t="n"/>
      <c r="B190" s="95" t="n"/>
      <c r="C190" s="95" t="n"/>
      <c r="D190" s="95" t="n"/>
      <c r="E190" s="95" t="n"/>
      <c r="F190" s="95" t="n"/>
      <c r="G190" s="95" t="n"/>
      <c r="H190" s="95" t="n"/>
      <c r="I190" s="96" t="n"/>
      <c r="J190" s="95" t="n"/>
      <c r="K190" s="95" t="n"/>
      <c r="L190" s="95" t="n"/>
      <c r="M190" s="95" t="n"/>
      <c r="N190" s="95" t="n"/>
    </row>
    <row r="191">
      <c r="A191" s="94" t="n"/>
      <c r="B191" s="95" t="n"/>
      <c r="C191" s="95" t="n"/>
      <c r="D191" s="95" t="n"/>
      <c r="E191" s="95" t="n"/>
      <c r="F191" s="95" t="n"/>
      <c r="G191" s="95" t="n"/>
      <c r="H191" s="95" t="n"/>
      <c r="I191" s="96" t="n"/>
      <c r="J191" s="95" t="n"/>
      <c r="K191" s="95" t="n"/>
      <c r="L191" s="95" t="n"/>
      <c r="M191" s="95" t="n"/>
      <c r="N191" s="95" t="n"/>
    </row>
    <row r="192">
      <c r="A192" s="94" t="n"/>
      <c r="B192" s="95" t="n"/>
      <c r="C192" s="95" t="n"/>
      <c r="D192" s="95" t="n"/>
      <c r="E192" s="95" t="n"/>
      <c r="F192" s="95" t="n"/>
      <c r="G192" s="95" t="n"/>
      <c r="H192" s="95" t="n"/>
      <c r="I192" s="96" t="n"/>
      <c r="J192" s="95" t="n"/>
      <c r="K192" s="95" t="n"/>
      <c r="L192" s="95" t="n"/>
      <c r="M192" s="95" t="n"/>
      <c r="N192" s="95" t="n"/>
    </row>
    <row r="193">
      <c r="A193" s="94" t="n"/>
      <c r="B193" s="95" t="n"/>
      <c r="C193" s="95" t="n"/>
      <c r="D193" s="95" t="n"/>
      <c r="E193" s="95" t="n"/>
      <c r="F193" s="95" t="n"/>
      <c r="G193" s="95" t="n"/>
      <c r="H193" s="95" t="n"/>
      <c r="I193" s="96" t="n"/>
      <c r="J193" s="95" t="n"/>
      <c r="K193" s="95" t="n"/>
      <c r="L193" s="95" t="n"/>
      <c r="M193" s="95" t="n"/>
      <c r="N193" s="95" t="n"/>
    </row>
    <row r="194">
      <c r="A194" s="94" t="n"/>
      <c r="B194" s="95" t="n"/>
      <c r="C194" s="95" t="n"/>
      <c r="D194" s="95" t="n"/>
      <c r="E194" s="95" t="n"/>
      <c r="F194" s="95" t="n"/>
      <c r="G194" s="95" t="n"/>
      <c r="H194" s="95" t="n"/>
      <c r="I194" s="96" t="n"/>
      <c r="J194" s="95" t="n"/>
      <c r="K194" s="95" t="n"/>
      <c r="L194" s="95" t="n"/>
      <c r="M194" s="95" t="n"/>
      <c r="N194" s="95" t="n"/>
    </row>
    <row r="195">
      <c r="A195" s="94" t="n"/>
      <c r="B195" s="95" t="n"/>
      <c r="C195" s="95" t="n"/>
      <c r="D195" s="95" t="n"/>
      <c r="E195" s="95" t="n"/>
      <c r="F195" s="95" t="n"/>
      <c r="G195" s="95" t="n"/>
      <c r="H195" s="95" t="n"/>
      <c r="I195" s="96" t="n"/>
      <c r="J195" s="95" t="n"/>
      <c r="K195" s="95" t="n"/>
      <c r="L195" s="95" t="n"/>
      <c r="M195" s="95" t="n"/>
      <c r="N195" s="95" t="n"/>
    </row>
    <row r="196">
      <c r="A196" s="94" t="n"/>
      <c r="B196" s="95" t="n"/>
      <c r="C196" s="95" t="n"/>
      <c r="D196" s="95" t="n"/>
      <c r="E196" s="95" t="n"/>
      <c r="F196" s="95" t="n"/>
      <c r="G196" s="95" t="n"/>
      <c r="H196" s="95" t="n"/>
      <c r="I196" s="96" t="n"/>
      <c r="J196" s="95" t="n"/>
      <c r="K196" s="95" t="n"/>
      <c r="L196" s="95" t="n"/>
      <c r="M196" s="95" t="n"/>
      <c r="N196" s="95" t="n"/>
    </row>
    <row r="197" ht="16" customHeight="1">
      <c r="A197" s="94" t="n"/>
      <c r="B197" s="95" t="n"/>
      <c r="C197" s="95" t="n"/>
      <c r="D197" s="95" t="n"/>
      <c r="E197" s="95" t="n"/>
      <c r="F197" s="95" t="n"/>
      <c r="G197" s="95" t="n"/>
      <c r="H197" s="95" t="n"/>
      <c r="I197" s="96" t="n"/>
      <c r="J197" s="95" t="n"/>
      <c r="K197" s="95" t="n"/>
      <c r="L197" s="95" t="n"/>
      <c r="M197" s="95" t="n"/>
      <c r="N197" s="95" t="n"/>
    </row>
    <row r="198">
      <c r="A198" s="94" t="n"/>
      <c r="B198" s="95" t="n"/>
      <c r="C198" s="95" t="n"/>
      <c r="D198" s="95" t="n"/>
      <c r="E198" s="95" t="n"/>
      <c r="F198" s="95" t="n"/>
      <c r="G198" s="95" t="n"/>
      <c r="H198" s="95" t="n"/>
      <c r="I198" s="96" t="n"/>
    </row>
    <row r="199">
      <c r="A199" s="94" t="n"/>
      <c r="B199" s="95" t="n"/>
      <c r="C199" s="95" t="n"/>
      <c r="D199" s="95" t="n"/>
      <c r="E199" s="95" t="n"/>
      <c r="F199" s="95" t="n"/>
      <c r="G199" s="95" t="n"/>
      <c r="H199" s="95" t="n"/>
      <c r="I199" s="96" t="n"/>
    </row>
    <row r="200" ht="19" customHeight="1" thickBot="1">
      <c r="A200" s="98" t="n"/>
      <c r="B200" s="99" t="n"/>
      <c r="C200" s="99" t="n"/>
      <c r="D200" s="99" t="n"/>
      <c r="E200" s="99" t="n"/>
      <c r="F200" s="99" t="n"/>
      <c r="G200" s="99" t="n"/>
      <c r="H200" s="99" t="n"/>
      <c r="I200" s="100" t="n"/>
    </row>
    <row r="201">
      <c r="A201" s="95" t="n"/>
      <c r="B201" s="95" t="n"/>
      <c r="C201" s="95" t="n"/>
      <c r="D201" s="95" t="n"/>
      <c r="E201" s="95" t="n"/>
      <c r="F201" s="95" t="n"/>
      <c r="G201" s="95" t="n"/>
      <c r="H201" s="95" t="n"/>
      <c r="I201" s="95" t="n"/>
      <c r="J201" s="95" t="n"/>
      <c r="K201" s="95" t="n"/>
      <c r="L201" s="95" t="n"/>
    </row>
    <row r="202">
      <c r="A202" s="95" t="n"/>
      <c r="B202" s="95" t="n"/>
      <c r="C202" s="95" t="n"/>
      <c r="D202" s="95" t="n"/>
      <c r="E202" s="95" t="n"/>
      <c r="F202" s="95" t="n"/>
      <c r="G202" s="95" t="n"/>
      <c r="H202" s="95" t="n"/>
      <c r="I202" s="95" t="n"/>
      <c r="J202" s="95" t="n"/>
      <c r="K202" s="95" t="n"/>
      <c r="L202" s="95" t="n"/>
    </row>
    <row r="203">
      <c r="A203" s="95" t="n"/>
      <c r="B203" s="95" t="n"/>
      <c r="C203" s="95" t="n"/>
      <c r="D203" s="95" t="n"/>
      <c r="E203" s="95" t="n"/>
      <c r="F203" s="95" t="n"/>
      <c r="G203" s="95" t="n"/>
      <c r="H203" s="95" t="n"/>
      <c r="I203" s="95" t="n"/>
      <c r="J203" s="95" t="n"/>
      <c r="K203" s="95" t="n"/>
      <c r="L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5" t="n"/>
      <c r="B207" s="95" t="n"/>
      <c r="C207" s="95" t="n"/>
      <c r="D207" s="95" t="n"/>
      <c r="E207" s="95" t="n"/>
      <c r="F207" s="95" t="n"/>
      <c r="G207" s="95" t="n"/>
      <c r="H207" s="95" t="n"/>
      <c r="I207" s="95" t="n"/>
      <c r="J207" s="95" t="n"/>
      <c r="K207" s="95" t="n"/>
      <c r="L207" s="95" t="n"/>
    </row>
    <row r="208">
      <c r="A208" s="94" t="n"/>
      <c r="B208" s="95" t="n"/>
      <c r="C208" s="95" t="n"/>
      <c r="D208" s="95" t="n"/>
      <c r="E208" s="95" t="n"/>
      <c r="F208" s="95" t="n"/>
      <c r="G208" s="95" t="n"/>
      <c r="H208" s="95" t="n"/>
      <c r="I208" s="95" t="n"/>
      <c r="J208" s="95" t="n"/>
      <c r="K208" s="95" t="n"/>
      <c r="L208" s="95" t="n"/>
    </row>
    <row r="209">
      <c r="A209" s="94" t="n"/>
      <c r="B209" s="95" t="n"/>
      <c r="C209" s="95" t="n"/>
      <c r="D209" s="95" t="n"/>
      <c r="E209" s="95" t="n"/>
      <c r="F209" s="95" t="n"/>
      <c r="G209" s="95" t="n"/>
      <c r="H209" s="95" t="n"/>
      <c r="I209" s="95" t="n"/>
      <c r="J209" s="95" t="n"/>
      <c r="K209" s="95" t="n"/>
      <c r="L209" s="95" t="n"/>
    </row>
    <row r="210">
      <c r="A210" s="94"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A218" s="94" t="n"/>
      <c r="B218" s="95" t="n"/>
      <c r="C218" s="95" t="n"/>
      <c r="D218" s="95" t="n"/>
      <c r="E218" s="95" t="n"/>
      <c r="F218" s="95" t="n"/>
      <c r="G218" s="95" t="n"/>
      <c r="H218" s="95" t="n"/>
      <c r="I218" s="95" t="n"/>
      <c r="J218" s="95" t="n"/>
      <c r="K218" s="95" t="n"/>
      <c r="L218" s="95" t="n"/>
    </row>
    <row r="219">
      <c r="G219" s="95" t="n"/>
      <c r="H219" s="95" t="n"/>
      <c r="I219" s="95" t="n"/>
      <c r="J219" s="95" t="n"/>
      <c r="K219" s="95" t="n"/>
      <c r="L219" s="95" t="n"/>
    </row>
    <row r="220">
      <c r="G220" s="95" t="n"/>
      <c r="H220" s="95" t="n"/>
      <c r="I220" s="95" t="n"/>
      <c r="J220" s="95" t="n"/>
      <c r="K220" s="95" t="n"/>
      <c r="L220" s="95" t="n"/>
    </row>
    <row r="221">
      <c r="G221" s="95" t="n"/>
      <c r="H221" s="95" t="n"/>
      <c r="I221" s="95" t="n"/>
      <c r="J221" s="95" t="n"/>
      <c r="K221" s="95" t="n"/>
      <c r="L221" s="95" t="n"/>
    </row>
  </sheetData>
  <mergeCells count="43">
    <mergeCell ref="A65:I65"/>
    <mergeCell ref="D13:F13"/>
    <mergeCell ref="G13:I13"/>
    <mergeCell ref="B8:D8"/>
    <mergeCell ref="D41:I41"/>
    <mergeCell ref="A66:I66"/>
    <mergeCell ref="A12:I12"/>
    <mergeCell ref="C57:I57"/>
    <mergeCell ref="B39:C39"/>
    <mergeCell ref="B52:I52"/>
    <mergeCell ref="B48:I48"/>
    <mergeCell ref="A47:I47"/>
    <mergeCell ref="A5:I5"/>
    <mergeCell ref="B9:D9"/>
    <mergeCell ref="A53:I53"/>
    <mergeCell ref="A62:I62"/>
    <mergeCell ref="B6:D6"/>
    <mergeCell ref="D39:I39"/>
    <mergeCell ref="A43:I43"/>
    <mergeCell ref="A13:C13"/>
    <mergeCell ref="D42:I42"/>
    <mergeCell ref="A63:I63"/>
    <mergeCell ref="A10:I10"/>
    <mergeCell ref="A1:I4"/>
    <mergeCell ref="A42:B42"/>
    <mergeCell ref="A67:I67"/>
    <mergeCell ref="A44:I46"/>
    <mergeCell ref="C54:I54"/>
    <mergeCell ref="B40:C40"/>
    <mergeCell ref="A58:I58"/>
    <mergeCell ref="B7:D7"/>
    <mergeCell ref="B49:I49"/>
    <mergeCell ref="C55:I55"/>
    <mergeCell ref="A64:I64"/>
    <mergeCell ref="A59:I59"/>
    <mergeCell ref="A11:I11"/>
    <mergeCell ref="A60:I60"/>
    <mergeCell ref="C56:I56"/>
    <mergeCell ref="D40:I40"/>
    <mergeCell ref="B51:I51"/>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102" min="0" max="8" man="1"/>
  </rowBreaks>
</worksheet>
</file>

<file path=xl/worksheets/sheet8.xml><?xml version="1.0" encoding="utf-8"?>
<worksheet xmlns="http://schemas.openxmlformats.org/spreadsheetml/2006/main">
  <sheetPr>
    <outlinePr summaryBelow="1" summaryRight="1"/>
    <pageSetUpPr fitToPage="1"/>
  </sheetPr>
  <dimension ref="A1:N222"/>
  <sheetViews>
    <sheetView view="pageBreakPreview" topLeftCell="A36" zoomScale="60" zoomScaleNormal="55" workbookViewId="0">
      <selection activeCell="A61" sqref="A61:I67"/>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45971</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17-320C,  Wind:  38 km/h SSW, Precip: 0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v>5</v>
      </c>
    </row>
    <row r="17" ht="23.25" customHeight="1">
      <c r="A17" s="24" t="inlineStr">
        <is>
          <t>O"SHEA, John</t>
        </is>
      </c>
      <c r="B17" s="25" t="inlineStr">
        <is>
          <t>Senior Project Engineer</t>
        </is>
      </c>
      <c r="C17" s="26" t="n"/>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v>10</v>
      </c>
      <c r="D18" s="31" t="n"/>
      <c r="E18" s="32" t="n"/>
      <c r="F18" s="28" t="n"/>
      <c r="G18" s="29" t="inlineStr">
        <is>
          <t>Griffiths, Jaquai</t>
        </is>
      </c>
      <c r="H18" s="25" t="inlineStr">
        <is>
          <t>Operator</t>
        </is>
      </c>
      <c r="I18" s="30" t="n"/>
    </row>
    <row r="19" ht="23.25" customHeight="1">
      <c r="A19" s="24" t="inlineStr">
        <is>
          <t>THOMPSON,Cheryl</t>
        </is>
      </c>
      <c r="B19" s="25" t="inlineStr">
        <is>
          <t>HSET</t>
        </is>
      </c>
      <c r="C19" s="26" t="n"/>
      <c r="D19" s="31" t="n"/>
      <c r="E19" s="32" t="n"/>
      <c r="F19" s="28" t="n"/>
      <c r="G19" s="29" t="inlineStr">
        <is>
          <t>McConnell, Adam</t>
        </is>
      </c>
      <c r="H19" s="25" t="inlineStr">
        <is>
          <t>Labourer</t>
        </is>
      </c>
      <c r="I19" s="30" t="n"/>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c r="D21" s="31" t="n"/>
      <c r="E21" s="32" t="n"/>
      <c r="F21" s="28" t="n"/>
      <c r="G21" s="29" t="inlineStr">
        <is>
          <t>Pavers</t>
        </is>
      </c>
      <c r="H21" s="25" t="inlineStr">
        <is>
          <t>Pavers</t>
        </is>
      </c>
      <c r="I21" s="30" t="n">
        <v>40</v>
      </c>
    </row>
    <row r="22" ht="23.25" customHeight="1">
      <c r="A22" s="24" t="inlineStr">
        <is>
          <t>JOGI, Amit</t>
        </is>
      </c>
      <c r="B22" s="25" t="inlineStr">
        <is>
          <t>Project Engineer</t>
        </is>
      </c>
      <c r="C22" s="26" t="n">
        <v>12</v>
      </c>
      <c r="D22" s="31" t="n"/>
      <c r="E22" s="32" t="n"/>
      <c r="F22" s="28" t="n"/>
      <c r="G22" s="29" t="inlineStr">
        <is>
          <t>Think Water</t>
        </is>
      </c>
      <c r="H22" s="25" t="inlineStr">
        <is>
          <t>Irrigation</t>
        </is>
      </c>
      <c r="I22" s="127" t="n"/>
    </row>
    <row r="23" ht="23.25" customHeight="1" thickBot="1">
      <c r="A23" s="130" t="n"/>
      <c r="B23" s="120" t="n"/>
      <c r="C23" s="121" t="n"/>
      <c r="D23" s="122" t="n"/>
      <c r="E23" s="123" t="n"/>
      <c r="F23" s="124" t="n"/>
      <c r="G23" s="125" t="n"/>
      <c r="H23" s="126" t="n"/>
      <c r="I23" s="128" t="n"/>
    </row>
    <row r="24" ht="23.25" customHeight="1" thickTop="1">
      <c r="A24" s="173" t="inlineStr">
        <is>
          <t xml:space="preserve">Total Indirect Personnel onsite: </t>
        </is>
      </c>
      <c r="B24" s="116">
        <f>COUNT(C15:C23)</f>
        <v/>
      </c>
      <c r="C24" s="117" t="n"/>
      <c r="D24" s="118" t="inlineStr">
        <is>
          <t xml:space="preserve">Total Direct Personnel onsite:  </t>
        </is>
      </c>
      <c r="E24" s="116">
        <f>COUNT(F15:F23)</f>
        <v/>
      </c>
      <c r="F24" s="21" t="n"/>
      <c r="G24" s="119" t="inlineStr">
        <is>
          <t>Total Subcontractor on-site:</t>
        </is>
      </c>
      <c r="H24" s="116">
        <f>COUNT(I15:I22)</f>
        <v/>
      </c>
      <c r="I24" s="23" t="n"/>
    </row>
    <row r="25" ht="23.25" customHeight="1">
      <c r="A25" s="48" t="inlineStr">
        <is>
          <t xml:space="preserve">Total Indirect Personnel hours: </t>
        </is>
      </c>
      <c r="B25" s="93">
        <f>SUM(C15:C22)</f>
        <v/>
      </c>
      <c r="C25" s="52" t="n"/>
      <c r="D25" s="50" t="inlineStr">
        <is>
          <t xml:space="preserve">Total Direct Personnel hours: </t>
        </is>
      </c>
      <c r="E25" s="93">
        <f>SUM(F15:F16)</f>
        <v/>
      </c>
      <c r="F25" s="53" t="n"/>
      <c r="G25" s="51" t="inlineStr">
        <is>
          <t>Total Subcontractor hours:</t>
        </is>
      </c>
      <c r="H25" s="93">
        <f>SUM(I11:I22)</f>
        <v/>
      </c>
      <c r="I25" s="200" t="n"/>
    </row>
    <row r="26" ht="25" customHeight="1">
      <c r="A26" s="56" t="inlineStr">
        <is>
          <t>PLANT &amp; EQUIPMENT</t>
        </is>
      </c>
      <c r="B26" s="57" t="n"/>
      <c r="C26" s="57" t="n"/>
      <c r="D26" s="57" t="n"/>
      <c r="E26" s="57" t="n"/>
      <c r="F26" s="57" t="n"/>
      <c r="G26" s="57" t="n"/>
      <c r="H26" s="57" t="n"/>
      <c r="I26" s="58" t="n"/>
    </row>
    <row r="27" ht="24" customHeight="1" thickBot="1">
      <c r="A27" s="59" t="inlineStr">
        <is>
          <t>Plant</t>
        </is>
      </c>
      <c r="B27" s="60" t="inlineStr">
        <is>
          <t>ID</t>
        </is>
      </c>
      <c r="C27" s="61" t="inlineStr">
        <is>
          <t>Hrs</t>
        </is>
      </c>
      <c r="D27" s="62" t="inlineStr">
        <is>
          <t xml:space="preserve"> Vehicles</t>
        </is>
      </c>
      <c r="E27" s="60" t="inlineStr">
        <is>
          <t>ID</t>
        </is>
      </c>
      <c r="F27" s="63" t="inlineStr">
        <is>
          <t>QTY</t>
        </is>
      </c>
      <c r="G27" s="64" t="inlineStr">
        <is>
          <t>Site Facilities</t>
        </is>
      </c>
      <c r="H27" s="65" t="inlineStr">
        <is>
          <t>ID</t>
        </is>
      </c>
      <c r="I27" s="66" t="inlineStr">
        <is>
          <t>Qty</t>
        </is>
      </c>
    </row>
    <row r="28" ht="23.25" customHeight="1" thickTop="1">
      <c r="A28" s="75" t="inlineStr">
        <is>
          <t>IT Loader</t>
        </is>
      </c>
      <c r="B28" s="72" t="inlineStr">
        <is>
          <t>LD011</t>
        </is>
      </c>
      <c r="C28" s="26" t="n">
        <v>3</v>
      </c>
      <c r="D28" s="67" t="inlineStr">
        <is>
          <t>Hilux</t>
        </is>
      </c>
      <c r="E28" s="68" t="inlineStr">
        <is>
          <t>DLV90</t>
        </is>
      </c>
      <c r="F28" s="69" t="n">
        <v>1</v>
      </c>
      <c r="G28" s="70" t="inlineStr">
        <is>
          <t>Office 40ft</t>
        </is>
      </c>
      <c r="H28" s="68" t="n">
        <v>9255540</v>
      </c>
      <c r="I28" s="23" t="n">
        <v>1</v>
      </c>
    </row>
    <row r="29" ht="23.25" customHeight="1">
      <c r="A29" s="24" t="inlineStr">
        <is>
          <t>Wacker Neuson DPU</t>
        </is>
      </c>
      <c r="B29" s="25" t="inlineStr">
        <is>
          <t>DPC15</t>
        </is>
      </c>
      <c r="C29" s="106" t="n"/>
      <c r="D29" s="71" t="inlineStr">
        <is>
          <t>Hilux</t>
        </is>
      </c>
      <c r="E29" s="72" t="inlineStr">
        <is>
          <t>1DLV04</t>
        </is>
      </c>
      <c r="F29" s="73" t="n">
        <v>1</v>
      </c>
      <c r="G29" s="74" t="inlineStr">
        <is>
          <t>Sea Container 20ft</t>
        </is>
      </c>
      <c r="H29" s="25" t="n">
        <v>951200</v>
      </c>
      <c r="I29" s="30" t="n">
        <v>1</v>
      </c>
    </row>
    <row r="30" ht="23.25" customHeight="1">
      <c r="A30" s="75" t="inlineStr">
        <is>
          <t>Watercart</t>
        </is>
      </c>
      <c r="B30" s="72" t="inlineStr">
        <is>
          <t>A119</t>
        </is>
      </c>
      <c r="C30" s="106" t="n">
        <v>4</v>
      </c>
      <c r="D30" s="71" t="n"/>
      <c r="E30" s="25" t="n"/>
      <c r="F30" s="73" t="n"/>
      <c r="G30" s="74" t="inlineStr">
        <is>
          <t>Site Sentry Tower</t>
        </is>
      </c>
      <c r="H30" s="72" t="inlineStr">
        <is>
          <t>NA</t>
        </is>
      </c>
      <c r="I30" s="30" t="n">
        <v>2</v>
      </c>
    </row>
    <row r="31" ht="23.25" customHeight="1">
      <c r="A31" s="75" t="inlineStr">
        <is>
          <t>8T Excavator</t>
        </is>
      </c>
      <c r="B31" s="76" t="inlineStr">
        <is>
          <t>AMG 014</t>
        </is>
      </c>
      <c r="C31" s="106" t="n">
        <v>5</v>
      </c>
      <c r="D31" s="71" t="n"/>
      <c r="E31" s="72" t="n"/>
      <c r="F31" s="73" t="n"/>
      <c r="G31" s="74" t="inlineStr">
        <is>
          <t>Skip Bin</t>
        </is>
      </c>
      <c r="H31" s="72" t="inlineStr">
        <is>
          <t>NA</t>
        </is>
      </c>
      <c r="I31" s="30" t="n">
        <v>1</v>
      </c>
    </row>
    <row r="32" ht="23.25" customHeight="1">
      <c r="A32" s="75" t="inlineStr">
        <is>
          <t>Mini Tipper</t>
        </is>
      </c>
      <c r="B32" s="72" t="inlineStr">
        <is>
          <t>SLS04</t>
        </is>
      </c>
      <c r="C32" s="26" t="n">
        <v>7</v>
      </c>
      <c r="D32" s="71" t="n"/>
      <c r="E32" s="72" t="n"/>
      <c r="F32" s="73" t="n"/>
      <c r="G32" s="74" t="inlineStr">
        <is>
          <t>Hydrocarbon Bund</t>
        </is>
      </c>
      <c r="H32" s="72" t="inlineStr">
        <is>
          <t>NA</t>
        </is>
      </c>
      <c r="I32" s="30" t="n">
        <v>1</v>
      </c>
    </row>
    <row r="33" ht="23.25" customHeight="1">
      <c r="A33" s="75" t="inlineStr">
        <is>
          <t>Skid Steer</t>
        </is>
      </c>
      <c r="B33" s="72" t="inlineStr">
        <is>
          <t>SLS03</t>
        </is>
      </c>
      <c r="C33" s="26" t="n"/>
      <c r="D33" s="71" t="n"/>
      <c r="E33" s="72" t="n"/>
      <c r="F33" s="73" t="n"/>
      <c r="G33" s="74" t="inlineStr">
        <is>
          <t>Temp Fence</t>
        </is>
      </c>
      <c r="H33" s="25" t="inlineStr">
        <is>
          <t>NA</t>
        </is>
      </c>
      <c r="I33" s="30" t="n">
        <v>1</v>
      </c>
    </row>
    <row r="34" ht="23.25" customHeight="1">
      <c r="A34" s="75" t="inlineStr">
        <is>
          <t>1t Excavator</t>
        </is>
      </c>
      <c r="B34" s="72" t="inlineStr">
        <is>
          <t>SLS02</t>
        </is>
      </c>
      <c r="C34" s="26" t="n"/>
      <c r="D34" s="71" t="n"/>
      <c r="E34" s="72" t="n"/>
      <c r="F34" s="73" t="n"/>
      <c r="G34" s="74" t="n"/>
      <c r="H34" s="25" t="n"/>
      <c r="I34" s="30" t="n"/>
    </row>
    <row r="35" ht="23.25" customHeight="1">
      <c r="A35" s="75" t="inlineStr">
        <is>
          <t>1t Excavator</t>
        </is>
      </c>
      <c r="B35" s="72" t="inlineStr">
        <is>
          <t>DEX30</t>
        </is>
      </c>
      <c r="C35" s="26" t="n"/>
      <c r="D35" s="71" t="n"/>
      <c r="E35" s="72" t="n"/>
      <c r="F35" s="73" t="n"/>
      <c r="G35" s="74" t="n"/>
      <c r="H35" s="25" t="n"/>
      <c r="I35" s="30" t="n"/>
    </row>
    <row r="36" ht="24" customHeight="1">
      <c r="A36" s="75" t="inlineStr">
        <is>
          <t>8T Excavator (Wheeled)</t>
        </is>
      </c>
      <c r="B36" s="72" t="inlineStr">
        <is>
          <t>BCC12</t>
        </is>
      </c>
      <c r="C36" s="26" t="n">
        <v>5</v>
      </c>
      <c r="D36" s="71" t="n"/>
      <c r="E36" s="72" t="n"/>
      <c r="F36" s="73" t="n"/>
      <c r="G36" s="77" t="n"/>
      <c r="H36" s="78" t="n"/>
      <c r="I36" s="79" t="n"/>
    </row>
    <row r="37" ht="24" customHeight="1">
      <c r="A37" s="75" t="inlineStr">
        <is>
          <t>14t Excavator with GPS</t>
        </is>
      </c>
      <c r="B37" s="72" t="inlineStr">
        <is>
          <t>EX197</t>
        </is>
      </c>
      <c r="C37" s="26" t="n"/>
      <c r="D37" s="71" t="n"/>
      <c r="E37" s="72" t="n"/>
      <c r="F37" s="73" t="n"/>
      <c r="G37" s="77" t="n"/>
      <c r="H37" s="78" t="n"/>
      <c r="I37" s="79" t="n"/>
    </row>
    <row r="38" ht="24" customHeight="1" thickBot="1">
      <c r="A38" s="75" t="inlineStr">
        <is>
          <t>Roller</t>
        </is>
      </c>
      <c r="B38" s="72" t="inlineStr">
        <is>
          <t>R538</t>
        </is>
      </c>
      <c r="C38" s="106" t="n">
        <v>2</v>
      </c>
      <c r="D38" s="71" t="n"/>
      <c r="E38" s="72" t="n"/>
      <c r="F38" s="73" t="n"/>
      <c r="G38" s="77" t="n"/>
      <c r="H38" s="78" t="n"/>
      <c r="I38" s="79" t="n"/>
    </row>
    <row r="39" ht="24" customHeight="1" thickTop="1">
      <c r="A39" s="85" t="n">
        <v>0</v>
      </c>
      <c r="B39" s="158" t="inlineStr">
        <is>
          <t xml:space="preserve">Repairs Required </t>
        </is>
      </c>
      <c r="C39" s="239" t="n"/>
      <c r="D39" s="160" t="inlineStr">
        <is>
          <t>NA</t>
        </is>
      </c>
      <c r="E39" s="240" t="n"/>
      <c r="F39" s="240" t="n"/>
      <c r="G39" s="240" t="n"/>
      <c r="H39" s="240" t="n"/>
      <c r="I39" s="241" t="n"/>
    </row>
    <row r="40" ht="24" customHeight="1">
      <c r="A40" s="86" t="n">
        <v>0</v>
      </c>
      <c r="B40" s="163" t="inlineStr">
        <is>
          <t>Scheduled Service</t>
        </is>
      </c>
      <c r="C40" s="234" t="n"/>
      <c r="D40" s="165" t="inlineStr">
        <is>
          <t>NA</t>
        </is>
      </c>
      <c r="E40" s="233" t="n"/>
      <c r="F40" s="233" t="n"/>
      <c r="G40" s="233" t="n"/>
      <c r="H40" s="233" t="n"/>
      <c r="I40" s="235" t="n"/>
    </row>
    <row r="41" ht="24" customHeight="1" thickBot="1">
      <c r="A41" s="87" t="n">
        <v>0</v>
      </c>
      <c r="B41" s="168" t="inlineStr">
        <is>
          <t>Repairs Required but Operable</t>
        </is>
      </c>
      <c r="C41" s="242" t="n"/>
      <c r="D41" s="170" t="inlineStr">
        <is>
          <t>NA</t>
        </is>
      </c>
      <c r="E41" s="243" t="n"/>
      <c r="F41" s="243" t="n"/>
      <c r="G41" s="243" t="n"/>
      <c r="H41" s="243" t="n"/>
      <c r="I41" s="244" t="n"/>
    </row>
    <row r="42" ht="23.25" customHeight="1" thickTop="1">
      <c r="A42" s="173" t="inlineStr">
        <is>
          <t xml:space="preserve">Total Plant and Equipment Hours: </t>
        </is>
      </c>
      <c r="B42" s="245" t="n"/>
      <c r="C42" s="88">
        <f>SUM(C28:C38)</f>
        <v/>
      </c>
      <c r="D42" s="175" t="n"/>
      <c r="E42" s="231" t="n"/>
      <c r="F42" s="231" t="n"/>
      <c r="G42" s="231" t="n"/>
      <c r="H42" s="231" t="n"/>
      <c r="I42" s="232" t="n"/>
    </row>
    <row r="43" ht="25" customHeight="1">
      <c r="A43" s="146" t="inlineStr">
        <is>
          <t>DELAYS-OPPORTUNITY</t>
        </is>
      </c>
      <c r="B43" s="233" t="n"/>
      <c r="C43" s="233" t="n"/>
      <c r="D43" s="233" t="n"/>
      <c r="E43" s="233" t="n"/>
      <c r="F43" s="233" t="n"/>
      <c r="G43" s="233" t="n"/>
      <c r="H43" s="233" t="n"/>
      <c r="I43" s="235" t="n"/>
    </row>
    <row r="44" ht="69" customHeight="1" thickBot="1">
      <c r="A44" s="215"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Vacuum truck used for light poles in locations indicating possible service interfaces. 
Issues around Watercorp Connection-Connection Date now 29/11/25 impacts to Kerbing, Paving and Concrete works
</t>
        </is>
      </c>
      <c r="B44" s="236" t="n"/>
      <c r="C44" s="236" t="n"/>
      <c r="D44" s="236" t="n"/>
      <c r="E44" s="236" t="n"/>
      <c r="F44" s="236" t="n"/>
      <c r="G44" s="236" t="n"/>
      <c r="H44" s="236" t="n"/>
      <c r="I44" s="237" t="n"/>
    </row>
    <row r="45" ht="14" customHeight="1" thickBot="1">
      <c r="A45" s="228" t="n"/>
      <c r="I45" s="229" t="n"/>
    </row>
    <row r="46" hidden="1" ht="9.75" customHeight="1" thickBot="1">
      <c r="A46" s="246" t="n"/>
      <c r="B46" s="247" t="n"/>
      <c r="C46" s="247" t="n"/>
      <c r="D46" s="247" t="n"/>
      <c r="E46" s="247" t="n"/>
      <c r="F46" s="247" t="n"/>
      <c r="G46" s="247" t="n"/>
      <c r="H46" s="247" t="n"/>
      <c r="I46" s="248" t="n"/>
    </row>
    <row r="47" ht="25" customHeight="1">
      <c r="A47" s="185" t="inlineStr">
        <is>
          <t>HSEQ MESSAGES</t>
        </is>
      </c>
      <c r="B47" s="249" t="n"/>
      <c r="C47" s="249" t="n"/>
      <c r="D47" s="249" t="n"/>
      <c r="E47" s="249" t="n"/>
      <c r="F47" s="249" t="n"/>
      <c r="G47" s="249" t="n"/>
      <c r="H47" s="249" t="n"/>
      <c r="I47" s="250" t="n"/>
    </row>
    <row r="48" ht="24" customHeight="1">
      <c r="A48" s="89" t="inlineStr">
        <is>
          <t>TCD - Monthly Safety Focus:</t>
        </is>
      </c>
      <c r="B48" s="155" t="inlineStr">
        <is>
          <t>Cyclones &amp; Wet Weather</t>
        </is>
      </c>
      <c r="C48" s="233" t="n"/>
      <c r="D48" s="233" t="n"/>
      <c r="E48" s="233" t="n"/>
      <c r="F48" s="233" t="n"/>
      <c r="G48" s="233" t="n"/>
      <c r="H48" s="233" t="n"/>
      <c r="I48" s="234" t="n"/>
    </row>
    <row r="49" ht="24" customHeight="1">
      <c r="A49" s="89" t="inlineStr">
        <is>
          <t>TCD - Daily Safety Focus:</t>
        </is>
      </c>
      <c r="B49" s="188" t="inlineStr">
        <is>
          <t>Hydration and Hot Weather</t>
        </is>
      </c>
      <c r="C49" s="233" t="n"/>
      <c r="D49" s="233" t="n"/>
      <c r="E49" s="233" t="n"/>
      <c r="F49" s="233" t="n"/>
      <c r="G49" s="233" t="n"/>
      <c r="H49" s="233" t="n"/>
      <c r="I49" s="235" t="n"/>
    </row>
    <row r="50" ht="24" customHeight="1">
      <c r="A50" s="90" t="inlineStr">
        <is>
          <t xml:space="preserve">Hazards Reported: </t>
        </is>
      </c>
      <c r="B50" s="188" t="inlineStr">
        <is>
          <t>Nil</t>
        </is>
      </c>
      <c r="C50" s="233" t="n"/>
      <c r="D50" s="233" t="n"/>
      <c r="E50" s="233" t="n"/>
      <c r="F50" s="233" t="n"/>
      <c r="G50" s="233" t="n"/>
      <c r="H50" s="233" t="n"/>
      <c r="I50" s="235" t="n"/>
    </row>
    <row r="51" ht="24" customHeight="1">
      <c r="A51" s="90" t="inlineStr">
        <is>
          <t>Incident Free Days</t>
        </is>
      </c>
      <c r="B51" s="251" t="n">
        <v>6</v>
      </c>
      <c r="C51" s="233" t="n"/>
      <c r="D51" s="233" t="n"/>
      <c r="E51" s="233" t="n"/>
      <c r="F51" s="233" t="n"/>
      <c r="G51" s="233" t="n"/>
      <c r="H51" s="233" t="n"/>
      <c r="I51" s="235" t="n"/>
    </row>
    <row r="52" ht="24" customHeight="1">
      <c r="A52" s="91" t="inlineStr">
        <is>
          <t>Other Notes</t>
        </is>
      </c>
      <c r="B52" s="197" t="inlineStr">
        <is>
          <t>NA</t>
        </is>
      </c>
      <c r="C52" s="236" t="n"/>
      <c r="D52" s="236" t="n"/>
      <c r="E52" s="236" t="n"/>
      <c r="F52" s="236" t="n"/>
      <c r="G52" s="236" t="n"/>
      <c r="H52" s="236" t="n"/>
      <c r="I52" s="237" t="n"/>
    </row>
    <row r="53" ht="20.25" customHeight="1">
      <c r="A53" s="146" t="inlineStr">
        <is>
          <t xml:space="preserve">INCIDENTS &amp; REPORTS </t>
        </is>
      </c>
      <c r="B53" s="233" t="n"/>
      <c r="C53" s="233" t="n"/>
      <c r="D53" s="233" t="n"/>
      <c r="E53" s="233" t="n"/>
      <c r="F53" s="233" t="n"/>
      <c r="G53" s="233" t="n"/>
      <c r="H53" s="233" t="n"/>
      <c r="I53" s="235" t="n"/>
    </row>
    <row r="54" ht="20" customHeight="1">
      <c r="A54" s="92" t="n"/>
      <c r="B54" s="93" t="inlineStr">
        <is>
          <t>QTY</t>
        </is>
      </c>
      <c r="C54" s="200" t="inlineStr">
        <is>
          <t>Comments</t>
        </is>
      </c>
      <c r="D54" s="233" t="n"/>
      <c r="E54" s="233" t="n"/>
      <c r="F54" s="233" t="n"/>
      <c r="G54" s="233" t="n"/>
      <c r="H54" s="233" t="n"/>
      <c r="I54" s="235" t="n"/>
    </row>
    <row r="55" ht="24" customHeight="1">
      <c r="A55" s="48" t="inlineStr">
        <is>
          <t>INCIDENT</t>
        </is>
      </c>
      <c r="B55" s="25" t="n">
        <v>0</v>
      </c>
      <c r="C55" s="201" t="inlineStr">
        <is>
          <t>NA</t>
        </is>
      </c>
      <c r="D55" s="236" t="n"/>
      <c r="E55" s="236" t="n"/>
      <c r="F55" s="236" t="n"/>
      <c r="G55" s="236" t="n"/>
      <c r="H55" s="236" t="n"/>
      <c r="I55" s="237" t="n"/>
    </row>
    <row r="56" ht="24" customHeight="1">
      <c r="A56" s="101" t="inlineStr">
        <is>
          <t>IR</t>
        </is>
      </c>
      <c r="B56" s="34" t="n">
        <v>0</v>
      </c>
      <c r="C56" s="201" t="inlineStr">
        <is>
          <t>NA</t>
        </is>
      </c>
      <c r="D56" s="236" t="n"/>
      <c r="E56" s="236" t="n"/>
      <c r="F56" s="236" t="n"/>
      <c r="G56" s="236" t="n"/>
      <c r="H56" s="236" t="n"/>
      <c r="I56" s="237" t="n"/>
    </row>
    <row r="57" ht="24" customHeight="1" thickBot="1">
      <c r="A57" s="102" t="inlineStr">
        <is>
          <t>NCR</t>
        </is>
      </c>
      <c r="B57" s="103" t="n">
        <v>0</v>
      </c>
      <c r="C57" s="204" t="inlineStr">
        <is>
          <t>NA</t>
        </is>
      </c>
      <c r="D57" s="252" t="n"/>
      <c r="E57" s="252" t="n"/>
      <c r="F57" s="252" t="n"/>
      <c r="G57" s="252" t="n"/>
      <c r="H57" s="252" t="n"/>
      <c r="I57" s="253" t="n"/>
    </row>
    <row r="58" ht="20.25" customHeight="1">
      <c r="A58" s="185" t="inlineStr">
        <is>
          <t>COMMUNICATIONS</t>
        </is>
      </c>
      <c r="B58" s="249" t="n"/>
      <c r="C58" s="249" t="n"/>
      <c r="D58" s="249" t="n"/>
      <c r="E58" s="249" t="n"/>
      <c r="F58" s="249" t="n"/>
      <c r="G58" s="249" t="n"/>
      <c r="H58" s="249" t="n"/>
      <c r="I58" s="250" t="n"/>
    </row>
    <row r="59" ht="25" customHeight="1">
      <c r="A59" s="207" t="inlineStr">
        <is>
          <t>TGS MB1119-05 Scheme D implemented</t>
        </is>
      </c>
      <c r="B59" s="233" t="n"/>
      <c r="C59" s="233" t="n"/>
      <c r="D59" s="233" t="n"/>
      <c r="E59" s="233" t="n"/>
      <c r="F59" s="233" t="n"/>
      <c r="G59" s="233" t="n"/>
      <c r="H59" s="233" t="n"/>
      <c r="I59" s="235" t="n"/>
    </row>
    <row r="60" ht="25" customHeight="1">
      <c r="A60" s="146" t="inlineStr">
        <is>
          <t>PRODUCTION (CONSTRUCTION STATUS &amp; PROGRESS)</t>
        </is>
      </c>
      <c r="B60" s="233" t="n"/>
      <c r="C60" s="233" t="n"/>
      <c r="D60" s="233" t="n"/>
      <c r="E60" s="233" t="n"/>
      <c r="F60" s="233" t="n"/>
      <c r="G60" s="233" t="n"/>
      <c r="H60" s="233" t="n"/>
      <c r="I60" s="235" t="n"/>
    </row>
    <row r="61" ht="24" customHeight="1">
      <c r="A61" s="207" t="inlineStr">
        <is>
          <t>Ground Prep works for accessable areas completed for Paving</t>
        </is>
      </c>
      <c r="B61" s="233" t="n"/>
      <c r="C61" s="233" t="n"/>
      <c r="D61" s="233" t="n"/>
      <c r="E61" s="233" t="n"/>
      <c r="F61" s="233" t="n"/>
      <c r="G61" s="233" t="n"/>
      <c r="H61" s="233" t="n"/>
      <c r="I61" s="235" t="n"/>
    </row>
    <row r="62" ht="24" customHeight="1">
      <c r="A62" s="207" t="inlineStr">
        <is>
          <t>Paving continues along North East</t>
        </is>
      </c>
      <c r="B62" s="233" t="n"/>
      <c r="C62" s="233" t="n"/>
      <c r="D62" s="233" t="n"/>
      <c r="E62" s="233" t="n"/>
      <c r="F62" s="233" t="n"/>
      <c r="G62" s="233" t="n"/>
      <c r="H62" s="233" t="n"/>
      <c r="I62" s="235" t="n"/>
    </row>
    <row r="63" ht="24" customHeight="1">
      <c r="A63" s="207" t="inlineStr">
        <is>
          <t>Haunching prep and concreting is ongoing for Western Section</t>
        </is>
      </c>
      <c r="B63" s="233" t="n"/>
      <c r="C63" s="233" t="n"/>
      <c r="D63" s="233" t="n"/>
      <c r="E63" s="233" t="n"/>
      <c r="F63" s="233" t="n"/>
      <c r="G63" s="233" t="n"/>
      <c r="H63" s="233" t="n"/>
      <c r="I63" s="235" t="n"/>
    </row>
    <row r="64" ht="24" customHeight="1">
      <c r="A64" s="207" t="inlineStr">
        <is>
          <t>Ongoing Scour Protection to Garden Beds</t>
        </is>
      </c>
      <c r="B64" s="233" t="n"/>
      <c r="C64" s="233" t="n"/>
      <c r="D64" s="233" t="n"/>
      <c r="E64" s="233" t="n"/>
      <c r="F64" s="233" t="n"/>
      <c r="G64" s="233" t="n"/>
      <c r="H64" s="233" t="n"/>
      <c r="I64" s="235" t="n"/>
    </row>
    <row r="65" ht="24" customHeight="1">
      <c r="A65" s="207" t="inlineStr">
        <is>
          <t>General site tidy up is ongoing</t>
        </is>
      </c>
      <c r="B65" s="233" t="n"/>
      <c r="C65" s="233" t="n"/>
      <c r="D65" s="233" t="n"/>
      <c r="E65" s="233" t="n"/>
      <c r="F65" s="233" t="n"/>
      <c r="G65" s="233" t="n"/>
      <c r="H65" s="233" t="n"/>
      <c r="I65" s="235" t="n"/>
    </row>
    <row r="66" ht="24" customHeight="1">
      <c r="A66" s="207" t="inlineStr">
        <is>
          <t>Formwork for Rain Garden Inlet scour protection ready for pouring 11/11/25</t>
        </is>
      </c>
      <c r="B66" s="233" t="n"/>
      <c r="C66" s="233" t="n"/>
      <c r="D66" s="233" t="n"/>
      <c r="E66" s="233" t="n"/>
      <c r="F66" s="233" t="n"/>
      <c r="G66" s="233" t="n"/>
      <c r="H66" s="233" t="n"/>
      <c r="I66" s="235" t="n"/>
    </row>
    <row r="67" ht="24" customHeight="1">
      <c r="A67" s="207" t="inlineStr">
        <is>
          <t>Placement of limestone blocks in Garden bed opposite centre link car park</t>
        </is>
      </c>
      <c r="B67" s="233" t="n"/>
      <c r="C67" s="233" t="n"/>
      <c r="D67" s="233" t="n"/>
      <c r="E67" s="233" t="n"/>
      <c r="F67" s="233" t="n"/>
      <c r="G67" s="233" t="n"/>
      <c r="H67" s="233" t="n"/>
      <c r="I67" s="235" t="n"/>
    </row>
    <row r="68" ht="26.25" customHeight="1">
      <c r="A68" s="148" t="inlineStr">
        <is>
          <t>Photos</t>
        </is>
      </c>
      <c r="B68" s="236" t="n"/>
      <c r="C68" s="236" t="n"/>
      <c r="D68" s="236" t="n"/>
      <c r="E68" s="236" t="n"/>
      <c r="F68" s="236" t="n"/>
      <c r="G68" s="236" t="n"/>
      <c r="H68" s="236" t="n"/>
      <c r="I68" s="237"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94" t="n"/>
      <c r="B74" s="95" t="n"/>
      <c r="C74" s="95" t="n"/>
      <c r="D74" s="95" t="n"/>
      <c r="E74" s="95" t="n"/>
      <c r="F74" s="95" t="n"/>
      <c r="G74" s="95" t="n"/>
      <c r="H74" s="95" t="n"/>
      <c r="I74" s="96" t="n"/>
    </row>
    <row r="75" ht="23.25" customHeight="1">
      <c r="A75" s="10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15" customHeight="1">
      <c r="A96" s="94" t="n"/>
      <c r="B96" s="95" t="n"/>
      <c r="C96" s="95" t="n"/>
      <c r="D96" s="95" t="n"/>
      <c r="E96" s="95" t="n"/>
      <c r="F96" s="95" t="n"/>
      <c r="G96" s="95" t="n"/>
      <c r="H96" s="95" t="n"/>
      <c r="I96" s="96" t="n"/>
    </row>
    <row r="97" ht="25" customFormat="1" customHeight="1" s="97">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thickBot="1">
      <c r="A103" s="98" t="n"/>
      <c r="B103" s="99" t="n"/>
      <c r="C103" s="99" t="n"/>
      <c r="D103" s="99" t="n"/>
      <c r="E103" s="99" t="n"/>
      <c r="F103" s="99" t="n"/>
      <c r="G103" s="99" t="n"/>
      <c r="H103" s="99" t="n"/>
      <c r="I103" s="100"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15" customHeight="1">
      <c r="A120" s="94" t="n"/>
      <c r="B120" s="95" t="n"/>
      <c r="C120" s="95" t="n"/>
      <c r="D120" s="95" t="n"/>
      <c r="E120" s="95" t="n"/>
      <c r="F120" s="95" t="n"/>
      <c r="G120" s="95" t="n"/>
      <c r="H120" s="95" t="n"/>
      <c r="I120" s="96" t="n"/>
    </row>
    <row r="121" ht="2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15" customHeight="1">
      <c r="A123" s="94" t="n"/>
      <c r="B123" s="95" t="n"/>
      <c r="C123" s="95" t="n"/>
      <c r="D123" s="95" t="n"/>
      <c r="E123" s="95" t="n"/>
      <c r="F123" s="95" t="n"/>
      <c r="G123" s="95" t="n"/>
      <c r="H123" s="95" t="n"/>
      <c r="I123" s="96" t="n"/>
    </row>
    <row r="124" ht="28"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5" customHeight="1">
      <c r="A143" s="94" t="n"/>
      <c r="B143" s="95" t="n"/>
      <c r="C143" s="95" t="n"/>
      <c r="D143" s="95" t="n"/>
      <c r="E143" s="95" t="n"/>
      <c r="F143" s="95" t="n"/>
      <c r="G143" s="95" t="n"/>
      <c r="H143" s="95" t="n"/>
      <c r="I143" s="96" t="n"/>
    </row>
    <row r="144" ht="16" customHeight="1">
      <c r="A144" s="94" t="n"/>
      <c r="B144" s="95" t="n"/>
      <c r="C144" s="95" t="n"/>
      <c r="D144" s="95" t="n"/>
      <c r="E144" s="95" t="n"/>
      <c r="F144" s="95" t="n"/>
      <c r="G144" s="95" t="n"/>
      <c r="H144" s="95" t="n"/>
      <c r="I144" s="96" t="n"/>
    </row>
    <row r="145" ht="56.25" customHeight="1">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row>
    <row r="150">
      <c r="A150" s="94" t="n"/>
      <c r="B150" s="95" t="n"/>
      <c r="C150" s="95" t="n"/>
      <c r="D150" s="95" t="n"/>
      <c r="E150" s="95" t="n"/>
      <c r="F150" s="95" t="n"/>
      <c r="G150" s="95" t="n"/>
      <c r="H150" s="95" t="n"/>
      <c r="I150" s="96" t="n"/>
      <c r="J150" s="95" t="n"/>
      <c r="K150" s="95" t="n"/>
      <c r="L150" s="95"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row>
    <row r="171">
      <c r="A171" s="94" t="n"/>
      <c r="B171" s="95" t="n"/>
      <c r="C171" s="95" t="n"/>
      <c r="D171" s="95" t="n"/>
      <c r="E171" s="95" t="n"/>
      <c r="F171" s="95" t="n"/>
      <c r="G171" s="95" t="n"/>
      <c r="H171" s="95" t="n"/>
      <c r="I171" s="96" t="n"/>
      <c r="J171" s="95" t="n"/>
      <c r="K171" s="95" t="n"/>
      <c r="L171" s="95" t="n"/>
      <c r="M171" s="95" t="n"/>
      <c r="N171" s="95" t="n"/>
    </row>
    <row r="172">
      <c r="A172" s="94" t="n"/>
      <c r="B172" s="95" t="n"/>
      <c r="C172" s="95" t="n"/>
      <c r="D172" s="95" t="n"/>
      <c r="E172" s="95" t="n"/>
      <c r="F172" s="95" t="n"/>
      <c r="G172" s="95" t="n"/>
      <c r="H172" s="95" t="n"/>
      <c r="I172" s="96" t="n"/>
      <c r="J172" s="95" t="n"/>
      <c r="K172" s="95" t="n"/>
      <c r="L172" s="95" t="n"/>
      <c r="M172" s="95" t="n"/>
      <c r="N172" s="95" t="n"/>
    </row>
    <row r="173">
      <c r="A173" s="94" t="n"/>
      <c r="B173" s="95" t="n"/>
      <c r="C173" s="95" t="n"/>
      <c r="D173" s="95" t="n"/>
      <c r="E173" s="95" t="n"/>
      <c r="F173" s="95" t="n"/>
      <c r="G173" s="95" t="n"/>
      <c r="H173" s="95" t="n"/>
      <c r="I173" s="96" t="n"/>
      <c r="J173" s="95" t="n"/>
      <c r="K173" s="95" t="n"/>
      <c r="L173" s="95" t="n"/>
      <c r="M173" s="95" t="n"/>
      <c r="N173" s="95" t="n"/>
    </row>
    <row r="174">
      <c r="A174" s="94" t="n"/>
      <c r="B174" s="95" t="n"/>
      <c r="C174" s="95" t="n"/>
      <c r="D174" s="95" t="n"/>
      <c r="E174" s="95" t="n"/>
      <c r="F174" s="95" t="n"/>
      <c r="G174" s="95" t="n"/>
      <c r="H174" s="95" t="n"/>
      <c r="I174" s="96" t="n"/>
      <c r="J174" s="95" t="n"/>
      <c r="K174" s="95" t="n"/>
      <c r="L174" s="95" t="n"/>
      <c r="M174" s="95" t="n"/>
      <c r="N174" s="95" t="n"/>
    </row>
    <row r="175">
      <c r="A175" s="94" t="n"/>
      <c r="B175" s="95" t="n"/>
      <c r="C175" s="95" t="n"/>
      <c r="D175" s="95" t="n"/>
      <c r="E175" s="95" t="n"/>
      <c r="F175" s="95" t="n"/>
      <c r="G175" s="95" t="n"/>
      <c r="H175" s="95" t="n"/>
      <c r="I175" s="96" t="n"/>
      <c r="J175" s="95" t="n"/>
      <c r="K175" s="95" t="n"/>
      <c r="L175" s="95" t="n"/>
      <c r="M175" s="95" t="n"/>
      <c r="N175" s="95" t="n"/>
    </row>
    <row r="176">
      <c r="A176" s="94" t="n"/>
      <c r="B176" s="95" t="n"/>
      <c r="C176" s="95" t="n"/>
      <c r="D176" s="95" t="n"/>
      <c r="E176" s="95" t="n"/>
      <c r="F176" s="95" t="n"/>
      <c r="G176" s="95" t="n"/>
      <c r="H176" s="95" t="n"/>
      <c r="I176" s="96" t="n"/>
      <c r="J176" s="95" t="n"/>
      <c r="K176" s="95" t="n"/>
      <c r="L176" s="95" t="n"/>
      <c r="M176" s="95" t="n"/>
      <c r="N176" s="95" t="n"/>
    </row>
    <row r="177">
      <c r="A177" s="94" t="n"/>
      <c r="B177" s="95" t="n"/>
      <c r="C177" s="95" t="n"/>
      <c r="D177" s="95" t="n"/>
      <c r="E177" s="95" t="n"/>
      <c r="F177" s="95" t="n"/>
      <c r="G177" s="95" t="n"/>
      <c r="H177" s="95" t="n"/>
      <c r="I177" s="96" t="n"/>
      <c r="J177" s="95" t="n"/>
      <c r="K177" s="95" t="n"/>
      <c r="L177" s="95" t="n"/>
      <c r="M177" s="95" t="n"/>
      <c r="N177" s="95" t="n"/>
    </row>
    <row r="178">
      <c r="A178" s="94" t="n"/>
      <c r="B178" s="95" t="n"/>
      <c r="C178" s="95" t="n"/>
      <c r="D178" s="95" t="n"/>
      <c r="E178" s="95" t="n"/>
      <c r="F178" s="95" t="n"/>
      <c r="G178" s="95" t="n"/>
      <c r="H178" s="95" t="n"/>
      <c r="I178" s="96" t="n"/>
      <c r="J178" s="95" t="n"/>
      <c r="K178" s="95" t="n"/>
      <c r="L178" s="95" t="n"/>
      <c r="M178" s="95" t="n"/>
      <c r="N178" s="95" t="n"/>
    </row>
    <row r="179">
      <c r="A179" s="94" t="n"/>
      <c r="B179" s="95" t="n"/>
      <c r="C179" s="95" t="n"/>
      <c r="D179" s="95" t="n"/>
      <c r="E179" s="95" t="n"/>
      <c r="F179" s="95" t="n"/>
      <c r="G179" s="95" t="n"/>
      <c r="H179" s="95" t="n"/>
      <c r="I179" s="96" t="n"/>
      <c r="J179" s="95" t="n"/>
      <c r="K179" s="95" t="n"/>
      <c r="L179" s="95" t="n"/>
      <c r="M179" s="95" t="n"/>
      <c r="N179" s="95" t="n"/>
    </row>
    <row r="180">
      <c r="A180" s="94" t="n"/>
      <c r="B180" s="95" t="n"/>
      <c r="C180" s="95" t="n"/>
      <c r="D180" s="95" t="n"/>
      <c r="E180" s="95" t="n"/>
      <c r="F180" s="95" t="n"/>
      <c r="G180" s="95" t="n"/>
      <c r="H180" s="95" t="n"/>
      <c r="I180" s="96" t="n"/>
      <c r="J180" s="95" t="n"/>
      <c r="K180" s="95" t="n"/>
      <c r="L180" s="95" t="n"/>
      <c r="M180" s="95" t="n"/>
      <c r="N180" s="95" t="n"/>
    </row>
    <row r="181">
      <c r="A181" s="94" t="n"/>
      <c r="B181" s="95" t="n"/>
      <c r="C181" s="95" t="n"/>
      <c r="D181" s="95" t="n"/>
      <c r="E181" s="95" t="n"/>
      <c r="F181" s="95" t="n"/>
      <c r="G181" s="95" t="n"/>
      <c r="H181" s="95" t="n"/>
      <c r="I181" s="96" t="n"/>
      <c r="J181" s="95" t="n"/>
      <c r="K181" s="95" t="n"/>
      <c r="L181" s="95" t="n"/>
      <c r="M181" s="95" t="n"/>
      <c r="N181" s="95" t="n"/>
    </row>
    <row r="182">
      <c r="A182" s="94" t="n"/>
      <c r="B182" s="95" t="n"/>
      <c r="C182" s="95" t="n"/>
      <c r="D182" s="95" t="n"/>
      <c r="E182" s="95" t="n"/>
      <c r="F182" s="95" t="n"/>
      <c r="G182" s="95" t="n"/>
      <c r="H182" s="95" t="n"/>
      <c r="I182" s="96" t="n"/>
      <c r="J182" s="95" t="n"/>
      <c r="K182" s="95" t="n"/>
      <c r="L182" s="95" t="n"/>
      <c r="M182" s="95" t="n"/>
      <c r="N182" s="95" t="n"/>
    </row>
    <row r="183">
      <c r="A183" s="94" t="n"/>
      <c r="B183" s="95" t="n"/>
      <c r="C183" s="95" t="n"/>
      <c r="D183" s="95" t="n"/>
      <c r="E183" s="95" t="n"/>
      <c r="F183" s="95" t="n"/>
      <c r="G183" s="95" t="n"/>
      <c r="H183" s="95" t="n"/>
      <c r="I183" s="96" t="n"/>
      <c r="J183" s="95" t="n"/>
      <c r="K183" s="95" t="n"/>
      <c r="L183" s="95" t="n"/>
      <c r="M183" s="95" t="n"/>
      <c r="N183" s="95" t="n"/>
    </row>
    <row r="184">
      <c r="A184" s="94" t="n"/>
      <c r="B184" s="95" t="n"/>
      <c r="C184" s="95" t="n"/>
      <c r="D184" s="95" t="n"/>
      <c r="E184" s="95" t="n"/>
      <c r="F184" s="95" t="n"/>
      <c r="G184" s="95" t="n"/>
      <c r="H184" s="95" t="n"/>
      <c r="I184" s="96" t="n"/>
      <c r="J184" s="95" t="n"/>
      <c r="K184" s="95" t="n"/>
      <c r="L184" s="95" t="n"/>
      <c r="M184" s="95" t="n"/>
      <c r="N184" s="95" t="n"/>
    </row>
    <row r="185">
      <c r="A185" s="94" t="n"/>
      <c r="B185" s="95" t="n"/>
      <c r="C185" s="95" t="n"/>
      <c r="D185" s="95" t="n"/>
      <c r="E185" s="95" t="n"/>
      <c r="F185" s="95" t="n"/>
      <c r="G185" s="95" t="n"/>
      <c r="H185" s="95" t="n"/>
      <c r="I185" s="96" t="n"/>
      <c r="J185" s="95" t="n"/>
      <c r="K185" s="95" t="n"/>
      <c r="L185" s="95" t="n"/>
      <c r="M185" s="95" t="n"/>
      <c r="N185" s="95" t="n"/>
    </row>
    <row r="186">
      <c r="A186" s="94" t="n"/>
      <c r="B186" s="95" t="n"/>
      <c r="C186" s="95" t="n"/>
      <c r="D186" s="95" t="n"/>
      <c r="E186" s="95" t="n"/>
      <c r="F186" s="95" t="n"/>
      <c r="G186" s="95" t="n"/>
      <c r="H186" s="95" t="n"/>
      <c r="I186" s="96" t="n"/>
      <c r="J186" s="95" t="n"/>
      <c r="K186" s="95" t="n"/>
      <c r="L186" s="95" t="n"/>
      <c r="M186" s="95" t="n"/>
      <c r="N186" s="95" t="n"/>
    </row>
    <row r="187">
      <c r="A187" s="94" t="n"/>
      <c r="B187" s="95" t="n"/>
      <c r="C187" s="95" t="n"/>
      <c r="D187" s="95" t="n"/>
      <c r="E187" s="95" t="n"/>
      <c r="F187" s="95" t="n"/>
      <c r="G187" s="95" t="n"/>
      <c r="H187" s="95" t="n"/>
      <c r="I187" s="96" t="n"/>
      <c r="J187" s="95" t="n"/>
      <c r="K187" s="95" t="n"/>
      <c r="L187" s="95" t="n"/>
      <c r="M187" s="95" t="n"/>
      <c r="N187" s="95" t="n"/>
    </row>
    <row r="188">
      <c r="A188" s="94" t="n"/>
      <c r="B188" s="95" t="n"/>
      <c r="C188" s="95" t="n"/>
      <c r="D188" s="95" t="n"/>
      <c r="E188" s="95" t="n"/>
      <c r="F188" s="95" t="n"/>
      <c r="G188" s="95" t="n"/>
      <c r="H188" s="95" t="n"/>
      <c r="I188" s="96" t="n"/>
      <c r="J188" s="95" t="n"/>
      <c r="K188" s="95" t="n"/>
      <c r="L188" s="95" t="n"/>
      <c r="M188" s="95" t="n"/>
      <c r="N188" s="95" t="n"/>
    </row>
    <row r="189">
      <c r="A189" s="94" t="n"/>
      <c r="B189" s="95" t="n"/>
      <c r="C189" s="95" t="n"/>
      <c r="D189" s="95" t="n"/>
      <c r="E189" s="95" t="n"/>
      <c r="F189" s="95" t="n"/>
      <c r="G189" s="95" t="n"/>
      <c r="H189" s="95" t="n"/>
      <c r="I189" s="96" t="n"/>
      <c r="J189" s="95" t="n"/>
      <c r="K189" s="95" t="n"/>
      <c r="L189" s="95" t="n"/>
      <c r="M189" s="95" t="n"/>
      <c r="N189" s="95" t="n"/>
    </row>
    <row r="190">
      <c r="A190" s="94" t="n"/>
      <c r="B190" s="95" t="n"/>
      <c r="C190" s="95" t="n"/>
      <c r="D190" s="95" t="n"/>
      <c r="E190" s="95" t="n"/>
      <c r="F190" s="95" t="n"/>
      <c r="G190" s="95" t="n"/>
      <c r="H190" s="95" t="n"/>
      <c r="I190" s="96" t="n"/>
      <c r="J190" s="95" t="n"/>
      <c r="K190" s="95" t="n"/>
      <c r="L190" s="95" t="n"/>
      <c r="M190" s="95" t="n"/>
      <c r="N190" s="95" t="n"/>
    </row>
    <row r="191">
      <c r="A191" s="94" t="n"/>
      <c r="B191" s="95" t="n"/>
      <c r="C191" s="95" t="n"/>
      <c r="D191" s="95" t="n"/>
      <c r="E191" s="95" t="n"/>
      <c r="F191" s="95" t="n"/>
      <c r="G191" s="95" t="n"/>
      <c r="H191" s="95" t="n"/>
      <c r="I191" s="96" t="n"/>
      <c r="J191" s="95" t="n"/>
      <c r="K191" s="95" t="n"/>
      <c r="L191" s="95" t="n"/>
      <c r="M191" s="95" t="n"/>
      <c r="N191" s="95" t="n"/>
    </row>
    <row r="192">
      <c r="A192" s="94" t="n"/>
      <c r="B192" s="95" t="n"/>
      <c r="C192" s="95" t="n"/>
      <c r="D192" s="95" t="n"/>
      <c r="E192" s="95" t="n"/>
      <c r="F192" s="95" t="n"/>
      <c r="G192" s="95" t="n"/>
      <c r="H192" s="95" t="n"/>
      <c r="I192" s="96" t="n"/>
      <c r="J192" s="95" t="n"/>
      <c r="K192" s="95" t="n"/>
      <c r="L192" s="95" t="n"/>
      <c r="M192" s="95" t="n"/>
      <c r="N192" s="95" t="n"/>
    </row>
    <row r="193">
      <c r="A193" s="94" t="n"/>
      <c r="B193" s="95" t="n"/>
      <c r="C193" s="95" t="n"/>
      <c r="D193" s="95" t="n"/>
      <c r="E193" s="95" t="n"/>
      <c r="F193" s="95" t="n"/>
      <c r="G193" s="95" t="n"/>
      <c r="H193" s="95" t="n"/>
      <c r="I193" s="96" t="n"/>
      <c r="J193" s="95" t="n"/>
      <c r="K193" s="95" t="n"/>
      <c r="L193" s="95" t="n"/>
      <c r="M193" s="95" t="n"/>
      <c r="N193" s="95" t="n"/>
    </row>
    <row r="194">
      <c r="A194" s="94" t="n"/>
      <c r="B194" s="95" t="n"/>
      <c r="C194" s="95" t="n"/>
      <c r="D194" s="95" t="n"/>
      <c r="E194" s="95" t="n"/>
      <c r="F194" s="95" t="n"/>
      <c r="G194" s="95" t="n"/>
      <c r="H194" s="95" t="n"/>
      <c r="I194" s="96" t="n"/>
      <c r="J194" s="95" t="n"/>
      <c r="K194" s="95" t="n"/>
      <c r="L194" s="95" t="n"/>
      <c r="M194" s="95" t="n"/>
      <c r="N194" s="95" t="n"/>
    </row>
    <row r="195">
      <c r="A195" s="94" t="n"/>
      <c r="B195" s="95" t="n"/>
      <c r="C195" s="95" t="n"/>
      <c r="D195" s="95" t="n"/>
      <c r="E195" s="95" t="n"/>
      <c r="F195" s="95" t="n"/>
      <c r="G195" s="95" t="n"/>
      <c r="H195" s="95" t="n"/>
      <c r="I195" s="96" t="n"/>
      <c r="J195" s="95" t="n"/>
      <c r="K195" s="95" t="n"/>
      <c r="L195" s="95" t="n"/>
      <c r="M195" s="95" t="n"/>
      <c r="N195" s="95" t="n"/>
    </row>
    <row r="196">
      <c r="A196" s="94" t="n"/>
      <c r="B196" s="95" t="n"/>
      <c r="C196" s="95" t="n"/>
      <c r="D196" s="95" t="n"/>
      <c r="E196" s="95" t="n"/>
      <c r="F196" s="95" t="n"/>
      <c r="G196" s="95" t="n"/>
      <c r="H196" s="95" t="n"/>
      <c r="I196" s="96" t="n"/>
      <c r="J196" s="95" t="n"/>
      <c r="K196" s="95" t="n"/>
      <c r="L196" s="95" t="n"/>
      <c r="M196" s="95" t="n"/>
      <c r="N196" s="95" t="n"/>
    </row>
    <row r="197">
      <c r="A197" s="94" t="n"/>
      <c r="B197" s="95" t="n"/>
      <c r="C197" s="95" t="n"/>
      <c r="D197" s="95" t="n"/>
      <c r="E197" s="95" t="n"/>
      <c r="F197" s="95" t="n"/>
      <c r="G197" s="95" t="n"/>
      <c r="H197" s="95" t="n"/>
      <c r="I197" s="96" t="n"/>
      <c r="J197" s="95" t="n"/>
      <c r="K197" s="95" t="n"/>
      <c r="L197" s="95" t="n"/>
      <c r="M197" s="95" t="n"/>
      <c r="N197" s="95" t="n"/>
    </row>
    <row r="198" ht="16" customHeight="1">
      <c r="A198" s="94" t="n"/>
      <c r="B198" s="95" t="n"/>
      <c r="C198" s="95" t="n"/>
      <c r="D198" s="95" t="n"/>
      <c r="E198" s="95" t="n"/>
      <c r="F198" s="95" t="n"/>
      <c r="G198" s="95" t="n"/>
      <c r="H198" s="95" t="n"/>
      <c r="I198" s="96" t="n"/>
      <c r="J198" s="95" t="n"/>
      <c r="K198" s="95" t="n"/>
      <c r="L198" s="95" t="n"/>
      <c r="M198" s="95" t="n"/>
      <c r="N198" s="95" t="n"/>
    </row>
    <row r="199">
      <c r="A199" s="94" t="n"/>
      <c r="B199" s="95" t="n"/>
      <c r="C199" s="95" t="n"/>
      <c r="D199" s="95" t="n"/>
      <c r="E199" s="95" t="n"/>
      <c r="F199" s="95" t="n"/>
      <c r="G199" s="95" t="n"/>
      <c r="H199" s="95" t="n"/>
      <c r="I199" s="96" t="n"/>
    </row>
    <row r="200">
      <c r="A200" s="94" t="n"/>
      <c r="B200" s="95" t="n"/>
      <c r="C200" s="95" t="n"/>
      <c r="D200" s="95" t="n"/>
      <c r="E200" s="95" t="n"/>
      <c r="F200" s="95" t="n"/>
      <c r="G200" s="95" t="n"/>
      <c r="H200" s="95" t="n"/>
      <c r="I200" s="96" t="n"/>
    </row>
    <row r="201" ht="19" customHeight="1" thickBot="1">
      <c r="A201" s="98" t="n"/>
      <c r="B201" s="99" t="n"/>
      <c r="C201" s="99" t="n"/>
      <c r="D201" s="99" t="n"/>
      <c r="E201" s="99" t="n"/>
      <c r="F201" s="99" t="n"/>
      <c r="G201" s="99" t="n"/>
      <c r="H201" s="99" t="n"/>
      <c r="I201" s="100" t="n"/>
    </row>
    <row r="202">
      <c r="A202" s="95" t="n"/>
      <c r="B202" s="95" t="n"/>
      <c r="C202" s="95" t="n"/>
      <c r="D202" s="95" t="n"/>
      <c r="E202" s="95" t="n"/>
      <c r="F202" s="95" t="n"/>
      <c r="G202" s="95" t="n"/>
      <c r="H202" s="95" t="n"/>
      <c r="I202" s="95" t="n"/>
      <c r="J202" s="95" t="n"/>
      <c r="K202" s="95" t="n"/>
      <c r="L202" s="95" t="n"/>
    </row>
    <row r="203">
      <c r="A203" s="95" t="n"/>
      <c r="B203" s="95" t="n"/>
      <c r="C203" s="95" t="n"/>
      <c r="D203" s="95" t="n"/>
      <c r="E203" s="95" t="n"/>
      <c r="F203" s="95" t="n"/>
      <c r="G203" s="95" t="n"/>
      <c r="H203" s="95" t="n"/>
      <c r="I203" s="95" t="n"/>
      <c r="J203" s="95" t="n"/>
      <c r="K203" s="95" t="n"/>
      <c r="L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5" t="n"/>
      <c r="B207" s="95" t="n"/>
      <c r="C207" s="95" t="n"/>
      <c r="D207" s="95" t="n"/>
      <c r="E207" s="95" t="n"/>
      <c r="F207" s="95" t="n"/>
      <c r="G207" s="95" t="n"/>
      <c r="H207" s="95" t="n"/>
      <c r="I207" s="95" t="n"/>
      <c r="J207" s="95" t="n"/>
      <c r="K207" s="95" t="n"/>
      <c r="L207" s="95" t="n"/>
    </row>
    <row r="208">
      <c r="A208" s="95" t="n"/>
      <c r="B208" s="95" t="n"/>
      <c r="C208" s="95" t="n"/>
      <c r="D208" s="95" t="n"/>
      <c r="E208" s="95" t="n"/>
      <c r="F208" s="95" t="n"/>
      <c r="G208" s="95" t="n"/>
      <c r="H208" s="95" t="n"/>
      <c r="I208" s="95" t="n"/>
      <c r="J208" s="95" t="n"/>
      <c r="K208" s="95" t="n"/>
      <c r="L208" s="95" t="n"/>
    </row>
    <row r="209">
      <c r="A209" s="94" t="n"/>
      <c r="B209" s="95" t="n"/>
      <c r="C209" s="95" t="n"/>
      <c r="D209" s="95" t="n"/>
      <c r="E209" s="95" t="n"/>
      <c r="F209" s="95" t="n"/>
      <c r="G209" s="95" t="n"/>
      <c r="H209" s="95" t="n"/>
      <c r="I209" s="95" t="n"/>
      <c r="J209" s="95" t="n"/>
      <c r="K209" s="95" t="n"/>
      <c r="L209" s="95" t="n"/>
    </row>
    <row r="210">
      <c r="A210" s="94"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A218" s="94" t="n"/>
      <c r="B218" s="95" t="n"/>
      <c r="C218" s="95" t="n"/>
      <c r="D218" s="95" t="n"/>
      <c r="E218" s="95" t="n"/>
      <c r="F218" s="95" t="n"/>
      <c r="G218" s="95" t="n"/>
      <c r="H218" s="95" t="n"/>
      <c r="I218" s="95" t="n"/>
      <c r="J218" s="95" t="n"/>
      <c r="K218" s="95" t="n"/>
      <c r="L218" s="95" t="n"/>
    </row>
    <row r="219">
      <c r="A219" s="94" t="n"/>
      <c r="B219" s="95" t="n"/>
      <c r="C219" s="95" t="n"/>
      <c r="D219" s="95" t="n"/>
      <c r="E219" s="95" t="n"/>
      <c r="F219" s="95" t="n"/>
      <c r="G219" s="95" t="n"/>
      <c r="H219" s="95" t="n"/>
      <c r="I219" s="95" t="n"/>
      <c r="J219" s="95" t="n"/>
      <c r="K219" s="95" t="n"/>
      <c r="L219" s="95" t="n"/>
    </row>
    <row r="220">
      <c r="G220" s="95" t="n"/>
      <c r="H220" s="95" t="n"/>
      <c r="I220" s="95" t="n"/>
      <c r="J220" s="95" t="n"/>
      <c r="K220" s="95" t="n"/>
      <c r="L220" s="95" t="n"/>
    </row>
    <row r="221">
      <c r="G221" s="95" t="n"/>
      <c r="H221" s="95" t="n"/>
      <c r="I221" s="95" t="n"/>
      <c r="J221" s="95" t="n"/>
      <c r="K221" s="95" t="n"/>
      <c r="L221" s="95" t="n"/>
    </row>
    <row r="222">
      <c r="G222" s="95" t="n"/>
      <c r="H222" s="95" t="n"/>
      <c r="I222" s="95" t="n"/>
      <c r="J222" s="95" t="n"/>
      <c r="K222" s="95" t="n"/>
      <c r="L222" s="95" t="n"/>
    </row>
  </sheetData>
  <mergeCells count="44">
    <mergeCell ref="A65:I65"/>
    <mergeCell ref="D13:F13"/>
    <mergeCell ref="G13:I13"/>
    <mergeCell ref="B8:D8"/>
    <mergeCell ref="A66:I66"/>
    <mergeCell ref="D41:I41"/>
    <mergeCell ref="A12:I12"/>
    <mergeCell ref="C57:I57"/>
    <mergeCell ref="B39:C39"/>
    <mergeCell ref="B52:I52"/>
    <mergeCell ref="B48:I48"/>
    <mergeCell ref="A47:I47"/>
    <mergeCell ref="A5:I5"/>
    <mergeCell ref="B9:D9"/>
    <mergeCell ref="A53:I53"/>
    <mergeCell ref="B6:D6"/>
    <mergeCell ref="A62:I62"/>
    <mergeCell ref="D39:I39"/>
    <mergeCell ref="A43:I43"/>
    <mergeCell ref="D42:I42"/>
    <mergeCell ref="A68:I68"/>
    <mergeCell ref="A63:I63"/>
    <mergeCell ref="A13:C13"/>
    <mergeCell ref="A10:I10"/>
    <mergeCell ref="A1:I4"/>
    <mergeCell ref="A42:B42"/>
    <mergeCell ref="A67:I67"/>
    <mergeCell ref="A44:I46"/>
    <mergeCell ref="C54:I54"/>
    <mergeCell ref="A58:I58"/>
    <mergeCell ref="B40:C40"/>
    <mergeCell ref="B7:D7"/>
    <mergeCell ref="B49:I49"/>
    <mergeCell ref="C55:I55"/>
    <mergeCell ref="A64:I64"/>
    <mergeCell ref="A59:I59"/>
    <mergeCell ref="A11:I11"/>
    <mergeCell ref="A60:I60"/>
    <mergeCell ref="C56:I56"/>
    <mergeCell ref="B51:I51"/>
    <mergeCell ref="D40:I40"/>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103" min="0" max="8" man="1"/>
  </rowBreaks>
</worksheet>
</file>

<file path=xl/worksheets/sheet9.xml><?xml version="1.0" encoding="utf-8"?>
<worksheet xmlns="http://schemas.openxmlformats.org/spreadsheetml/2006/main">
  <sheetPr>
    <outlinePr summaryBelow="1" summaryRight="1"/>
    <pageSetUpPr fitToPage="1"/>
  </sheetPr>
  <dimension ref="A1:N222"/>
  <sheetViews>
    <sheetView view="pageBreakPreview" topLeftCell="A27" zoomScale="60" zoomScaleNormal="55" workbookViewId="0">
      <selection activeCell="I6" sqref="I6"/>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45972</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18-310C,  Wind:  35 km/h SSE, Precip: 1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v>10</v>
      </c>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v>5</v>
      </c>
    </row>
    <row r="17" ht="23.25" customHeight="1">
      <c r="A17" s="24" t="inlineStr">
        <is>
          <t>O"SHEA, John</t>
        </is>
      </c>
      <c r="B17" s="25" t="inlineStr">
        <is>
          <t>Senior Project Engineer</t>
        </is>
      </c>
      <c r="C17" s="26" t="n"/>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v>10</v>
      </c>
      <c r="D18" s="31" t="n"/>
      <c r="E18" s="32" t="n"/>
      <c r="F18" s="28" t="n"/>
      <c r="G18" s="29" t="inlineStr">
        <is>
          <t>Griffiths, Jaquai</t>
        </is>
      </c>
      <c r="H18" s="25" t="inlineStr">
        <is>
          <t>Operator</t>
        </is>
      </c>
      <c r="I18" s="30" t="n">
        <v>10</v>
      </c>
    </row>
    <row r="19" ht="23.25" customHeight="1">
      <c r="A19" s="24" t="inlineStr">
        <is>
          <t>THOMPSON,Cheryl</t>
        </is>
      </c>
      <c r="B19" s="25" t="inlineStr">
        <is>
          <t>HSET</t>
        </is>
      </c>
      <c r="C19" s="26" t="n"/>
      <c r="D19" s="31" t="n"/>
      <c r="E19" s="32" t="n"/>
      <c r="F19" s="28" t="n"/>
      <c r="G19" s="29" t="inlineStr">
        <is>
          <t>McConnell, Adam</t>
        </is>
      </c>
      <c r="H19" s="25" t="inlineStr">
        <is>
          <t>Labourer</t>
        </is>
      </c>
      <c r="I19" s="30" t="n">
        <v>12</v>
      </c>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c r="D21" s="31" t="n"/>
      <c r="E21" s="32" t="n"/>
      <c r="F21" s="28" t="n"/>
      <c r="G21" s="29" t="inlineStr">
        <is>
          <t>Pavers</t>
        </is>
      </c>
      <c r="H21" s="25" t="inlineStr">
        <is>
          <t>Pavers</t>
        </is>
      </c>
      <c r="I21" s="30" t="n">
        <v>40</v>
      </c>
    </row>
    <row r="22" ht="23.25" customHeight="1">
      <c r="A22" s="24" t="inlineStr">
        <is>
          <t>JOGI, Amit</t>
        </is>
      </c>
      <c r="B22" s="25" t="inlineStr">
        <is>
          <t>Project Engineer</t>
        </is>
      </c>
      <c r="C22" s="26" t="n">
        <v>12</v>
      </c>
      <c r="D22" s="31" t="n"/>
      <c r="E22" s="32" t="n"/>
      <c r="F22" s="28" t="n"/>
      <c r="G22" s="29" t="inlineStr">
        <is>
          <t>Think Water</t>
        </is>
      </c>
      <c r="H22" s="25" t="inlineStr">
        <is>
          <t>Irrigation</t>
        </is>
      </c>
      <c r="I22" s="127" t="n">
        <v>10</v>
      </c>
    </row>
    <row r="23" ht="23.25" customHeight="1" thickBot="1">
      <c r="A23" s="130" t="n"/>
      <c r="B23" s="120" t="n"/>
      <c r="C23" s="121" t="n"/>
      <c r="D23" s="122" t="n"/>
      <c r="E23" s="123" t="n"/>
      <c r="F23" s="124" t="n"/>
      <c r="G23" s="125" t="n"/>
      <c r="H23" s="126" t="n"/>
      <c r="I23" s="128" t="n"/>
    </row>
    <row r="24" ht="23.25" customHeight="1" thickTop="1">
      <c r="A24" s="173" t="inlineStr">
        <is>
          <t xml:space="preserve">Total Indirect Personnel onsite: </t>
        </is>
      </c>
      <c r="B24" s="116">
        <f>COUNT(C15:C23)</f>
        <v/>
      </c>
      <c r="C24" s="117" t="n"/>
      <c r="D24" s="118" t="inlineStr">
        <is>
          <t xml:space="preserve">Total Direct Personnel onsite:  </t>
        </is>
      </c>
      <c r="E24" s="116">
        <f>COUNT(F15:F23)</f>
        <v/>
      </c>
      <c r="F24" s="21" t="n"/>
      <c r="G24" s="119" t="inlineStr">
        <is>
          <t>Total Subcontractor on-site:</t>
        </is>
      </c>
      <c r="H24" s="116">
        <f>COUNT(I15:I22)</f>
        <v/>
      </c>
      <c r="I24" s="23" t="n"/>
    </row>
    <row r="25" ht="23.25" customHeight="1">
      <c r="A25" s="48" t="inlineStr">
        <is>
          <t xml:space="preserve">Total Indirect Personnel hours: </t>
        </is>
      </c>
      <c r="B25" s="93">
        <f>SUM(C15:C22)</f>
        <v/>
      </c>
      <c r="C25" s="52" t="n"/>
      <c r="D25" s="50" t="inlineStr">
        <is>
          <t xml:space="preserve">Total Direct Personnel hours: </t>
        </is>
      </c>
      <c r="E25" s="93">
        <f>SUM(F15:F16)</f>
        <v/>
      </c>
      <c r="F25" s="53" t="n"/>
      <c r="G25" s="51" t="inlineStr">
        <is>
          <t>Total Subcontractor hours:</t>
        </is>
      </c>
      <c r="H25" s="93">
        <f>SUM(I11:I22)</f>
        <v/>
      </c>
      <c r="I25" s="200" t="n"/>
    </row>
    <row r="26" ht="25" customHeight="1">
      <c r="A26" s="56" t="inlineStr">
        <is>
          <t>PLANT &amp; EQUIPMENT</t>
        </is>
      </c>
      <c r="B26" s="57" t="n"/>
      <c r="C26" s="57" t="n"/>
      <c r="D26" s="57" t="n"/>
      <c r="E26" s="57" t="n"/>
      <c r="F26" s="57" t="n"/>
      <c r="G26" s="57" t="n"/>
      <c r="H26" s="57" t="n"/>
      <c r="I26" s="58" t="n"/>
    </row>
    <row r="27" ht="24" customHeight="1" thickBot="1">
      <c r="A27" s="59" t="inlineStr">
        <is>
          <t>Plant</t>
        </is>
      </c>
      <c r="B27" s="60" t="inlineStr">
        <is>
          <t>ID</t>
        </is>
      </c>
      <c r="C27" s="61" t="inlineStr">
        <is>
          <t>Hrs</t>
        </is>
      </c>
      <c r="D27" s="62" t="inlineStr">
        <is>
          <t xml:space="preserve"> Vehicles</t>
        </is>
      </c>
      <c r="E27" s="60" t="inlineStr">
        <is>
          <t>ID</t>
        </is>
      </c>
      <c r="F27" s="63" t="inlineStr">
        <is>
          <t>QTY</t>
        </is>
      </c>
      <c r="G27" s="64" t="inlineStr">
        <is>
          <t>Site Facilities</t>
        </is>
      </c>
      <c r="H27" s="65" t="inlineStr">
        <is>
          <t>ID</t>
        </is>
      </c>
      <c r="I27" s="66" t="inlineStr">
        <is>
          <t>Qty</t>
        </is>
      </c>
    </row>
    <row r="28" ht="23.25" customHeight="1" thickTop="1">
      <c r="A28" s="75" t="inlineStr">
        <is>
          <t>IT Loader</t>
        </is>
      </c>
      <c r="B28" s="72" t="inlineStr">
        <is>
          <t>LD011</t>
        </is>
      </c>
      <c r="C28" s="26" t="n">
        <v>2</v>
      </c>
      <c r="D28" s="67" t="inlineStr">
        <is>
          <t>Hilux</t>
        </is>
      </c>
      <c r="E28" s="68" t="inlineStr">
        <is>
          <t>DLV90</t>
        </is>
      </c>
      <c r="F28" s="69" t="n">
        <v>1</v>
      </c>
      <c r="G28" s="70" t="inlineStr">
        <is>
          <t>Office 40ft</t>
        </is>
      </c>
      <c r="H28" s="68" t="n">
        <v>9255540</v>
      </c>
      <c r="I28" s="23" t="n">
        <v>1</v>
      </c>
    </row>
    <row r="29" ht="23.25" customHeight="1">
      <c r="A29" s="24" t="inlineStr">
        <is>
          <t>Wacker Neuson DPU</t>
        </is>
      </c>
      <c r="B29" s="25" t="inlineStr">
        <is>
          <t>DPC15</t>
        </is>
      </c>
      <c r="C29" s="106" t="n"/>
      <c r="D29" s="71" t="inlineStr">
        <is>
          <t>Hilux</t>
        </is>
      </c>
      <c r="E29" s="72" t="inlineStr">
        <is>
          <t>1DLV04</t>
        </is>
      </c>
      <c r="F29" s="73" t="n">
        <v>1</v>
      </c>
      <c r="G29" s="74" t="inlineStr">
        <is>
          <t>Sea Container 20ft</t>
        </is>
      </c>
      <c r="H29" s="25" t="n">
        <v>951200</v>
      </c>
      <c r="I29" s="30" t="n">
        <v>1</v>
      </c>
    </row>
    <row r="30" ht="23.25" customHeight="1">
      <c r="A30" s="75" t="inlineStr">
        <is>
          <t>Watercart</t>
        </is>
      </c>
      <c r="B30" s="72" t="inlineStr">
        <is>
          <t>A119</t>
        </is>
      </c>
      <c r="C30" s="106" t="n">
        <v>6</v>
      </c>
      <c r="D30" s="71" t="n"/>
      <c r="E30" s="25" t="n"/>
      <c r="F30" s="73" t="n"/>
      <c r="G30" s="74" t="inlineStr">
        <is>
          <t>Site Sentry Tower</t>
        </is>
      </c>
      <c r="H30" s="72" t="inlineStr">
        <is>
          <t>NA</t>
        </is>
      </c>
      <c r="I30" s="30" t="n">
        <v>2</v>
      </c>
    </row>
    <row r="31" ht="23.25" customHeight="1">
      <c r="A31" s="75" t="inlineStr">
        <is>
          <t>8T Excavator</t>
        </is>
      </c>
      <c r="B31" s="76" t="inlineStr">
        <is>
          <t>AMG 014</t>
        </is>
      </c>
      <c r="C31" s="106" t="n"/>
      <c r="D31" s="71" t="n"/>
      <c r="E31" s="72" t="n"/>
      <c r="F31" s="73" t="n"/>
      <c r="G31" s="74" t="inlineStr">
        <is>
          <t>Skip Bin</t>
        </is>
      </c>
      <c r="H31" s="72" t="inlineStr">
        <is>
          <t>NA</t>
        </is>
      </c>
      <c r="I31" s="30" t="n">
        <v>1</v>
      </c>
    </row>
    <row r="32" ht="23.25" customHeight="1">
      <c r="A32" s="75" t="inlineStr">
        <is>
          <t>Mini Tipper</t>
        </is>
      </c>
      <c r="B32" s="72" t="inlineStr">
        <is>
          <t>SLS04</t>
        </is>
      </c>
      <c r="C32" s="26" t="n">
        <v>7</v>
      </c>
      <c r="D32" s="71" t="n"/>
      <c r="E32" s="72" t="n"/>
      <c r="F32" s="73" t="n"/>
      <c r="G32" s="74" t="inlineStr">
        <is>
          <t>Hydrocarbon Bund</t>
        </is>
      </c>
      <c r="H32" s="72" t="inlineStr">
        <is>
          <t>NA</t>
        </is>
      </c>
      <c r="I32" s="30" t="n">
        <v>1</v>
      </c>
    </row>
    <row r="33" ht="23.25" customHeight="1">
      <c r="A33" s="75" t="inlineStr">
        <is>
          <t>Skid Steer</t>
        </is>
      </c>
      <c r="B33" s="72" t="inlineStr">
        <is>
          <t>SLS03</t>
        </is>
      </c>
      <c r="C33" s="26" t="n"/>
      <c r="D33" s="71" t="n"/>
      <c r="E33" s="72" t="n"/>
      <c r="F33" s="73" t="n"/>
      <c r="G33" s="74" t="inlineStr">
        <is>
          <t>Temp Fence</t>
        </is>
      </c>
      <c r="H33" s="25" t="inlineStr">
        <is>
          <t>NA</t>
        </is>
      </c>
      <c r="I33" s="30" t="n">
        <v>1</v>
      </c>
    </row>
    <row r="34" ht="23.25" customHeight="1">
      <c r="A34" s="75" t="inlineStr">
        <is>
          <t>1t Excavator</t>
        </is>
      </c>
      <c r="B34" s="72" t="inlineStr">
        <is>
          <t>SLS02</t>
        </is>
      </c>
      <c r="C34" s="26" t="n">
        <v>6</v>
      </c>
      <c r="D34" s="71" t="n"/>
      <c r="E34" s="72" t="n"/>
      <c r="F34" s="73" t="n"/>
      <c r="G34" s="74" t="n"/>
      <c r="H34" s="25" t="n"/>
      <c r="I34" s="30" t="n"/>
    </row>
    <row r="35" ht="23.25" customHeight="1">
      <c r="A35" s="75" t="inlineStr">
        <is>
          <t>1t Excavator</t>
        </is>
      </c>
      <c r="B35" s="72" t="inlineStr">
        <is>
          <t>DEX30</t>
        </is>
      </c>
      <c r="C35" s="26" t="n"/>
      <c r="D35" s="71" t="n"/>
      <c r="E35" s="72" t="n"/>
      <c r="F35" s="73" t="n"/>
      <c r="G35" s="74" t="n"/>
      <c r="H35" s="25" t="n"/>
      <c r="I35" s="30" t="n"/>
    </row>
    <row r="36" ht="24" customHeight="1">
      <c r="A36" s="75" t="inlineStr">
        <is>
          <t>8T Excavator (Wheeled)</t>
        </is>
      </c>
      <c r="B36" s="72" t="inlineStr">
        <is>
          <t>BCC12</t>
        </is>
      </c>
      <c r="C36" s="26" t="n">
        <v>6</v>
      </c>
      <c r="D36" s="71" t="n"/>
      <c r="E36" s="72" t="n"/>
      <c r="F36" s="73" t="n"/>
      <c r="G36" s="77" t="n"/>
      <c r="H36" s="78" t="n"/>
      <c r="I36" s="79" t="n"/>
    </row>
    <row r="37" ht="24" customHeight="1">
      <c r="A37" s="75" t="inlineStr">
        <is>
          <t>14t Excavator with GPS</t>
        </is>
      </c>
      <c r="B37" s="72" t="inlineStr">
        <is>
          <t>EX197</t>
        </is>
      </c>
      <c r="C37" s="26" t="n"/>
      <c r="D37" s="71" t="n"/>
      <c r="E37" s="72" t="n"/>
      <c r="F37" s="73" t="n"/>
      <c r="G37" s="77" t="n"/>
      <c r="H37" s="78" t="n"/>
      <c r="I37" s="79" t="n"/>
    </row>
    <row r="38" ht="24" customHeight="1" thickBot="1">
      <c r="A38" s="75" t="inlineStr">
        <is>
          <t>Roller</t>
        </is>
      </c>
      <c r="B38" s="72" t="inlineStr">
        <is>
          <t>R538</t>
        </is>
      </c>
      <c r="C38" s="106" t="n"/>
      <c r="D38" s="71" t="n"/>
      <c r="E38" s="72" t="n"/>
      <c r="F38" s="73" t="n"/>
      <c r="G38" s="77" t="n"/>
      <c r="H38" s="78" t="n"/>
      <c r="I38" s="79" t="n"/>
    </row>
    <row r="39" ht="24" customHeight="1" thickTop="1">
      <c r="A39" s="85" t="n">
        <v>0</v>
      </c>
      <c r="B39" s="158" t="inlineStr">
        <is>
          <t xml:space="preserve">Repairs Required </t>
        </is>
      </c>
      <c r="C39" s="239" t="n"/>
      <c r="D39" s="160" t="inlineStr">
        <is>
          <t>NA</t>
        </is>
      </c>
      <c r="E39" s="240" t="n"/>
      <c r="F39" s="240" t="n"/>
      <c r="G39" s="240" t="n"/>
      <c r="H39" s="240" t="n"/>
      <c r="I39" s="241" t="n"/>
    </row>
    <row r="40" ht="24" customHeight="1">
      <c r="A40" s="86" t="n">
        <v>0</v>
      </c>
      <c r="B40" s="163" t="inlineStr">
        <is>
          <t>Scheduled Service</t>
        </is>
      </c>
      <c r="C40" s="234" t="n"/>
      <c r="D40" s="165" t="inlineStr">
        <is>
          <t>NA</t>
        </is>
      </c>
      <c r="E40" s="233" t="n"/>
      <c r="F40" s="233" t="n"/>
      <c r="G40" s="233" t="n"/>
      <c r="H40" s="233" t="n"/>
      <c r="I40" s="235" t="n"/>
    </row>
    <row r="41" ht="24" customHeight="1" thickBot="1">
      <c r="A41" s="87" t="n">
        <v>0</v>
      </c>
      <c r="B41" s="168" t="inlineStr">
        <is>
          <t>Repairs Required but Operable</t>
        </is>
      </c>
      <c r="C41" s="242" t="n"/>
      <c r="D41" s="170" t="inlineStr">
        <is>
          <t>NA</t>
        </is>
      </c>
      <c r="E41" s="243" t="n"/>
      <c r="F41" s="243" t="n"/>
      <c r="G41" s="243" t="n"/>
      <c r="H41" s="243" t="n"/>
      <c r="I41" s="244" t="n"/>
    </row>
    <row r="42" ht="23.25" customHeight="1" thickTop="1">
      <c r="A42" s="173" t="inlineStr">
        <is>
          <t xml:space="preserve">Total Plant and Equipment Hours: </t>
        </is>
      </c>
      <c r="B42" s="245" t="n"/>
      <c r="C42" s="88">
        <f>SUM(C28:C38)</f>
        <v/>
      </c>
      <c r="D42" s="175" t="n"/>
      <c r="E42" s="231" t="n"/>
      <c r="F42" s="231" t="n"/>
      <c r="G42" s="231" t="n"/>
      <c r="H42" s="231" t="n"/>
      <c r="I42" s="232" t="n"/>
    </row>
    <row r="43" ht="25" customHeight="1">
      <c r="A43" s="146" t="inlineStr">
        <is>
          <t>DELAYS-OPPORTUNITY</t>
        </is>
      </c>
      <c r="B43" s="233" t="n"/>
      <c r="C43" s="233" t="n"/>
      <c r="D43" s="233" t="n"/>
      <c r="E43" s="233" t="n"/>
      <c r="F43" s="233" t="n"/>
      <c r="G43" s="233" t="n"/>
      <c r="H43" s="233" t="n"/>
      <c r="I43" s="235" t="n"/>
    </row>
    <row r="44" ht="69" customHeight="1" thickBot="1">
      <c r="A44" s="215"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Vacuum truck used for light poles in locations indicating possible service interfaces. 
Issues around Watercorp Connection-Connection Date now 29/11/25 impacts to Kerbing, Paving and Concrete works
Rain delay in the afternoon
</t>
        </is>
      </c>
      <c r="B44" s="236" t="n"/>
      <c r="C44" s="236" t="n"/>
      <c r="D44" s="236" t="n"/>
      <c r="E44" s="236" t="n"/>
      <c r="F44" s="236" t="n"/>
      <c r="G44" s="236" t="n"/>
      <c r="H44" s="236" t="n"/>
      <c r="I44" s="237" t="n"/>
    </row>
    <row r="45" ht="14" customHeight="1">
      <c r="A45" s="228" t="n"/>
      <c r="I45" s="229" t="n"/>
    </row>
    <row r="46" ht="16.5" customHeight="1" thickBot="1">
      <c r="A46" s="246" t="n"/>
      <c r="B46" s="247" t="n"/>
      <c r="C46" s="247" t="n"/>
      <c r="D46" s="247" t="n"/>
      <c r="E46" s="247" t="n"/>
      <c r="F46" s="247" t="n"/>
      <c r="G46" s="247" t="n"/>
      <c r="H46" s="247" t="n"/>
      <c r="I46" s="248" t="n"/>
    </row>
    <row r="47" ht="25" customHeight="1">
      <c r="A47" s="185" t="inlineStr">
        <is>
          <t>HSEQ MESSAGES</t>
        </is>
      </c>
      <c r="B47" s="249" t="n"/>
      <c r="C47" s="249" t="n"/>
      <c r="D47" s="249" t="n"/>
      <c r="E47" s="249" t="n"/>
      <c r="F47" s="249" t="n"/>
      <c r="G47" s="249" t="n"/>
      <c r="H47" s="249" t="n"/>
      <c r="I47" s="250" t="n"/>
    </row>
    <row r="48" ht="24" customHeight="1">
      <c r="A48" s="89" t="inlineStr">
        <is>
          <t>TCD - Monthly Safety Focus:</t>
        </is>
      </c>
      <c r="B48" s="155" t="inlineStr">
        <is>
          <t>Cyclones &amp; Wet Weather</t>
        </is>
      </c>
      <c r="C48" s="233" t="n"/>
      <c r="D48" s="233" t="n"/>
      <c r="E48" s="233" t="n"/>
      <c r="F48" s="233" t="n"/>
      <c r="G48" s="233" t="n"/>
      <c r="H48" s="233" t="n"/>
      <c r="I48" s="234" t="n"/>
    </row>
    <row r="49" ht="24" customHeight="1">
      <c r="A49" s="89" t="inlineStr">
        <is>
          <t>TCD - Daily Safety Focus:</t>
        </is>
      </c>
      <c r="B49" s="188" t="inlineStr">
        <is>
          <t>Attention to details</t>
        </is>
      </c>
      <c r="C49" s="233" t="n"/>
      <c r="D49" s="233" t="n"/>
      <c r="E49" s="233" t="n"/>
      <c r="F49" s="233" t="n"/>
      <c r="G49" s="233" t="n"/>
      <c r="H49" s="233" t="n"/>
      <c r="I49" s="235" t="n"/>
    </row>
    <row r="50" ht="24" customHeight="1">
      <c r="A50" s="90" t="inlineStr">
        <is>
          <t xml:space="preserve">Hazards Reported: </t>
        </is>
      </c>
      <c r="B50" s="188" t="inlineStr">
        <is>
          <t>Nil</t>
        </is>
      </c>
      <c r="C50" s="233" t="n"/>
      <c r="D50" s="233" t="n"/>
      <c r="E50" s="233" t="n"/>
      <c r="F50" s="233" t="n"/>
      <c r="G50" s="233" t="n"/>
      <c r="H50" s="233" t="n"/>
      <c r="I50" s="235" t="n"/>
    </row>
    <row r="51" ht="24" customHeight="1">
      <c r="A51" s="90" t="inlineStr">
        <is>
          <t>Incident Free Days</t>
        </is>
      </c>
      <c r="B51" s="251" t="n">
        <v>7</v>
      </c>
      <c r="C51" s="233" t="n"/>
      <c r="D51" s="233" t="n"/>
      <c r="E51" s="233" t="n"/>
      <c r="F51" s="233" t="n"/>
      <c r="G51" s="233" t="n"/>
      <c r="H51" s="233" t="n"/>
      <c r="I51" s="235" t="n"/>
    </row>
    <row r="52" ht="24" customHeight="1">
      <c r="A52" s="91" t="inlineStr">
        <is>
          <t>Other Notes</t>
        </is>
      </c>
      <c r="B52" s="197" t="inlineStr">
        <is>
          <t>NA</t>
        </is>
      </c>
      <c r="C52" s="236" t="n"/>
      <c r="D52" s="236" t="n"/>
      <c r="E52" s="236" t="n"/>
      <c r="F52" s="236" t="n"/>
      <c r="G52" s="236" t="n"/>
      <c r="H52" s="236" t="n"/>
      <c r="I52" s="237" t="n"/>
    </row>
    <row r="53" ht="20.25" customHeight="1">
      <c r="A53" s="146" t="inlineStr">
        <is>
          <t xml:space="preserve">INCIDENTS &amp; REPORTS </t>
        </is>
      </c>
      <c r="B53" s="233" t="n"/>
      <c r="C53" s="233" t="n"/>
      <c r="D53" s="233" t="n"/>
      <c r="E53" s="233" t="n"/>
      <c r="F53" s="233" t="n"/>
      <c r="G53" s="233" t="n"/>
      <c r="H53" s="233" t="n"/>
      <c r="I53" s="235" t="n"/>
    </row>
    <row r="54" ht="20" customHeight="1">
      <c r="A54" s="92" t="n"/>
      <c r="B54" s="93" t="inlineStr">
        <is>
          <t>QTY</t>
        </is>
      </c>
      <c r="C54" s="200" t="inlineStr">
        <is>
          <t>Comments</t>
        </is>
      </c>
      <c r="D54" s="233" t="n"/>
      <c r="E54" s="233" t="n"/>
      <c r="F54" s="233" t="n"/>
      <c r="G54" s="233" t="n"/>
      <c r="H54" s="233" t="n"/>
      <c r="I54" s="235" t="n"/>
    </row>
    <row r="55" ht="24" customHeight="1">
      <c r="A55" s="48" t="inlineStr">
        <is>
          <t>INCIDENT</t>
        </is>
      </c>
      <c r="B55" s="25" t="n">
        <v>0</v>
      </c>
      <c r="C55" s="201" t="inlineStr">
        <is>
          <t>NA</t>
        </is>
      </c>
      <c r="D55" s="236" t="n"/>
      <c r="E55" s="236" t="n"/>
      <c r="F55" s="236" t="n"/>
      <c r="G55" s="236" t="n"/>
      <c r="H55" s="236" t="n"/>
      <c r="I55" s="237" t="n"/>
    </row>
    <row r="56" ht="24" customHeight="1">
      <c r="A56" s="101" t="inlineStr">
        <is>
          <t>IR</t>
        </is>
      </c>
      <c r="B56" s="34" t="n">
        <v>0</v>
      </c>
      <c r="C56" s="201" t="inlineStr">
        <is>
          <t>NA</t>
        </is>
      </c>
      <c r="D56" s="236" t="n"/>
      <c r="E56" s="236" t="n"/>
      <c r="F56" s="236" t="n"/>
      <c r="G56" s="236" t="n"/>
      <c r="H56" s="236" t="n"/>
      <c r="I56" s="237" t="n"/>
    </row>
    <row r="57" ht="24" customHeight="1" thickBot="1">
      <c r="A57" s="102" t="inlineStr">
        <is>
          <t>NCR</t>
        </is>
      </c>
      <c r="B57" s="103" t="n">
        <v>0</v>
      </c>
      <c r="C57" s="204" t="inlineStr">
        <is>
          <t>NA</t>
        </is>
      </c>
      <c r="D57" s="252" t="n"/>
      <c r="E57" s="252" t="n"/>
      <c r="F57" s="252" t="n"/>
      <c r="G57" s="252" t="n"/>
      <c r="H57" s="252" t="n"/>
      <c r="I57" s="253" t="n"/>
    </row>
    <row r="58" ht="20.25" customHeight="1">
      <c r="A58" s="185" t="inlineStr">
        <is>
          <t>COMMUNICATIONS</t>
        </is>
      </c>
      <c r="B58" s="249" t="n"/>
      <c r="C58" s="249" t="n"/>
      <c r="D58" s="249" t="n"/>
      <c r="E58" s="249" t="n"/>
      <c r="F58" s="249" t="n"/>
      <c r="G58" s="249" t="n"/>
      <c r="H58" s="249" t="n"/>
      <c r="I58" s="250" t="n"/>
    </row>
    <row r="59" ht="25" customHeight="1">
      <c r="A59" s="207" t="inlineStr">
        <is>
          <t>TGS MB1119-05 Scheme D implemented</t>
        </is>
      </c>
      <c r="B59" s="233" t="n"/>
      <c r="C59" s="233" t="n"/>
      <c r="D59" s="233" t="n"/>
      <c r="E59" s="233" t="n"/>
      <c r="F59" s="233" t="n"/>
      <c r="G59" s="233" t="n"/>
      <c r="H59" s="233" t="n"/>
      <c r="I59" s="235" t="n"/>
    </row>
    <row r="60" ht="25" customHeight="1">
      <c r="A60" s="146" t="inlineStr">
        <is>
          <t>PRODUCTION (CONSTRUCTION STATUS &amp; PROGRESS)</t>
        </is>
      </c>
      <c r="B60" s="233" t="n"/>
      <c r="C60" s="233" t="n"/>
      <c r="D60" s="233" t="n"/>
      <c r="E60" s="233" t="n"/>
      <c r="F60" s="233" t="n"/>
      <c r="G60" s="233" t="n"/>
      <c r="H60" s="233" t="n"/>
      <c r="I60" s="235" t="n"/>
    </row>
    <row r="61" ht="24" customHeight="1">
      <c r="A61" s="207" t="inlineStr">
        <is>
          <t>Unloading the delivery of Trees completed. Placement of trees and watering is ongoing.</t>
        </is>
      </c>
      <c r="B61" s="233" t="n"/>
      <c r="C61" s="233" t="n"/>
      <c r="D61" s="233" t="n"/>
      <c r="E61" s="233" t="n"/>
      <c r="F61" s="233" t="n"/>
      <c r="G61" s="233" t="n"/>
      <c r="H61" s="233" t="n"/>
      <c r="I61" s="235" t="n"/>
    </row>
    <row r="62" ht="24" customHeight="1">
      <c r="A62" s="207" t="inlineStr">
        <is>
          <t>Paving continues along North East</t>
        </is>
      </c>
      <c r="B62" s="233" t="n"/>
      <c r="C62" s="233" t="n"/>
      <c r="D62" s="233" t="n"/>
      <c r="E62" s="233" t="n"/>
      <c r="F62" s="233" t="n"/>
      <c r="G62" s="233" t="n"/>
      <c r="H62" s="233" t="n"/>
      <c r="I62" s="235" t="n"/>
    </row>
    <row r="63" ht="24" customHeight="1">
      <c r="A63" s="207" t="inlineStr">
        <is>
          <t>Backfilling the planters after tree placement is ongoing</t>
        </is>
      </c>
      <c r="B63" s="233" t="n"/>
      <c r="C63" s="233" t="n"/>
      <c r="D63" s="233" t="n"/>
      <c r="E63" s="233" t="n"/>
      <c r="F63" s="233" t="n"/>
      <c r="G63" s="233" t="n"/>
      <c r="H63" s="233" t="n"/>
      <c r="I63" s="235" t="n"/>
    </row>
    <row r="64" ht="24" customHeight="1">
      <c r="A64" s="207" t="inlineStr">
        <is>
          <t>Ongoing Scour Protection to Garden Beds</t>
        </is>
      </c>
      <c r="B64" s="233" t="n"/>
      <c r="C64" s="233" t="n"/>
      <c r="D64" s="233" t="n"/>
      <c r="E64" s="233" t="n"/>
      <c r="F64" s="233" t="n"/>
      <c r="G64" s="233" t="n"/>
      <c r="H64" s="233" t="n"/>
      <c r="I64" s="235" t="n"/>
    </row>
    <row r="65" ht="24" customHeight="1">
      <c r="A65" s="207" t="inlineStr">
        <is>
          <t>Rain Garden Inlet scour protection poured</t>
        </is>
      </c>
      <c r="B65" s="233" t="n"/>
      <c r="C65" s="233" t="n"/>
      <c r="D65" s="233" t="n"/>
      <c r="E65" s="233" t="n"/>
      <c r="F65" s="233" t="n"/>
      <c r="G65" s="233" t="n"/>
      <c r="H65" s="233" t="n"/>
      <c r="I65" s="235" t="n"/>
    </row>
    <row r="66" ht="24" customHeight="1">
      <c r="A66" s="207" t="inlineStr">
        <is>
          <t>Installation of Sprinklers on the irrigation Mains is ongoing</t>
        </is>
      </c>
      <c r="B66" s="233" t="n"/>
      <c r="C66" s="233" t="n"/>
      <c r="D66" s="233" t="n"/>
      <c r="E66" s="233" t="n"/>
      <c r="F66" s="233" t="n"/>
      <c r="G66" s="233" t="n"/>
      <c r="H66" s="233" t="n"/>
      <c r="I66" s="235" t="n"/>
    </row>
    <row r="67" ht="24" customHeight="1">
      <c r="A67" s="207" t="inlineStr">
        <is>
          <t>Erection of 3 light poles completed</t>
        </is>
      </c>
      <c r="B67" s="233" t="n"/>
      <c r="C67" s="233" t="n"/>
      <c r="D67" s="233" t="n"/>
      <c r="E67" s="233" t="n"/>
      <c r="F67" s="233" t="n"/>
      <c r="G67" s="233" t="n"/>
      <c r="H67" s="233" t="n"/>
      <c r="I67" s="235" t="n"/>
    </row>
    <row r="68" ht="26.25" customHeight="1">
      <c r="A68" s="148" t="inlineStr">
        <is>
          <t>Photos</t>
        </is>
      </c>
      <c r="B68" s="236" t="n"/>
      <c r="C68" s="236" t="n"/>
      <c r="D68" s="236" t="n"/>
      <c r="E68" s="236" t="n"/>
      <c r="F68" s="236" t="n"/>
      <c r="G68" s="236" t="n"/>
      <c r="H68" s="236" t="n"/>
      <c r="I68" s="237"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94" t="n"/>
      <c r="B74" s="95" t="n"/>
      <c r="C74" s="95" t="n"/>
      <c r="D74" s="95" t="n"/>
      <c r="E74" s="95" t="n"/>
      <c r="F74" s="95" t="n"/>
      <c r="G74" s="95" t="n"/>
      <c r="H74" s="95" t="n"/>
      <c r="I74" s="96" t="n"/>
    </row>
    <row r="75" ht="23.25" customHeight="1">
      <c r="A75" s="10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15" customHeight="1">
      <c r="A96" s="94" t="n"/>
      <c r="B96" s="95" t="n"/>
      <c r="C96" s="95" t="n"/>
      <c r="D96" s="95" t="n"/>
      <c r="E96" s="95" t="n"/>
      <c r="F96" s="95" t="n"/>
      <c r="G96" s="95" t="n"/>
      <c r="H96" s="95" t="n"/>
      <c r="I96" s="96" t="n"/>
    </row>
    <row r="97" ht="25" customFormat="1" customHeight="1" s="97">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thickBot="1">
      <c r="A103" s="98" t="n"/>
      <c r="B103" s="99" t="n"/>
      <c r="C103" s="99" t="n"/>
      <c r="D103" s="99" t="n"/>
      <c r="E103" s="99" t="n"/>
      <c r="F103" s="99" t="n"/>
      <c r="G103" s="99" t="n"/>
      <c r="H103" s="99" t="n"/>
      <c r="I103" s="100"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15" customHeight="1">
      <c r="A120" s="94" t="n"/>
      <c r="B120" s="95" t="n"/>
      <c r="C120" s="95" t="n"/>
      <c r="D120" s="95" t="n"/>
      <c r="E120" s="95" t="n"/>
      <c r="F120" s="95" t="n"/>
      <c r="G120" s="95" t="n"/>
      <c r="H120" s="95" t="n"/>
      <c r="I120" s="96" t="n"/>
    </row>
    <row r="121" ht="2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15" customHeight="1">
      <c r="A123" s="94" t="n"/>
      <c r="B123" s="95" t="n"/>
      <c r="C123" s="95" t="n"/>
      <c r="D123" s="95" t="n"/>
      <c r="E123" s="95" t="n"/>
      <c r="F123" s="95" t="n"/>
      <c r="G123" s="95" t="n"/>
      <c r="H123" s="95" t="n"/>
      <c r="I123" s="96" t="n"/>
    </row>
    <row r="124" ht="28"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5" customHeight="1">
      <c r="A143" s="94" t="n"/>
      <c r="B143" s="95" t="n"/>
      <c r="C143" s="95" t="n"/>
      <c r="D143" s="95" t="n"/>
      <c r="E143" s="95" t="n"/>
      <c r="F143" s="95" t="n"/>
      <c r="G143" s="95" t="n"/>
      <c r="H143" s="95" t="n"/>
      <c r="I143" s="96" t="n"/>
    </row>
    <row r="144" ht="16" customHeight="1">
      <c r="A144" s="94" t="n"/>
      <c r="B144" s="95" t="n"/>
      <c r="C144" s="95" t="n"/>
      <c r="D144" s="95" t="n"/>
      <c r="E144" s="95" t="n"/>
      <c r="F144" s="95" t="n"/>
      <c r="G144" s="95" t="n"/>
      <c r="H144" s="95" t="n"/>
      <c r="I144" s="96" t="n"/>
    </row>
    <row r="145" ht="56.25" customHeight="1">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row>
    <row r="150">
      <c r="A150" s="94" t="n"/>
      <c r="B150" s="95" t="n"/>
      <c r="C150" s="95" t="n"/>
      <c r="D150" s="95" t="n"/>
      <c r="E150" s="95" t="n"/>
      <c r="F150" s="95" t="n"/>
      <c r="G150" s="95" t="n"/>
      <c r="H150" s="95" t="n"/>
      <c r="I150" s="96" t="n"/>
      <c r="J150" s="95" t="n"/>
      <c r="K150" s="95" t="n"/>
      <c r="L150" s="95"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row>
    <row r="171">
      <c r="A171" s="94" t="n"/>
      <c r="B171" s="95" t="n"/>
      <c r="C171" s="95" t="n"/>
      <c r="D171" s="95" t="n"/>
      <c r="E171" s="95" t="n"/>
      <c r="F171" s="95" t="n"/>
      <c r="G171" s="95" t="n"/>
      <c r="H171" s="95" t="n"/>
      <c r="I171" s="96" t="n"/>
      <c r="J171" s="95" t="n"/>
      <c r="K171" s="95" t="n"/>
      <c r="L171" s="95" t="n"/>
      <c r="M171" s="95" t="n"/>
      <c r="N171" s="95" t="n"/>
    </row>
    <row r="172">
      <c r="A172" s="94" t="n"/>
      <c r="B172" s="95" t="n"/>
      <c r="C172" s="95" t="n"/>
      <c r="D172" s="95" t="n"/>
      <c r="E172" s="95" t="n"/>
      <c r="F172" s="95" t="n"/>
      <c r="G172" s="95" t="n"/>
      <c r="H172" s="95" t="n"/>
      <c r="I172" s="96" t="n"/>
      <c r="J172" s="95" t="n"/>
      <c r="K172" s="95" t="n"/>
      <c r="L172" s="95" t="n"/>
      <c r="M172" s="95" t="n"/>
      <c r="N172" s="95" t="n"/>
    </row>
    <row r="173">
      <c r="A173" s="94" t="n"/>
      <c r="B173" s="95" t="n"/>
      <c r="C173" s="95" t="n"/>
      <c r="D173" s="95" t="n"/>
      <c r="E173" s="95" t="n"/>
      <c r="F173" s="95" t="n"/>
      <c r="G173" s="95" t="n"/>
      <c r="H173" s="95" t="n"/>
      <c r="I173" s="96" t="n"/>
      <c r="J173" s="95" t="n"/>
      <c r="K173" s="95" t="n"/>
      <c r="L173" s="95" t="n"/>
      <c r="M173" s="95" t="n"/>
      <c r="N173" s="95" t="n"/>
    </row>
    <row r="174">
      <c r="A174" s="94" t="n"/>
      <c r="B174" s="95" t="n"/>
      <c r="C174" s="95" t="n"/>
      <c r="D174" s="95" t="n"/>
      <c r="E174" s="95" t="n"/>
      <c r="F174" s="95" t="n"/>
      <c r="G174" s="95" t="n"/>
      <c r="H174" s="95" t="n"/>
      <c r="I174" s="96" t="n"/>
      <c r="J174" s="95" t="n"/>
      <c r="K174" s="95" t="n"/>
      <c r="L174" s="95" t="n"/>
      <c r="M174" s="95" t="n"/>
      <c r="N174" s="95" t="n"/>
    </row>
    <row r="175">
      <c r="A175" s="94" t="n"/>
      <c r="B175" s="95" t="n"/>
      <c r="C175" s="95" t="n"/>
      <c r="D175" s="95" t="n"/>
      <c r="E175" s="95" t="n"/>
      <c r="F175" s="95" t="n"/>
      <c r="G175" s="95" t="n"/>
      <c r="H175" s="95" t="n"/>
      <c r="I175" s="96" t="n"/>
      <c r="J175" s="95" t="n"/>
      <c r="K175" s="95" t="n"/>
      <c r="L175" s="95" t="n"/>
      <c r="M175" s="95" t="n"/>
      <c r="N175" s="95" t="n"/>
    </row>
    <row r="176">
      <c r="A176" s="94" t="n"/>
      <c r="B176" s="95" t="n"/>
      <c r="C176" s="95" t="n"/>
      <c r="D176" s="95" t="n"/>
      <c r="E176" s="95" t="n"/>
      <c r="F176" s="95" t="n"/>
      <c r="G176" s="95" t="n"/>
      <c r="H176" s="95" t="n"/>
      <c r="I176" s="96" t="n"/>
      <c r="J176" s="95" t="n"/>
      <c r="K176" s="95" t="n"/>
      <c r="L176" s="95" t="n"/>
      <c r="M176" s="95" t="n"/>
      <c r="N176" s="95" t="n"/>
    </row>
    <row r="177">
      <c r="A177" s="94" t="n"/>
      <c r="B177" s="95" t="n"/>
      <c r="C177" s="95" t="n"/>
      <c r="D177" s="95" t="n"/>
      <c r="E177" s="95" t="n"/>
      <c r="F177" s="95" t="n"/>
      <c r="G177" s="95" t="n"/>
      <c r="H177" s="95" t="n"/>
      <c r="I177" s="96" t="n"/>
      <c r="J177" s="95" t="n"/>
      <c r="K177" s="95" t="n"/>
      <c r="L177" s="95" t="n"/>
      <c r="M177" s="95" t="n"/>
      <c r="N177" s="95" t="n"/>
    </row>
    <row r="178">
      <c r="A178" s="94" t="n"/>
      <c r="B178" s="95" t="n"/>
      <c r="C178" s="95" t="n"/>
      <c r="D178" s="95" t="n"/>
      <c r="E178" s="95" t="n"/>
      <c r="F178" s="95" t="n"/>
      <c r="G178" s="95" t="n"/>
      <c r="H178" s="95" t="n"/>
      <c r="I178" s="96" t="n"/>
      <c r="J178" s="95" t="n"/>
      <c r="K178" s="95" t="n"/>
      <c r="L178" s="95" t="n"/>
      <c r="M178" s="95" t="n"/>
      <c r="N178" s="95" t="n"/>
    </row>
    <row r="179">
      <c r="A179" s="94" t="n"/>
      <c r="B179" s="95" t="n"/>
      <c r="C179" s="95" t="n"/>
      <c r="D179" s="95" t="n"/>
      <c r="E179" s="95" t="n"/>
      <c r="F179" s="95" t="n"/>
      <c r="G179" s="95" t="n"/>
      <c r="H179" s="95" t="n"/>
      <c r="I179" s="96" t="n"/>
      <c r="J179" s="95" t="n"/>
      <c r="K179" s="95" t="n"/>
      <c r="L179" s="95" t="n"/>
      <c r="M179" s="95" t="n"/>
      <c r="N179" s="95" t="n"/>
    </row>
    <row r="180">
      <c r="A180" s="94" t="n"/>
      <c r="B180" s="95" t="n"/>
      <c r="C180" s="95" t="n"/>
      <c r="D180" s="95" t="n"/>
      <c r="E180" s="95" t="n"/>
      <c r="F180" s="95" t="n"/>
      <c r="G180" s="95" t="n"/>
      <c r="H180" s="95" t="n"/>
      <c r="I180" s="96" t="n"/>
      <c r="J180" s="95" t="n"/>
      <c r="K180" s="95" t="n"/>
      <c r="L180" s="95" t="n"/>
      <c r="M180" s="95" t="n"/>
      <c r="N180" s="95" t="n"/>
    </row>
    <row r="181">
      <c r="A181" s="94" t="n"/>
      <c r="B181" s="95" t="n"/>
      <c r="C181" s="95" t="n"/>
      <c r="D181" s="95" t="n"/>
      <c r="E181" s="95" t="n"/>
      <c r="F181" s="95" t="n"/>
      <c r="G181" s="95" t="n"/>
      <c r="H181" s="95" t="n"/>
      <c r="I181" s="96" t="n"/>
      <c r="J181" s="95" t="n"/>
      <c r="K181" s="95" t="n"/>
      <c r="L181" s="95" t="n"/>
      <c r="M181" s="95" t="n"/>
      <c r="N181" s="95" t="n"/>
    </row>
    <row r="182">
      <c r="A182" s="94" t="n"/>
      <c r="B182" s="95" t="n"/>
      <c r="C182" s="95" t="n"/>
      <c r="D182" s="95" t="n"/>
      <c r="E182" s="95" t="n"/>
      <c r="F182" s="95" t="n"/>
      <c r="G182" s="95" t="n"/>
      <c r="H182" s="95" t="n"/>
      <c r="I182" s="96" t="n"/>
      <c r="J182" s="95" t="n"/>
      <c r="K182" s="95" t="n"/>
      <c r="L182" s="95" t="n"/>
      <c r="M182" s="95" t="n"/>
      <c r="N182" s="95" t="n"/>
    </row>
    <row r="183">
      <c r="A183" s="94" t="n"/>
      <c r="B183" s="95" t="n"/>
      <c r="C183" s="95" t="n"/>
      <c r="D183" s="95" t="n"/>
      <c r="E183" s="95" t="n"/>
      <c r="F183" s="95" t="n"/>
      <c r="G183" s="95" t="n"/>
      <c r="H183" s="95" t="n"/>
      <c r="I183" s="96" t="n"/>
      <c r="J183" s="95" t="n"/>
      <c r="K183" s="95" t="n"/>
      <c r="L183" s="95" t="n"/>
      <c r="M183" s="95" t="n"/>
      <c r="N183" s="95" t="n"/>
    </row>
    <row r="184">
      <c r="A184" s="94" t="n"/>
      <c r="B184" s="95" t="n"/>
      <c r="C184" s="95" t="n"/>
      <c r="D184" s="95" t="n"/>
      <c r="E184" s="95" t="n"/>
      <c r="F184" s="95" t="n"/>
      <c r="G184" s="95" t="n"/>
      <c r="H184" s="95" t="n"/>
      <c r="I184" s="96" t="n"/>
      <c r="J184" s="95" t="n"/>
      <c r="K184" s="95" t="n"/>
      <c r="L184" s="95" t="n"/>
      <c r="M184" s="95" t="n"/>
      <c r="N184" s="95" t="n"/>
    </row>
    <row r="185">
      <c r="A185" s="94" t="n"/>
      <c r="B185" s="95" t="n"/>
      <c r="C185" s="95" t="n"/>
      <c r="D185" s="95" t="n"/>
      <c r="E185" s="95" t="n"/>
      <c r="F185" s="95" t="n"/>
      <c r="G185" s="95" t="n"/>
      <c r="H185" s="95" t="n"/>
      <c r="I185" s="96" t="n"/>
      <c r="J185" s="95" t="n"/>
      <c r="K185" s="95" t="n"/>
      <c r="L185" s="95" t="n"/>
      <c r="M185" s="95" t="n"/>
      <c r="N185" s="95" t="n"/>
    </row>
    <row r="186">
      <c r="A186" s="94" t="n"/>
      <c r="B186" s="95" t="n"/>
      <c r="C186" s="95" t="n"/>
      <c r="D186" s="95" t="n"/>
      <c r="E186" s="95" t="n"/>
      <c r="F186" s="95" t="n"/>
      <c r="G186" s="95" t="n"/>
      <c r="H186" s="95" t="n"/>
      <c r="I186" s="96" t="n"/>
      <c r="J186" s="95" t="n"/>
      <c r="K186" s="95" t="n"/>
      <c r="L186" s="95" t="n"/>
      <c r="M186" s="95" t="n"/>
      <c r="N186" s="95" t="n"/>
    </row>
    <row r="187">
      <c r="A187" s="94" t="n"/>
      <c r="B187" s="95" t="n"/>
      <c r="C187" s="95" t="n"/>
      <c r="D187" s="95" t="n"/>
      <c r="E187" s="95" t="n"/>
      <c r="F187" s="95" t="n"/>
      <c r="G187" s="95" t="n"/>
      <c r="H187" s="95" t="n"/>
      <c r="I187" s="96" t="n"/>
      <c r="J187" s="95" t="n"/>
      <c r="K187" s="95" t="n"/>
      <c r="L187" s="95" t="n"/>
      <c r="M187" s="95" t="n"/>
      <c r="N187" s="95" t="n"/>
    </row>
    <row r="188">
      <c r="A188" s="94" t="n"/>
      <c r="B188" s="95" t="n"/>
      <c r="C188" s="95" t="n"/>
      <c r="D188" s="95" t="n"/>
      <c r="E188" s="95" t="n"/>
      <c r="F188" s="95" t="n"/>
      <c r="G188" s="95" t="n"/>
      <c r="H188" s="95" t="n"/>
      <c r="I188" s="96" t="n"/>
      <c r="J188" s="95" t="n"/>
      <c r="K188" s="95" t="n"/>
      <c r="L188" s="95" t="n"/>
      <c r="M188" s="95" t="n"/>
      <c r="N188" s="95" t="n"/>
    </row>
    <row r="189">
      <c r="A189" s="94" t="n"/>
      <c r="B189" s="95" t="n"/>
      <c r="C189" s="95" t="n"/>
      <c r="D189" s="95" t="n"/>
      <c r="E189" s="95" t="n"/>
      <c r="F189" s="95" t="n"/>
      <c r="G189" s="95" t="n"/>
      <c r="H189" s="95" t="n"/>
      <c r="I189" s="96" t="n"/>
      <c r="J189" s="95" t="n"/>
      <c r="K189" s="95" t="n"/>
      <c r="L189" s="95" t="n"/>
      <c r="M189" s="95" t="n"/>
      <c r="N189" s="95" t="n"/>
    </row>
    <row r="190">
      <c r="A190" s="94" t="n"/>
      <c r="B190" s="95" t="n"/>
      <c r="C190" s="95" t="n"/>
      <c r="D190" s="95" t="n"/>
      <c r="E190" s="95" t="n"/>
      <c r="F190" s="95" t="n"/>
      <c r="G190" s="95" t="n"/>
      <c r="H190" s="95" t="n"/>
      <c r="I190" s="96" t="n"/>
      <c r="J190" s="95" t="n"/>
      <c r="K190" s="95" t="n"/>
      <c r="L190" s="95" t="n"/>
      <c r="M190" s="95" t="n"/>
      <c r="N190" s="95" t="n"/>
    </row>
    <row r="191">
      <c r="A191" s="94" t="n"/>
      <c r="B191" s="95" t="n"/>
      <c r="C191" s="95" t="n"/>
      <c r="D191" s="95" t="n"/>
      <c r="E191" s="95" t="n"/>
      <c r="F191" s="95" t="n"/>
      <c r="G191" s="95" t="n"/>
      <c r="H191" s="95" t="n"/>
      <c r="I191" s="96" t="n"/>
      <c r="J191" s="95" t="n"/>
      <c r="K191" s="95" t="n"/>
      <c r="L191" s="95" t="n"/>
      <c r="M191" s="95" t="n"/>
      <c r="N191" s="95" t="n"/>
    </row>
    <row r="192">
      <c r="A192" s="94" t="n"/>
      <c r="B192" s="95" t="n"/>
      <c r="C192" s="95" t="n"/>
      <c r="D192" s="95" t="n"/>
      <c r="E192" s="95" t="n"/>
      <c r="F192" s="95" t="n"/>
      <c r="G192" s="95" t="n"/>
      <c r="H192" s="95" t="n"/>
      <c r="I192" s="96" t="n"/>
      <c r="J192" s="95" t="n"/>
      <c r="K192" s="95" t="n"/>
      <c r="L192" s="95" t="n"/>
      <c r="M192" s="95" t="n"/>
      <c r="N192" s="95" t="n"/>
    </row>
    <row r="193">
      <c r="A193" s="94" t="n"/>
      <c r="B193" s="95" t="n"/>
      <c r="C193" s="95" t="n"/>
      <c r="D193" s="95" t="n"/>
      <c r="E193" s="95" t="n"/>
      <c r="F193" s="95" t="n"/>
      <c r="G193" s="95" t="n"/>
      <c r="H193" s="95" t="n"/>
      <c r="I193" s="96" t="n"/>
      <c r="J193" s="95" t="n"/>
      <c r="K193" s="95" t="n"/>
      <c r="L193" s="95" t="n"/>
      <c r="M193" s="95" t="n"/>
      <c r="N193" s="95" t="n"/>
    </row>
    <row r="194">
      <c r="A194" s="94" t="n"/>
      <c r="B194" s="95" t="n"/>
      <c r="C194" s="95" t="n"/>
      <c r="D194" s="95" t="n"/>
      <c r="E194" s="95" t="n"/>
      <c r="F194" s="95" t="n"/>
      <c r="G194" s="95" t="n"/>
      <c r="H194" s="95" t="n"/>
      <c r="I194" s="96" t="n"/>
      <c r="J194" s="95" t="n"/>
      <c r="K194" s="95" t="n"/>
      <c r="L194" s="95" t="n"/>
      <c r="M194" s="95" t="n"/>
      <c r="N194" s="95" t="n"/>
    </row>
    <row r="195">
      <c r="A195" s="94" t="n"/>
      <c r="B195" s="95" t="n"/>
      <c r="C195" s="95" t="n"/>
      <c r="D195" s="95" t="n"/>
      <c r="E195" s="95" t="n"/>
      <c r="F195" s="95" t="n"/>
      <c r="G195" s="95" t="n"/>
      <c r="H195" s="95" t="n"/>
      <c r="I195" s="96" t="n"/>
      <c r="J195" s="95" t="n"/>
      <c r="K195" s="95" t="n"/>
      <c r="L195" s="95" t="n"/>
      <c r="M195" s="95" t="n"/>
      <c r="N195" s="95" t="n"/>
    </row>
    <row r="196">
      <c r="A196" s="94" t="n"/>
      <c r="B196" s="95" t="n"/>
      <c r="C196" s="95" t="n"/>
      <c r="D196" s="95" t="n"/>
      <c r="E196" s="95" t="n"/>
      <c r="F196" s="95" t="n"/>
      <c r="G196" s="95" t="n"/>
      <c r="H196" s="95" t="n"/>
      <c r="I196" s="96" t="n"/>
      <c r="J196" s="95" t="n"/>
      <c r="K196" s="95" t="n"/>
      <c r="L196" s="95" t="n"/>
      <c r="M196" s="95" t="n"/>
      <c r="N196" s="95" t="n"/>
    </row>
    <row r="197">
      <c r="A197" s="94" t="n"/>
      <c r="B197" s="95" t="n"/>
      <c r="C197" s="95" t="n"/>
      <c r="D197" s="95" t="n"/>
      <c r="E197" s="95" t="n"/>
      <c r="F197" s="95" t="n"/>
      <c r="G197" s="95" t="n"/>
      <c r="H197" s="95" t="n"/>
      <c r="I197" s="96" t="n"/>
      <c r="J197" s="95" t="n"/>
      <c r="K197" s="95" t="n"/>
      <c r="L197" s="95" t="n"/>
      <c r="M197" s="95" t="n"/>
      <c r="N197" s="95" t="n"/>
    </row>
    <row r="198" ht="16" customHeight="1">
      <c r="A198" s="94" t="n"/>
      <c r="B198" s="95" t="n"/>
      <c r="C198" s="95" t="n"/>
      <c r="D198" s="95" t="n"/>
      <c r="E198" s="95" t="n"/>
      <c r="F198" s="95" t="n"/>
      <c r="G198" s="95" t="n"/>
      <c r="H198" s="95" t="n"/>
      <c r="I198" s="96" t="n"/>
      <c r="J198" s="95" t="n"/>
      <c r="K198" s="95" t="n"/>
      <c r="L198" s="95" t="n"/>
      <c r="M198" s="95" t="n"/>
      <c r="N198" s="95" t="n"/>
    </row>
    <row r="199">
      <c r="A199" s="94" t="n"/>
      <c r="B199" s="95" t="n"/>
      <c r="C199" s="95" t="n"/>
      <c r="D199" s="95" t="n"/>
      <c r="E199" s="95" t="n"/>
      <c r="F199" s="95" t="n"/>
      <c r="G199" s="95" t="n"/>
      <c r="H199" s="95" t="n"/>
      <c r="I199" s="96" t="n"/>
    </row>
    <row r="200">
      <c r="A200" s="94" t="n"/>
      <c r="B200" s="95" t="n"/>
      <c r="C200" s="95" t="n"/>
      <c r="D200" s="95" t="n"/>
      <c r="E200" s="95" t="n"/>
      <c r="F200" s="95" t="n"/>
      <c r="G200" s="95" t="n"/>
      <c r="H200" s="95" t="n"/>
      <c r="I200" s="96" t="n"/>
    </row>
    <row r="201">
      <c r="A201" s="94" t="n"/>
      <c r="B201" s="95" t="n"/>
      <c r="C201" s="95" t="n"/>
      <c r="D201" s="95" t="n"/>
      <c r="E201" s="95" t="n"/>
      <c r="F201" s="95" t="n"/>
      <c r="G201" s="95" t="n"/>
      <c r="H201" s="95" t="n"/>
      <c r="I201" s="96" t="n"/>
    </row>
    <row r="202">
      <c r="A202" s="95" t="n"/>
      <c r="B202" s="95" t="n"/>
      <c r="C202" s="95" t="n"/>
      <c r="D202" s="95" t="n"/>
      <c r="E202" s="95" t="n"/>
      <c r="F202" s="95" t="n"/>
      <c r="G202" s="95" t="n"/>
      <c r="H202" s="95" t="n"/>
      <c r="I202" s="95" t="n"/>
      <c r="J202" s="95" t="n"/>
      <c r="K202" s="95" t="n"/>
      <c r="L202" s="95" t="n"/>
    </row>
    <row r="203" ht="19" customHeight="1" thickBot="1">
      <c r="A203" s="99" t="n"/>
      <c r="B203" s="99" t="n"/>
      <c r="C203" s="99" t="n"/>
      <c r="D203" s="99" t="n"/>
      <c r="E203" s="99" t="n"/>
      <c r="F203" s="99" t="n"/>
      <c r="G203" s="99" t="n"/>
      <c r="H203" s="99" t="n"/>
      <c r="I203" s="99" t="n"/>
      <c r="J203" s="95" t="n"/>
      <c r="K203" s="95" t="n"/>
      <c r="L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5" t="n"/>
      <c r="B207" s="95" t="n"/>
      <c r="C207" s="95" t="n"/>
      <c r="D207" s="95" t="n"/>
      <c r="E207" s="95" t="n"/>
      <c r="F207" s="95" t="n"/>
      <c r="G207" s="95" t="n"/>
      <c r="H207" s="95" t="n"/>
      <c r="I207" s="95" t="n"/>
      <c r="J207" s="95" t="n"/>
      <c r="K207" s="95" t="n"/>
      <c r="L207" s="95" t="n"/>
    </row>
    <row r="208">
      <c r="A208" s="95" t="n"/>
      <c r="B208" s="95" t="n"/>
      <c r="C208" s="95" t="n"/>
      <c r="D208" s="95" t="n"/>
      <c r="E208" s="95" t="n"/>
      <c r="F208" s="95" t="n"/>
      <c r="G208" s="95" t="n"/>
      <c r="H208" s="95" t="n"/>
      <c r="I208" s="95" t="n"/>
      <c r="J208" s="95" t="n"/>
      <c r="K208" s="95" t="n"/>
      <c r="L208" s="95" t="n"/>
    </row>
    <row r="209">
      <c r="A209" s="94" t="n"/>
      <c r="B209" s="95" t="n"/>
      <c r="C209" s="95" t="n"/>
      <c r="D209" s="95" t="n"/>
      <c r="E209" s="95" t="n"/>
      <c r="F209" s="95" t="n"/>
      <c r="G209" s="95" t="n"/>
      <c r="H209" s="95" t="n"/>
      <c r="I209" s="95" t="n"/>
      <c r="J209" s="95" t="n"/>
      <c r="K209" s="95" t="n"/>
      <c r="L209" s="95" t="n"/>
    </row>
    <row r="210">
      <c r="A210" s="94"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A218" s="94" t="n"/>
      <c r="B218" s="95" t="n"/>
      <c r="C218" s="95" t="n"/>
      <c r="D218" s="95" t="n"/>
      <c r="E218" s="95" t="n"/>
      <c r="F218" s="95" t="n"/>
      <c r="G218" s="95" t="n"/>
      <c r="H218" s="95" t="n"/>
      <c r="I218" s="95" t="n"/>
      <c r="J218" s="95" t="n"/>
      <c r="K218" s="95" t="n"/>
      <c r="L218" s="95" t="n"/>
    </row>
    <row r="219">
      <c r="A219" s="94" t="n"/>
      <c r="B219" s="95" t="n"/>
      <c r="C219" s="95" t="n"/>
      <c r="D219" s="95" t="n"/>
      <c r="E219" s="95" t="n"/>
      <c r="F219" s="95" t="n"/>
      <c r="G219" s="95" t="n"/>
      <c r="H219" s="95" t="n"/>
      <c r="I219" s="95" t="n"/>
      <c r="J219" s="95" t="n"/>
      <c r="K219" s="95" t="n"/>
      <c r="L219" s="95" t="n"/>
    </row>
    <row r="220">
      <c r="G220" s="95" t="n"/>
      <c r="H220" s="95" t="n"/>
      <c r="I220" s="95" t="n"/>
      <c r="J220" s="95" t="n"/>
      <c r="K220" s="95" t="n"/>
      <c r="L220" s="95" t="n"/>
    </row>
    <row r="221">
      <c r="G221" s="95" t="n"/>
      <c r="H221" s="95" t="n"/>
      <c r="I221" s="95" t="n"/>
      <c r="J221" s="95" t="n"/>
      <c r="K221" s="95" t="n"/>
      <c r="L221" s="95" t="n"/>
    </row>
    <row r="222">
      <c r="G222" s="95" t="n"/>
      <c r="H222" s="95" t="n"/>
      <c r="I222" s="95" t="n"/>
      <c r="J222" s="95" t="n"/>
      <c r="K222" s="95" t="n"/>
      <c r="L222" s="95" t="n"/>
    </row>
  </sheetData>
  <mergeCells count="44">
    <mergeCell ref="A65:I65"/>
    <mergeCell ref="D13:F13"/>
    <mergeCell ref="G13:I13"/>
    <mergeCell ref="B8:D8"/>
    <mergeCell ref="D41:I41"/>
    <mergeCell ref="A66:I66"/>
    <mergeCell ref="A12:I12"/>
    <mergeCell ref="C57:I57"/>
    <mergeCell ref="B39:C39"/>
    <mergeCell ref="B52:I52"/>
    <mergeCell ref="B48:I48"/>
    <mergeCell ref="A47:I47"/>
    <mergeCell ref="A5:I5"/>
    <mergeCell ref="B9:D9"/>
    <mergeCell ref="A53:I53"/>
    <mergeCell ref="A62:I62"/>
    <mergeCell ref="B6:D6"/>
    <mergeCell ref="D39:I39"/>
    <mergeCell ref="A43:I43"/>
    <mergeCell ref="A13:C13"/>
    <mergeCell ref="D42:I42"/>
    <mergeCell ref="A68:I68"/>
    <mergeCell ref="A63:I63"/>
    <mergeCell ref="A10:I10"/>
    <mergeCell ref="A1:I4"/>
    <mergeCell ref="A42:B42"/>
    <mergeCell ref="A67:I67"/>
    <mergeCell ref="A44:I46"/>
    <mergeCell ref="C54:I54"/>
    <mergeCell ref="B40:C40"/>
    <mergeCell ref="A58:I58"/>
    <mergeCell ref="B7:D7"/>
    <mergeCell ref="B49:I49"/>
    <mergeCell ref="C55:I55"/>
    <mergeCell ref="A64:I64"/>
    <mergeCell ref="A59:I59"/>
    <mergeCell ref="A11:I11"/>
    <mergeCell ref="A60:I60"/>
    <mergeCell ref="C56:I56"/>
    <mergeCell ref="D40:I40"/>
    <mergeCell ref="B51:I51"/>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103" min="0" max="8" man="1"/>
  </rowBreaks>
</worksheet>
</file>

<file path=xl/worksheets/sheet10.xml><?xml version="1.0" encoding="utf-8"?>
<worksheet xmlns="http://schemas.openxmlformats.org/spreadsheetml/2006/main">
  <sheetPr>
    <outlinePr summaryBelow="1" summaryRight="1"/>
    <pageSetUpPr fitToPage="1"/>
  </sheetPr>
  <dimension ref="A1:N222"/>
  <sheetViews>
    <sheetView view="pageBreakPreview" zoomScale="60" zoomScaleNormal="55" workbookViewId="0">
      <selection activeCell="D16" sqref="D16"/>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45973</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18-330C,  Wind:  35 km/h SSE, Precip: 0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v>10</v>
      </c>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v>5</v>
      </c>
    </row>
    <row r="17" ht="23.25" customHeight="1">
      <c r="A17" s="24" t="inlineStr">
        <is>
          <t>O"SHEA, John</t>
        </is>
      </c>
      <c r="B17" s="25" t="inlineStr">
        <is>
          <t>Senior Project Engineer</t>
        </is>
      </c>
      <c r="C17" s="26" t="n">
        <v>12</v>
      </c>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v>10</v>
      </c>
      <c r="D18" s="31" t="n"/>
      <c r="E18" s="32" t="n"/>
      <c r="F18" s="28" t="n"/>
      <c r="G18" s="29" t="inlineStr">
        <is>
          <t>Griffiths, Jaquai</t>
        </is>
      </c>
      <c r="H18" s="25" t="inlineStr">
        <is>
          <t>Operator</t>
        </is>
      </c>
      <c r="I18" s="30" t="n">
        <v>10</v>
      </c>
    </row>
    <row r="19" ht="23.25" customHeight="1">
      <c r="A19" s="24" t="inlineStr">
        <is>
          <t>THOMPSON,Cheryl</t>
        </is>
      </c>
      <c r="B19" s="25" t="inlineStr">
        <is>
          <t>HSET</t>
        </is>
      </c>
      <c r="C19" s="26" t="n"/>
      <c r="D19" s="31" t="n"/>
      <c r="E19" s="32" t="n"/>
      <c r="F19" s="28" t="n"/>
      <c r="G19" s="29" t="inlineStr">
        <is>
          <t>McConnell, Adam</t>
        </is>
      </c>
      <c r="H19" s="25" t="inlineStr">
        <is>
          <t>Labourer</t>
        </is>
      </c>
      <c r="I19" s="30" t="n">
        <v>12</v>
      </c>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c r="D21" s="31" t="n"/>
      <c r="E21" s="32" t="n"/>
      <c r="F21" s="28" t="n"/>
      <c r="G21" s="29" t="inlineStr">
        <is>
          <t>Pavers</t>
        </is>
      </c>
      <c r="H21" s="25" t="inlineStr">
        <is>
          <t>Pavers</t>
        </is>
      </c>
      <c r="I21" s="30" t="n">
        <v>40</v>
      </c>
    </row>
    <row r="22" ht="23.25" customHeight="1">
      <c r="A22" s="24" t="inlineStr">
        <is>
          <t>JOGI, Amit</t>
        </is>
      </c>
      <c r="B22" s="25" t="inlineStr">
        <is>
          <t>Project Engineer</t>
        </is>
      </c>
      <c r="C22" s="26" t="n">
        <v>12</v>
      </c>
      <c r="D22" s="31" t="n"/>
      <c r="E22" s="32" t="n"/>
      <c r="F22" s="28" t="n"/>
      <c r="G22" s="29" t="inlineStr">
        <is>
          <t>Think Water</t>
        </is>
      </c>
      <c r="H22" s="25" t="inlineStr">
        <is>
          <t>Irrigation</t>
        </is>
      </c>
      <c r="I22" s="127" t="n">
        <v>10</v>
      </c>
    </row>
    <row r="23" ht="23.25" customHeight="1" thickBot="1">
      <c r="A23" s="130" t="n"/>
      <c r="B23" s="120" t="n"/>
      <c r="C23" s="121" t="n"/>
      <c r="D23" s="122" t="n"/>
      <c r="E23" s="123" t="n"/>
      <c r="F23" s="124" t="n"/>
      <c r="G23" s="125" t="n"/>
      <c r="H23" s="126" t="n"/>
      <c r="I23" s="128" t="n"/>
    </row>
    <row r="24" ht="23.25" customHeight="1" thickTop="1">
      <c r="A24" s="173" t="inlineStr">
        <is>
          <t xml:space="preserve">Total Indirect Personnel onsite: </t>
        </is>
      </c>
      <c r="B24" s="116">
        <f>COUNT(C15:C23)</f>
        <v/>
      </c>
      <c r="C24" s="117" t="n"/>
      <c r="D24" s="118" t="inlineStr">
        <is>
          <t xml:space="preserve">Total Direct Personnel onsite:  </t>
        </is>
      </c>
      <c r="E24" s="116">
        <f>COUNT(F15:F23)</f>
        <v/>
      </c>
      <c r="F24" s="21" t="n"/>
      <c r="G24" s="119" t="inlineStr">
        <is>
          <t>Total Subcontractor on-site:</t>
        </is>
      </c>
      <c r="H24" s="116">
        <f>COUNT(I15:I22)</f>
        <v/>
      </c>
      <c r="I24" s="23" t="n"/>
    </row>
    <row r="25" ht="23.25" customHeight="1">
      <c r="A25" s="48" t="inlineStr">
        <is>
          <t xml:space="preserve">Total Indirect Personnel hours: </t>
        </is>
      </c>
      <c r="B25" s="93">
        <f>SUM(C15:C22)</f>
        <v/>
      </c>
      <c r="C25" s="52" t="n"/>
      <c r="D25" s="50" t="inlineStr">
        <is>
          <t xml:space="preserve">Total Direct Personnel hours: </t>
        </is>
      </c>
      <c r="E25" s="93">
        <f>SUM(F15:F16)</f>
        <v/>
      </c>
      <c r="F25" s="53" t="n"/>
      <c r="G25" s="51" t="inlineStr">
        <is>
          <t>Total Subcontractor hours:</t>
        </is>
      </c>
      <c r="H25" s="93">
        <f>SUM(I11:I22)</f>
        <v/>
      </c>
      <c r="I25" s="200" t="n"/>
    </row>
    <row r="26" ht="25" customHeight="1">
      <c r="A26" s="56" t="inlineStr">
        <is>
          <t>PLANT &amp; EQUIPMENT</t>
        </is>
      </c>
      <c r="B26" s="57" t="n"/>
      <c r="C26" s="57" t="n"/>
      <c r="D26" s="57" t="n"/>
      <c r="E26" s="57" t="n"/>
      <c r="F26" s="57" t="n"/>
      <c r="G26" s="57" t="n"/>
      <c r="H26" s="57" t="n"/>
      <c r="I26" s="58" t="n"/>
    </row>
    <row r="27" ht="24" customHeight="1" thickBot="1">
      <c r="A27" s="59" t="inlineStr">
        <is>
          <t>Plant</t>
        </is>
      </c>
      <c r="B27" s="60" t="inlineStr">
        <is>
          <t>ID</t>
        </is>
      </c>
      <c r="C27" s="61" t="inlineStr">
        <is>
          <t>Hrs</t>
        </is>
      </c>
      <c r="D27" s="62" t="inlineStr">
        <is>
          <t xml:space="preserve"> Vehicles</t>
        </is>
      </c>
      <c r="E27" s="60" t="inlineStr">
        <is>
          <t>ID</t>
        </is>
      </c>
      <c r="F27" s="63" t="inlineStr">
        <is>
          <t>QTY</t>
        </is>
      </c>
      <c r="G27" s="64" t="inlineStr">
        <is>
          <t>Site Facilities</t>
        </is>
      </c>
      <c r="H27" s="65" t="inlineStr">
        <is>
          <t>ID</t>
        </is>
      </c>
      <c r="I27" s="66" t="inlineStr">
        <is>
          <t>Qty</t>
        </is>
      </c>
    </row>
    <row r="28" ht="23.25" customHeight="1" thickTop="1">
      <c r="A28" s="75" t="inlineStr">
        <is>
          <t>IT Loader</t>
        </is>
      </c>
      <c r="B28" s="72" t="inlineStr">
        <is>
          <t>LD011</t>
        </is>
      </c>
      <c r="C28" s="26" t="n">
        <v>4</v>
      </c>
      <c r="D28" s="67" t="inlineStr">
        <is>
          <t>Hilux</t>
        </is>
      </c>
      <c r="E28" s="68" t="inlineStr">
        <is>
          <t>DLV90</t>
        </is>
      </c>
      <c r="F28" s="69" t="n">
        <v>1</v>
      </c>
      <c r="G28" s="70" t="inlineStr">
        <is>
          <t>Office 40ft</t>
        </is>
      </c>
      <c r="H28" s="68" t="n">
        <v>9255540</v>
      </c>
      <c r="I28" s="23" t="n">
        <v>1</v>
      </c>
    </row>
    <row r="29" ht="23.25" customHeight="1">
      <c r="A29" s="24" t="inlineStr">
        <is>
          <t>Wacker Neuson DPU</t>
        </is>
      </c>
      <c r="B29" s="25" t="inlineStr">
        <is>
          <t>DPC15</t>
        </is>
      </c>
      <c r="C29" s="106" t="n"/>
      <c r="D29" s="71" t="inlineStr">
        <is>
          <t>Hilux</t>
        </is>
      </c>
      <c r="E29" s="72" t="inlineStr">
        <is>
          <t>1DLV04</t>
        </is>
      </c>
      <c r="F29" s="73" t="n">
        <v>1</v>
      </c>
      <c r="G29" s="74" t="inlineStr">
        <is>
          <t>Sea Container 20ft</t>
        </is>
      </c>
      <c r="H29" s="25" t="n">
        <v>951200</v>
      </c>
      <c r="I29" s="30" t="n">
        <v>1</v>
      </c>
    </row>
    <row r="30" ht="23.25" customHeight="1">
      <c r="A30" s="75" t="inlineStr">
        <is>
          <t>Watercart</t>
        </is>
      </c>
      <c r="B30" s="72" t="inlineStr">
        <is>
          <t>A119</t>
        </is>
      </c>
      <c r="C30" s="106" t="n">
        <v>8</v>
      </c>
      <c r="D30" s="71" t="n"/>
      <c r="E30" s="25" t="n"/>
      <c r="F30" s="73" t="n"/>
      <c r="G30" s="74" t="inlineStr">
        <is>
          <t>Site Sentry Tower</t>
        </is>
      </c>
      <c r="H30" s="72" t="inlineStr">
        <is>
          <t>NA</t>
        </is>
      </c>
      <c r="I30" s="30" t="n">
        <v>2</v>
      </c>
    </row>
    <row r="31" ht="23.25" customHeight="1">
      <c r="A31" s="75" t="inlineStr">
        <is>
          <t>8T Excavator</t>
        </is>
      </c>
      <c r="B31" s="76" t="inlineStr">
        <is>
          <t>AMG 014</t>
        </is>
      </c>
      <c r="C31" s="106" t="n">
        <v>3</v>
      </c>
      <c r="D31" s="71" t="n"/>
      <c r="E31" s="72" t="n"/>
      <c r="F31" s="73" t="n"/>
      <c r="G31" s="74" t="inlineStr">
        <is>
          <t>Skip Bin</t>
        </is>
      </c>
      <c r="H31" s="72" t="inlineStr">
        <is>
          <t>NA</t>
        </is>
      </c>
      <c r="I31" s="30" t="n">
        <v>1</v>
      </c>
    </row>
    <row r="32" ht="23.25" customHeight="1">
      <c r="A32" s="75" t="inlineStr">
        <is>
          <t>Mini Tipper</t>
        </is>
      </c>
      <c r="B32" s="72" t="inlineStr">
        <is>
          <t>SLS04</t>
        </is>
      </c>
      <c r="C32" s="26" t="n">
        <v>2</v>
      </c>
      <c r="D32" s="71" t="n"/>
      <c r="E32" s="72" t="n"/>
      <c r="F32" s="73" t="n"/>
      <c r="G32" s="74" t="inlineStr">
        <is>
          <t>Hydrocarbon Bund</t>
        </is>
      </c>
      <c r="H32" s="72" t="inlineStr">
        <is>
          <t>NA</t>
        </is>
      </c>
      <c r="I32" s="30" t="n">
        <v>1</v>
      </c>
    </row>
    <row r="33" ht="23.25" customHeight="1">
      <c r="A33" s="75" t="inlineStr">
        <is>
          <t>Skid Steer</t>
        </is>
      </c>
      <c r="B33" s="72" t="inlineStr">
        <is>
          <t>SLS03</t>
        </is>
      </c>
      <c r="C33" s="26" t="n">
        <v>4</v>
      </c>
      <c r="D33" s="71" t="n"/>
      <c r="E33" s="72" t="n"/>
      <c r="F33" s="73" t="n"/>
      <c r="G33" s="74" t="inlineStr">
        <is>
          <t>Temp Fence</t>
        </is>
      </c>
      <c r="H33" s="25" t="inlineStr">
        <is>
          <t>NA</t>
        </is>
      </c>
      <c r="I33" s="30" t="n">
        <v>1</v>
      </c>
    </row>
    <row r="34" ht="23.25" customHeight="1">
      <c r="A34" s="75" t="inlineStr">
        <is>
          <t>1t Excavator</t>
        </is>
      </c>
      <c r="B34" s="72" t="inlineStr">
        <is>
          <t>SLS02</t>
        </is>
      </c>
      <c r="C34" s="26" t="n">
        <v>1</v>
      </c>
      <c r="D34" s="71" t="n"/>
      <c r="E34" s="72" t="n"/>
      <c r="F34" s="73" t="n"/>
      <c r="G34" s="74" t="n"/>
      <c r="H34" s="25" t="n"/>
      <c r="I34" s="30" t="n"/>
    </row>
    <row r="35" ht="23.25" customHeight="1">
      <c r="A35" s="75" t="inlineStr">
        <is>
          <t>1t Excavator</t>
        </is>
      </c>
      <c r="B35" s="72" t="inlineStr">
        <is>
          <t>DEX30</t>
        </is>
      </c>
      <c r="C35" s="26" t="n">
        <v>2</v>
      </c>
      <c r="D35" s="71" t="n"/>
      <c r="E35" s="72" t="n"/>
      <c r="F35" s="73" t="n"/>
      <c r="G35" s="74" t="n"/>
      <c r="H35" s="25" t="n"/>
      <c r="I35" s="30" t="n"/>
    </row>
    <row r="36" ht="24" customHeight="1">
      <c r="A36" s="75" t="inlineStr">
        <is>
          <t>8T Excavator (Wheeled)</t>
        </is>
      </c>
      <c r="B36" s="72" t="inlineStr">
        <is>
          <t>BCC12</t>
        </is>
      </c>
      <c r="C36" s="26" t="n">
        <v>4</v>
      </c>
      <c r="D36" s="71" t="n"/>
      <c r="E36" s="72" t="n"/>
      <c r="F36" s="73" t="n"/>
      <c r="G36" s="77" t="n"/>
      <c r="H36" s="78" t="n"/>
      <c r="I36" s="79" t="n"/>
    </row>
    <row r="37" ht="24" customHeight="1">
      <c r="A37" s="75" t="inlineStr">
        <is>
          <t>14t Excavator with GPS</t>
        </is>
      </c>
      <c r="B37" s="72" t="inlineStr">
        <is>
          <t>EX197</t>
        </is>
      </c>
      <c r="C37" s="26" t="n"/>
      <c r="D37" s="71" t="n"/>
      <c r="E37" s="72" t="n"/>
      <c r="F37" s="73" t="n"/>
      <c r="G37" s="77" t="n"/>
      <c r="H37" s="78" t="n"/>
      <c r="I37" s="79" t="n"/>
    </row>
    <row r="38" ht="24" customHeight="1" thickBot="1">
      <c r="A38" s="75" t="inlineStr">
        <is>
          <t>Roller</t>
        </is>
      </c>
      <c r="B38" s="72" t="inlineStr">
        <is>
          <t>R538</t>
        </is>
      </c>
      <c r="C38" s="106" t="n"/>
      <c r="D38" s="71" t="n"/>
      <c r="E38" s="72" t="n"/>
      <c r="F38" s="73" t="n"/>
      <c r="G38" s="77" t="n"/>
      <c r="H38" s="78" t="n"/>
      <c r="I38" s="79" t="n"/>
    </row>
    <row r="39" ht="24" customHeight="1" thickTop="1">
      <c r="A39" s="85" t="n">
        <v>0</v>
      </c>
      <c r="B39" s="158" t="inlineStr">
        <is>
          <t xml:space="preserve">Repairs Required </t>
        </is>
      </c>
      <c r="C39" s="239" t="n"/>
      <c r="D39" s="160" t="inlineStr">
        <is>
          <t>NA</t>
        </is>
      </c>
      <c r="E39" s="240" t="n"/>
      <c r="F39" s="240" t="n"/>
      <c r="G39" s="240" t="n"/>
      <c r="H39" s="240" t="n"/>
      <c r="I39" s="241" t="n"/>
    </row>
    <row r="40" ht="24" customHeight="1">
      <c r="A40" s="86" t="n">
        <v>0</v>
      </c>
      <c r="B40" s="163" t="inlineStr">
        <is>
          <t>Scheduled Service</t>
        </is>
      </c>
      <c r="C40" s="234" t="n"/>
      <c r="D40" s="165" t="inlineStr">
        <is>
          <t>NA</t>
        </is>
      </c>
      <c r="E40" s="233" t="n"/>
      <c r="F40" s="233" t="n"/>
      <c r="G40" s="233" t="n"/>
      <c r="H40" s="233" t="n"/>
      <c r="I40" s="235" t="n"/>
    </row>
    <row r="41" ht="24" customHeight="1" thickBot="1">
      <c r="A41" s="87" t="n">
        <v>0</v>
      </c>
      <c r="B41" s="168" t="inlineStr">
        <is>
          <t>Repairs Required but Operable</t>
        </is>
      </c>
      <c r="C41" s="242" t="n"/>
      <c r="D41" s="170" t="inlineStr">
        <is>
          <t>NA</t>
        </is>
      </c>
      <c r="E41" s="243" t="n"/>
      <c r="F41" s="243" t="n"/>
      <c r="G41" s="243" t="n"/>
      <c r="H41" s="243" t="n"/>
      <c r="I41" s="244" t="n"/>
    </row>
    <row r="42" ht="23.25" customHeight="1" thickTop="1">
      <c r="A42" s="173" t="inlineStr">
        <is>
          <t xml:space="preserve">Total Plant and Equipment Hours: </t>
        </is>
      </c>
      <c r="B42" s="245" t="n"/>
      <c r="C42" s="88">
        <f>SUM(C28:C38)</f>
        <v/>
      </c>
      <c r="D42" s="175" t="n"/>
      <c r="E42" s="231" t="n"/>
      <c r="F42" s="231" t="n"/>
      <c r="G42" s="231" t="n"/>
      <c r="H42" s="231" t="n"/>
      <c r="I42" s="232" t="n"/>
    </row>
    <row r="43" ht="25" customHeight="1">
      <c r="A43" s="146" t="inlineStr">
        <is>
          <t>DELAYS-OPPORTUNITY</t>
        </is>
      </c>
      <c r="B43" s="233" t="n"/>
      <c r="C43" s="233" t="n"/>
      <c r="D43" s="233" t="n"/>
      <c r="E43" s="233" t="n"/>
      <c r="F43" s="233" t="n"/>
      <c r="G43" s="233" t="n"/>
      <c r="H43" s="233" t="n"/>
      <c r="I43" s="235" t="n"/>
    </row>
    <row r="44" ht="69" customHeight="1" thickBot="1">
      <c r="A44" s="215"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Vacuum truck used for light poles in locations indicating possible service interfaces. 
Issues around Watercorp Connection-Connection Date now 29/11/25 impacts to Kerbing, Paving and Concrete works, Watercorp have advised that bacteria testing and another pressure test is required
</t>
        </is>
      </c>
      <c r="B44" s="236" t="n"/>
      <c r="C44" s="236" t="n"/>
      <c r="D44" s="236" t="n"/>
      <c r="E44" s="236" t="n"/>
      <c r="F44" s="236" t="n"/>
      <c r="G44" s="236" t="n"/>
      <c r="H44" s="236" t="n"/>
      <c r="I44" s="237" t="n"/>
    </row>
    <row r="45" ht="14" customHeight="1">
      <c r="A45" s="228" t="n"/>
      <c r="I45" s="229" t="n"/>
    </row>
    <row r="46" ht="16.5" customHeight="1" thickBot="1">
      <c r="A46" s="246" t="n"/>
      <c r="B46" s="247" t="n"/>
      <c r="C46" s="247" t="n"/>
      <c r="D46" s="247" t="n"/>
      <c r="E46" s="247" t="n"/>
      <c r="F46" s="247" t="n"/>
      <c r="G46" s="247" t="n"/>
      <c r="H46" s="247" t="n"/>
      <c r="I46" s="248" t="n"/>
    </row>
    <row r="47" ht="25" customHeight="1">
      <c r="A47" s="185" t="inlineStr">
        <is>
          <t>HSEQ MESSAGES</t>
        </is>
      </c>
      <c r="B47" s="249" t="n"/>
      <c r="C47" s="249" t="n"/>
      <c r="D47" s="249" t="n"/>
      <c r="E47" s="249" t="n"/>
      <c r="F47" s="249" t="n"/>
      <c r="G47" s="249" t="n"/>
      <c r="H47" s="249" t="n"/>
      <c r="I47" s="250" t="n"/>
    </row>
    <row r="48" ht="24" customHeight="1">
      <c r="A48" s="89" t="inlineStr">
        <is>
          <t>TCD - Monthly Safety Focus:</t>
        </is>
      </c>
      <c r="B48" s="155" t="inlineStr">
        <is>
          <t>Cyclones &amp; Wet Weather</t>
        </is>
      </c>
      <c r="C48" s="233" t="n"/>
      <c r="D48" s="233" t="n"/>
      <c r="E48" s="233" t="n"/>
      <c r="F48" s="233" t="n"/>
      <c r="G48" s="233" t="n"/>
      <c r="H48" s="233" t="n"/>
      <c r="I48" s="234" t="n"/>
    </row>
    <row r="49" ht="24" customHeight="1">
      <c r="A49" s="89" t="inlineStr">
        <is>
          <t>TCD - Daily Safety Focus:</t>
        </is>
      </c>
      <c r="B49" s="188" t="inlineStr">
        <is>
          <t>Hydration &amp; Cool zones</t>
        </is>
      </c>
      <c r="C49" s="233" t="n"/>
      <c r="D49" s="233" t="n"/>
      <c r="E49" s="233" t="n"/>
      <c r="F49" s="233" t="n"/>
      <c r="G49" s="233" t="n"/>
      <c r="H49" s="233" t="n"/>
      <c r="I49" s="235" t="n"/>
    </row>
    <row r="50" ht="24" customHeight="1">
      <c r="A50" s="90" t="inlineStr">
        <is>
          <t xml:space="preserve">Hazards Reported: </t>
        </is>
      </c>
      <c r="B50" s="188" t="inlineStr">
        <is>
          <t>Nil</t>
        </is>
      </c>
      <c r="C50" s="233" t="n"/>
      <c r="D50" s="233" t="n"/>
      <c r="E50" s="233" t="n"/>
      <c r="F50" s="233" t="n"/>
      <c r="G50" s="233" t="n"/>
      <c r="H50" s="233" t="n"/>
      <c r="I50" s="235" t="n"/>
    </row>
    <row r="51" ht="24" customHeight="1">
      <c r="A51" s="90" t="inlineStr">
        <is>
          <t>Incident Free Days</t>
        </is>
      </c>
      <c r="B51" s="251" t="n">
        <v>8</v>
      </c>
      <c r="C51" s="233" t="n"/>
      <c r="D51" s="233" t="n"/>
      <c r="E51" s="233" t="n"/>
      <c r="F51" s="233" t="n"/>
      <c r="G51" s="233" t="n"/>
      <c r="H51" s="233" t="n"/>
      <c r="I51" s="235" t="n"/>
    </row>
    <row r="52" ht="24" customHeight="1">
      <c r="A52" s="91" t="inlineStr">
        <is>
          <t>Other Notes</t>
        </is>
      </c>
      <c r="B52" s="197" t="inlineStr">
        <is>
          <t>NA</t>
        </is>
      </c>
      <c r="C52" s="236" t="n"/>
      <c r="D52" s="236" t="n"/>
      <c r="E52" s="236" t="n"/>
      <c r="F52" s="236" t="n"/>
      <c r="G52" s="236" t="n"/>
      <c r="H52" s="236" t="n"/>
      <c r="I52" s="237" t="n"/>
    </row>
    <row r="53" ht="20.25" customHeight="1">
      <c r="A53" s="146" t="inlineStr">
        <is>
          <t xml:space="preserve">INCIDENTS &amp; REPORTS </t>
        </is>
      </c>
      <c r="B53" s="233" t="n"/>
      <c r="C53" s="233" t="n"/>
      <c r="D53" s="233" t="n"/>
      <c r="E53" s="233" t="n"/>
      <c r="F53" s="233" t="n"/>
      <c r="G53" s="233" t="n"/>
      <c r="H53" s="233" t="n"/>
      <c r="I53" s="235" t="n"/>
    </row>
    <row r="54" ht="20" customHeight="1">
      <c r="A54" s="92" t="n"/>
      <c r="B54" s="93" t="inlineStr">
        <is>
          <t>QTY</t>
        </is>
      </c>
      <c r="C54" s="200" t="inlineStr">
        <is>
          <t>Comments</t>
        </is>
      </c>
      <c r="D54" s="233" t="n"/>
      <c r="E54" s="233" t="n"/>
      <c r="F54" s="233" t="n"/>
      <c r="G54" s="233" t="n"/>
      <c r="H54" s="233" t="n"/>
      <c r="I54" s="235" t="n"/>
    </row>
    <row r="55" ht="24" customHeight="1">
      <c r="A55" s="48" t="inlineStr">
        <is>
          <t>INCIDENT</t>
        </is>
      </c>
      <c r="B55" s="25" t="n">
        <v>0</v>
      </c>
      <c r="C55" s="201" t="inlineStr">
        <is>
          <t>NA</t>
        </is>
      </c>
      <c r="D55" s="236" t="n"/>
      <c r="E55" s="236" t="n"/>
      <c r="F55" s="236" t="n"/>
      <c r="G55" s="236" t="n"/>
      <c r="H55" s="236" t="n"/>
      <c r="I55" s="237" t="n"/>
    </row>
    <row r="56" ht="24" customHeight="1">
      <c r="A56" s="101" t="inlineStr">
        <is>
          <t>IR</t>
        </is>
      </c>
      <c r="B56" s="34" t="n">
        <v>0</v>
      </c>
      <c r="C56" s="201" t="inlineStr">
        <is>
          <t>NA</t>
        </is>
      </c>
      <c r="D56" s="236" t="n"/>
      <c r="E56" s="236" t="n"/>
      <c r="F56" s="236" t="n"/>
      <c r="G56" s="236" t="n"/>
      <c r="H56" s="236" t="n"/>
      <c r="I56" s="237" t="n"/>
    </row>
    <row r="57" ht="24" customHeight="1" thickBot="1">
      <c r="A57" s="102" t="inlineStr">
        <is>
          <t>NCR</t>
        </is>
      </c>
      <c r="B57" s="103" t="n">
        <v>0</v>
      </c>
      <c r="C57" s="204" t="inlineStr">
        <is>
          <t>NA</t>
        </is>
      </c>
      <c r="D57" s="252" t="n"/>
      <c r="E57" s="252" t="n"/>
      <c r="F57" s="252" t="n"/>
      <c r="G57" s="252" t="n"/>
      <c r="H57" s="252" t="n"/>
      <c r="I57" s="253" t="n"/>
    </row>
    <row r="58" ht="20.25" customHeight="1">
      <c r="A58" s="185" t="inlineStr">
        <is>
          <t>COMMUNICATIONS</t>
        </is>
      </c>
      <c r="B58" s="249" t="n"/>
      <c r="C58" s="249" t="n"/>
      <c r="D58" s="249" t="n"/>
      <c r="E58" s="249" t="n"/>
      <c r="F58" s="249" t="n"/>
      <c r="G58" s="249" t="n"/>
      <c r="H58" s="249" t="n"/>
      <c r="I58" s="250" t="n"/>
    </row>
    <row r="59" ht="25" customHeight="1">
      <c r="A59" s="207" t="inlineStr">
        <is>
          <t>TGS MB1119-05 Scheme D implemented</t>
        </is>
      </c>
      <c r="B59" s="233" t="n"/>
      <c r="C59" s="233" t="n"/>
      <c r="D59" s="233" t="n"/>
      <c r="E59" s="233" t="n"/>
      <c r="F59" s="233" t="n"/>
      <c r="G59" s="233" t="n"/>
      <c r="H59" s="233" t="n"/>
      <c r="I59" s="235" t="n"/>
    </row>
    <row r="60" ht="25" customHeight="1">
      <c r="A60" s="146" t="inlineStr">
        <is>
          <t>PRODUCTION (CONSTRUCTION STATUS &amp; PROGRESS)</t>
        </is>
      </c>
      <c r="B60" s="233" t="n"/>
      <c r="C60" s="233" t="n"/>
      <c r="D60" s="233" t="n"/>
      <c r="E60" s="233" t="n"/>
      <c r="F60" s="233" t="n"/>
      <c r="G60" s="233" t="n"/>
      <c r="H60" s="233" t="n"/>
      <c r="I60" s="235" t="n"/>
    </row>
    <row r="61" ht="24" customHeight="1">
      <c r="A61" s="207" t="inlineStr">
        <is>
          <t>Placement of Trees in the planters 90% completed.</t>
        </is>
      </c>
      <c r="B61" s="233" t="n"/>
      <c r="C61" s="233" t="n"/>
      <c r="D61" s="233" t="n"/>
      <c r="E61" s="233" t="n"/>
      <c r="F61" s="233" t="n"/>
      <c r="G61" s="233" t="n"/>
      <c r="H61" s="233" t="n"/>
      <c r="I61" s="235" t="n"/>
    </row>
    <row r="62" ht="24" customHeight="1">
      <c r="A62" s="207" t="inlineStr">
        <is>
          <t>Paving continues along North East</t>
        </is>
      </c>
      <c r="B62" s="233" t="n"/>
      <c r="C62" s="233" t="n"/>
      <c r="D62" s="233" t="n"/>
      <c r="E62" s="233" t="n"/>
      <c r="F62" s="233" t="n"/>
      <c r="G62" s="233" t="n"/>
      <c r="H62" s="233" t="n"/>
      <c r="I62" s="235" t="n"/>
    </row>
    <row r="63" ht="24" customHeight="1">
      <c r="A63" s="207" t="inlineStr">
        <is>
          <t>Backfilling the planters after tree placement is ongoing</t>
        </is>
      </c>
      <c r="B63" s="233" t="n"/>
      <c r="C63" s="233" t="n"/>
      <c r="D63" s="233" t="n"/>
      <c r="E63" s="233" t="n"/>
      <c r="F63" s="233" t="n"/>
      <c r="G63" s="233" t="n"/>
      <c r="H63" s="233" t="n"/>
      <c r="I63" s="235" t="n"/>
    </row>
    <row r="64" ht="24" customHeight="1">
      <c r="A64" s="207" t="inlineStr">
        <is>
          <t>Ongoing Prep for planting in Garden Beds on Saturday</t>
        </is>
      </c>
      <c r="B64" s="233" t="n"/>
      <c r="C64" s="233" t="n"/>
      <c r="D64" s="233" t="n"/>
      <c r="E64" s="233" t="n"/>
      <c r="F64" s="233" t="n"/>
      <c r="G64" s="233" t="n"/>
      <c r="H64" s="233" t="n"/>
      <c r="I64" s="235" t="n"/>
    </row>
    <row r="65" ht="24" customHeight="1">
      <c r="A65" s="207" t="inlineStr">
        <is>
          <t>Watering the plants and Terracottem backfill is ongoing</t>
        </is>
      </c>
      <c r="B65" s="233" t="n"/>
      <c r="C65" s="233" t="n"/>
      <c r="D65" s="233" t="n"/>
      <c r="E65" s="233" t="n"/>
      <c r="F65" s="233" t="n"/>
      <c r="G65" s="233" t="n"/>
      <c r="H65" s="233" t="n"/>
      <c r="I65" s="235" t="n"/>
    </row>
    <row r="66" ht="24" customHeight="1">
      <c r="A66" s="207" t="inlineStr">
        <is>
          <t>Backfill along laneway and compaction</t>
        </is>
      </c>
      <c r="B66" s="233" t="n"/>
      <c r="C66" s="233" t="n"/>
      <c r="D66" s="233" t="n"/>
      <c r="E66" s="233" t="n"/>
      <c r="F66" s="233" t="n"/>
      <c r="G66" s="233" t="n"/>
      <c r="H66" s="233" t="n"/>
      <c r="I66" s="235" t="n"/>
    </row>
    <row r="67" ht="24" customHeight="1">
      <c r="A67" s="207" t="n"/>
      <c r="B67" s="233" t="n"/>
      <c r="C67" s="233" t="n"/>
      <c r="D67" s="233" t="n"/>
      <c r="E67" s="233" t="n"/>
      <c r="F67" s="233" t="n"/>
      <c r="G67" s="233" t="n"/>
      <c r="H67" s="233" t="n"/>
      <c r="I67" s="235" t="n"/>
    </row>
    <row r="68" ht="26.25" customHeight="1">
      <c r="A68" s="148" t="inlineStr">
        <is>
          <t>Photos</t>
        </is>
      </c>
      <c r="B68" s="236" t="n"/>
      <c r="C68" s="236" t="n"/>
      <c r="D68" s="236" t="n"/>
      <c r="E68" s="236" t="n"/>
      <c r="F68" s="236" t="n"/>
      <c r="G68" s="236" t="n"/>
      <c r="H68" s="236" t="n"/>
      <c r="I68" s="237"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94" t="n"/>
      <c r="B73" s="95" t="n"/>
      <c r="C73" s="95" t="n"/>
      <c r="D73" s="95" t="n"/>
      <c r="E73" s="95" t="n"/>
      <c r="F73" s="95" t="n"/>
      <c r="G73" s="95" t="n"/>
      <c r="H73" s="95" t="n"/>
      <c r="I73" s="96" t="n"/>
    </row>
    <row r="74" ht="23.25" customHeight="1">
      <c r="A74" s="94" t="n"/>
      <c r="B74" s="95" t="n"/>
      <c r="C74" s="95" t="n"/>
      <c r="D74" s="95" t="n"/>
      <c r="E74" s="95" t="n"/>
      <c r="F74" s="95" t="n"/>
      <c r="G74" s="95" t="n"/>
      <c r="H74" s="95" t="n"/>
      <c r="I74" s="96" t="n"/>
    </row>
    <row r="75" ht="23.25" customHeight="1">
      <c r="A75" s="10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15" customHeight="1">
      <c r="A96" s="94" t="n"/>
      <c r="B96" s="95" t="n"/>
      <c r="C96" s="95" t="n"/>
      <c r="D96" s="95" t="n"/>
      <c r="E96" s="95" t="n"/>
      <c r="F96" s="95" t="n"/>
      <c r="G96" s="95" t="n"/>
      <c r="H96" s="95" t="n"/>
      <c r="I96" s="96" t="n"/>
    </row>
    <row r="97" ht="25" customFormat="1" customHeight="1" s="97">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thickBot="1">
      <c r="A103" s="98" t="n"/>
      <c r="B103" s="99" t="n"/>
      <c r="C103" s="99" t="n"/>
      <c r="D103" s="99" t="n"/>
      <c r="E103" s="99" t="n"/>
      <c r="F103" s="99" t="n"/>
      <c r="G103" s="99" t="n"/>
      <c r="H103" s="99" t="n"/>
      <c r="I103" s="100"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15" customHeight="1">
      <c r="A120" s="94" t="n"/>
      <c r="B120" s="95" t="n"/>
      <c r="C120" s="95" t="n"/>
      <c r="D120" s="95" t="n"/>
      <c r="E120" s="95" t="n"/>
      <c r="F120" s="95" t="n"/>
      <c r="G120" s="95" t="n"/>
      <c r="H120" s="95" t="n"/>
      <c r="I120" s="96" t="n"/>
    </row>
    <row r="121" ht="2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15" customHeight="1">
      <c r="A123" s="94" t="n"/>
      <c r="B123" s="95" t="n"/>
      <c r="C123" s="95" t="n"/>
      <c r="D123" s="95" t="n"/>
      <c r="E123" s="95" t="n"/>
      <c r="F123" s="95" t="n"/>
      <c r="G123" s="95" t="n"/>
      <c r="H123" s="95" t="n"/>
      <c r="I123" s="96" t="n"/>
    </row>
    <row r="124" ht="28"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5" customHeight="1">
      <c r="A142" s="94" t="n"/>
      <c r="B142" s="95" t="n"/>
      <c r="C142" s="95" t="n"/>
      <c r="D142" s="95" t="n"/>
      <c r="E142" s="95" t="n"/>
      <c r="F142" s="95" t="n"/>
      <c r="G142" s="95" t="n"/>
      <c r="H142" s="95" t="n"/>
      <c r="I142" s="96" t="n"/>
    </row>
    <row r="143" ht="15" customHeight="1">
      <c r="A143" s="94" t="n"/>
      <c r="B143" s="95" t="n"/>
      <c r="C143" s="95" t="n"/>
      <c r="D143" s="95" t="n"/>
      <c r="E143" s="95" t="n"/>
      <c r="F143" s="95" t="n"/>
      <c r="G143" s="95" t="n"/>
      <c r="H143" s="95" t="n"/>
      <c r="I143" s="96" t="n"/>
    </row>
    <row r="144" ht="16" customHeight="1">
      <c r="A144" s="94" t="n"/>
      <c r="B144" s="95" t="n"/>
      <c r="C144" s="95" t="n"/>
      <c r="D144" s="95" t="n"/>
      <c r="E144" s="95" t="n"/>
      <c r="F144" s="95" t="n"/>
      <c r="G144" s="95" t="n"/>
      <c r="H144" s="95" t="n"/>
      <c r="I144" s="96" t="n"/>
    </row>
    <row r="145" ht="56.25" customHeight="1">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row>
    <row r="150">
      <c r="A150" s="94" t="n"/>
      <c r="B150" s="95" t="n"/>
      <c r="C150" s="95" t="n"/>
      <c r="D150" s="95" t="n"/>
      <c r="E150" s="95" t="n"/>
      <c r="F150" s="95" t="n"/>
      <c r="G150" s="95" t="n"/>
      <c r="H150" s="95" t="n"/>
      <c r="I150" s="96" t="n"/>
      <c r="J150" s="95" t="n"/>
      <c r="K150" s="95" t="n"/>
      <c r="L150" s="95"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row>
    <row r="170">
      <c r="A170" s="94" t="n"/>
      <c r="B170" s="95" t="n"/>
      <c r="C170" s="95" t="n"/>
      <c r="D170" s="95" t="n"/>
      <c r="E170" s="95" t="n"/>
      <c r="F170" s="95" t="n"/>
      <c r="G170" s="95" t="n"/>
      <c r="H170" s="95" t="n"/>
      <c r="I170" s="96" t="n"/>
    </row>
    <row r="171">
      <c r="A171" s="94" t="n"/>
      <c r="B171" s="95" t="n"/>
      <c r="C171" s="95" t="n"/>
      <c r="D171" s="95" t="n"/>
      <c r="E171" s="95" t="n"/>
      <c r="F171" s="95" t="n"/>
      <c r="G171" s="95" t="n"/>
      <c r="H171" s="95" t="n"/>
      <c r="I171" s="96" t="n"/>
      <c r="J171" s="95" t="n"/>
      <c r="K171" s="95" t="n"/>
      <c r="L171" s="95" t="n"/>
      <c r="M171" s="95" t="n"/>
      <c r="N171" s="95" t="n"/>
    </row>
    <row r="172">
      <c r="A172" s="94" t="n"/>
      <c r="B172" s="95" t="n"/>
      <c r="C172" s="95" t="n"/>
      <c r="D172" s="95" t="n"/>
      <c r="E172" s="95" t="n"/>
      <c r="F172" s="95" t="n"/>
      <c r="G172" s="95" t="n"/>
      <c r="H172" s="95" t="n"/>
      <c r="I172" s="96" t="n"/>
      <c r="J172" s="95" t="n"/>
      <c r="K172" s="95" t="n"/>
      <c r="L172" s="95" t="n"/>
      <c r="M172" s="95" t="n"/>
      <c r="N172" s="95" t="n"/>
    </row>
    <row r="173">
      <c r="A173" s="94" t="n"/>
      <c r="B173" s="95" t="n"/>
      <c r="C173" s="95" t="n"/>
      <c r="D173" s="95" t="n"/>
      <c r="E173" s="95" t="n"/>
      <c r="F173" s="95" t="n"/>
      <c r="G173" s="95" t="n"/>
      <c r="H173" s="95" t="n"/>
      <c r="I173" s="96" t="n"/>
      <c r="J173" s="95" t="n"/>
      <c r="K173" s="95" t="n"/>
      <c r="L173" s="95" t="n"/>
      <c r="M173" s="95" t="n"/>
      <c r="N173" s="95" t="n"/>
    </row>
    <row r="174">
      <c r="A174" s="94" t="n"/>
      <c r="B174" s="95" t="n"/>
      <c r="C174" s="95" t="n"/>
      <c r="D174" s="95" t="n"/>
      <c r="E174" s="95" t="n"/>
      <c r="F174" s="95" t="n"/>
      <c r="G174" s="95" t="n"/>
      <c r="H174" s="95" t="n"/>
      <c r="I174" s="96" t="n"/>
      <c r="J174" s="95" t="n"/>
      <c r="K174" s="95" t="n"/>
      <c r="L174" s="95" t="n"/>
      <c r="M174" s="95" t="n"/>
      <c r="N174" s="95" t="n"/>
    </row>
    <row r="175">
      <c r="A175" s="94" t="n"/>
      <c r="B175" s="95" t="n"/>
      <c r="C175" s="95" t="n"/>
      <c r="D175" s="95" t="n"/>
      <c r="E175" s="95" t="n"/>
      <c r="F175" s="95" t="n"/>
      <c r="G175" s="95" t="n"/>
      <c r="H175" s="95" t="n"/>
      <c r="I175" s="96" t="n"/>
      <c r="J175" s="95" t="n"/>
      <c r="K175" s="95" t="n"/>
      <c r="L175" s="95" t="n"/>
      <c r="M175" s="95" t="n"/>
      <c r="N175" s="95" t="n"/>
    </row>
    <row r="176">
      <c r="A176" s="94" t="n"/>
      <c r="B176" s="95" t="n"/>
      <c r="C176" s="95" t="n"/>
      <c r="D176" s="95" t="n"/>
      <c r="E176" s="95" t="n"/>
      <c r="F176" s="95" t="n"/>
      <c r="G176" s="95" t="n"/>
      <c r="H176" s="95" t="n"/>
      <c r="I176" s="96" t="n"/>
      <c r="J176" s="95" t="n"/>
      <c r="K176" s="95" t="n"/>
      <c r="L176" s="95" t="n"/>
      <c r="M176" s="95" t="n"/>
      <c r="N176" s="95" t="n"/>
    </row>
    <row r="177">
      <c r="A177" s="94" t="n"/>
      <c r="B177" s="95" t="n"/>
      <c r="C177" s="95" t="n"/>
      <c r="D177" s="95" t="n"/>
      <c r="E177" s="95" t="n"/>
      <c r="F177" s="95" t="n"/>
      <c r="G177" s="95" t="n"/>
      <c r="H177" s="95" t="n"/>
      <c r="I177" s="96" t="n"/>
      <c r="J177" s="95" t="n"/>
      <c r="K177" s="95" t="n"/>
      <c r="L177" s="95" t="n"/>
      <c r="M177" s="95" t="n"/>
      <c r="N177" s="95" t="n"/>
    </row>
    <row r="178">
      <c r="A178" s="94" t="n"/>
      <c r="B178" s="95" t="n"/>
      <c r="C178" s="95" t="n"/>
      <c r="D178" s="95" t="n"/>
      <c r="E178" s="95" t="n"/>
      <c r="F178" s="95" t="n"/>
      <c r="G178" s="95" t="n"/>
      <c r="H178" s="95" t="n"/>
      <c r="I178" s="96" t="n"/>
      <c r="J178" s="95" t="n"/>
      <c r="K178" s="95" t="n"/>
      <c r="L178" s="95" t="n"/>
      <c r="M178" s="95" t="n"/>
      <c r="N178" s="95" t="n"/>
    </row>
    <row r="179">
      <c r="A179" s="94" t="n"/>
      <c r="B179" s="95" t="n"/>
      <c r="C179" s="95" t="n"/>
      <c r="D179" s="95" t="n"/>
      <c r="E179" s="95" t="n"/>
      <c r="F179" s="95" t="n"/>
      <c r="G179" s="95" t="n"/>
      <c r="H179" s="95" t="n"/>
      <c r="I179" s="96" t="n"/>
      <c r="J179" s="95" t="n"/>
      <c r="K179" s="95" t="n"/>
      <c r="L179" s="95" t="n"/>
      <c r="M179" s="95" t="n"/>
      <c r="N179" s="95" t="n"/>
    </row>
    <row r="180">
      <c r="A180" s="94" t="n"/>
      <c r="B180" s="95" t="n"/>
      <c r="C180" s="95" t="n"/>
      <c r="D180" s="95" t="n"/>
      <c r="E180" s="95" t="n"/>
      <c r="F180" s="95" t="n"/>
      <c r="G180" s="95" t="n"/>
      <c r="H180" s="95" t="n"/>
      <c r="I180" s="96" t="n"/>
      <c r="J180" s="95" t="n"/>
      <c r="K180" s="95" t="n"/>
      <c r="L180" s="95" t="n"/>
      <c r="M180" s="95" t="n"/>
      <c r="N180" s="95" t="n"/>
    </row>
    <row r="181">
      <c r="A181" s="94" t="n"/>
      <c r="B181" s="95" t="n"/>
      <c r="C181" s="95" t="n"/>
      <c r="D181" s="95" t="n"/>
      <c r="E181" s="95" t="n"/>
      <c r="F181" s="95" t="n"/>
      <c r="G181" s="95" t="n"/>
      <c r="H181" s="95" t="n"/>
      <c r="I181" s="96" t="n"/>
      <c r="J181" s="95" t="n"/>
      <c r="K181" s="95" t="n"/>
      <c r="L181" s="95" t="n"/>
      <c r="M181" s="95" t="n"/>
      <c r="N181" s="95" t="n"/>
    </row>
    <row r="182">
      <c r="A182" s="94" t="n"/>
      <c r="B182" s="95" t="n"/>
      <c r="C182" s="95" t="n"/>
      <c r="D182" s="95" t="n"/>
      <c r="E182" s="95" t="n"/>
      <c r="F182" s="95" t="n"/>
      <c r="G182" s="95" t="n"/>
      <c r="H182" s="95" t="n"/>
      <c r="I182" s="96" t="n"/>
      <c r="J182" s="95" t="n"/>
      <c r="K182" s="95" t="n"/>
      <c r="L182" s="95" t="n"/>
      <c r="M182" s="95" t="n"/>
      <c r="N182" s="95" t="n"/>
    </row>
    <row r="183">
      <c r="A183" s="94" t="n"/>
      <c r="B183" s="95" t="n"/>
      <c r="C183" s="95" t="n"/>
      <c r="D183" s="95" t="n"/>
      <c r="E183" s="95" t="n"/>
      <c r="F183" s="95" t="n"/>
      <c r="G183" s="95" t="n"/>
      <c r="H183" s="95" t="n"/>
      <c r="I183" s="96" t="n"/>
      <c r="J183" s="95" t="n"/>
      <c r="K183" s="95" t="n"/>
      <c r="L183" s="95" t="n"/>
      <c r="M183" s="95" t="n"/>
      <c r="N183" s="95" t="n"/>
    </row>
    <row r="184">
      <c r="A184" s="94" t="n"/>
      <c r="B184" s="95" t="n"/>
      <c r="C184" s="95" t="n"/>
      <c r="D184" s="95" t="n"/>
      <c r="E184" s="95" t="n"/>
      <c r="F184" s="95" t="n"/>
      <c r="G184" s="95" t="n"/>
      <c r="H184" s="95" t="n"/>
      <c r="I184" s="96" t="n"/>
      <c r="J184" s="95" t="n"/>
      <c r="K184" s="95" t="n"/>
      <c r="L184" s="95" t="n"/>
      <c r="M184" s="95" t="n"/>
      <c r="N184" s="95" t="n"/>
    </row>
    <row r="185">
      <c r="A185" s="94" t="n"/>
      <c r="B185" s="95" t="n"/>
      <c r="C185" s="95" t="n"/>
      <c r="D185" s="95" t="n"/>
      <c r="E185" s="95" t="n"/>
      <c r="F185" s="95" t="n"/>
      <c r="G185" s="95" t="n"/>
      <c r="H185" s="95" t="n"/>
      <c r="I185" s="96" t="n"/>
      <c r="J185" s="95" t="n"/>
      <c r="K185" s="95" t="n"/>
      <c r="L185" s="95" t="n"/>
      <c r="M185" s="95" t="n"/>
      <c r="N185" s="95" t="n"/>
    </row>
    <row r="186">
      <c r="A186" s="94" t="n"/>
      <c r="B186" s="95" t="n"/>
      <c r="C186" s="95" t="n"/>
      <c r="D186" s="95" t="n"/>
      <c r="E186" s="95" t="n"/>
      <c r="F186" s="95" t="n"/>
      <c r="G186" s="95" t="n"/>
      <c r="H186" s="95" t="n"/>
      <c r="I186" s="96" t="n"/>
      <c r="J186" s="95" t="n"/>
      <c r="K186" s="95" t="n"/>
      <c r="L186" s="95" t="n"/>
      <c r="M186" s="95" t="n"/>
      <c r="N186" s="95" t="n"/>
    </row>
    <row r="187">
      <c r="A187" s="94" t="n"/>
      <c r="B187" s="95" t="n"/>
      <c r="C187" s="95" t="n"/>
      <c r="D187" s="95" t="n"/>
      <c r="E187" s="95" t="n"/>
      <c r="F187" s="95" t="n"/>
      <c r="G187" s="95" t="n"/>
      <c r="H187" s="95" t="n"/>
      <c r="I187" s="96" t="n"/>
      <c r="J187" s="95" t="n"/>
      <c r="K187" s="95" t="n"/>
      <c r="L187" s="95" t="n"/>
      <c r="M187" s="95" t="n"/>
      <c r="N187" s="95" t="n"/>
    </row>
    <row r="188">
      <c r="A188" s="94" t="n"/>
      <c r="B188" s="95" t="n"/>
      <c r="C188" s="95" t="n"/>
      <c r="D188" s="95" t="n"/>
      <c r="E188" s="95" t="n"/>
      <c r="F188" s="95" t="n"/>
      <c r="G188" s="95" t="n"/>
      <c r="H188" s="95" t="n"/>
      <c r="I188" s="96" t="n"/>
      <c r="J188" s="95" t="n"/>
      <c r="K188" s="95" t="n"/>
      <c r="L188" s="95" t="n"/>
      <c r="M188" s="95" t="n"/>
      <c r="N188" s="95" t="n"/>
    </row>
    <row r="189">
      <c r="A189" s="94" t="n"/>
      <c r="B189" s="95" t="n"/>
      <c r="C189" s="95" t="n"/>
      <c r="D189" s="95" t="n"/>
      <c r="E189" s="95" t="n"/>
      <c r="F189" s="95" t="n"/>
      <c r="G189" s="95" t="n"/>
      <c r="H189" s="95" t="n"/>
      <c r="I189" s="96" t="n"/>
      <c r="J189" s="95" t="n"/>
      <c r="K189" s="95" t="n"/>
      <c r="L189" s="95" t="n"/>
      <c r="M189" s="95" t="n"/>
      <c r="N189" s="95" t="n"/>
    </row>
    <row r="190">
      <c r="A190" s="94" t="n"/>
      <c r="B190" s="95" t="n"/>
      <c r="C190" s="95" t="n"/>
      <c r="D190" s="95" t="n"/>
      <c r="E190" s="95" t="n"/>
      <c r="F190" s="95" t="n"/>
      <c r="G190" s="95" t="n"/>
      <c r="H190" s="95" t="n"/>
      <c r="I190" s="96" t="n"/>
      <c r="J190" s="95" t="n"/>
      <c r="K190" s="95" t="n"/>
      <c r="L190" s="95" t="n"/>
      <c r="M190" s="95" t="n"/>
      <c r="N190" s="95" t="n"/>
    </row>
    <row r="191">
      <c r="A191" s="94" t="n"/>
      <c r="B191" s="95" t="n"/>
      <c r="C191" s="95" t="n"/>
      <c r="D191" s="95" t="n"/>
      <c r="E191" s="95" t="n"/>
      <c r="F191" s="95" t="n"/>
      <c r="G191" s="95" t="n"/>
      <c r="H191" s="95" t="n"/>
      <c r="I191" s="96" t="n"/>
      <c r="J191" s="95" t="n"/>
      <c r="K191" s="95" t="n"/>
      <c r="L191" s="95" t="n"/>
      <c r="M191" s="95" t="n"/>
      <c r="N191" s="95" t="n"/>
    </row>
    <row r="192">
      <c r="A192" s="94" t="n"/>
      <c r="B192" s="95" t="n"/>
      <c r="C192" s="95" t="n"/>
      <c r="D192" s="95" t="n"/>
      <c r="E192" s="95" t="n"/>
      <c r="F192" s="95" t="n"/>
      <c r="G192" s="95" t="n"/>
      <c r="H192" s="95" t="n"/>
      <c r="I192" s="96" t="n"/>
      <c r="J192" s="95" t="n"/>
      <c r="K192" s="95" t="n"/>
      <c r="L192" s="95" t="n"/>
      <c r="M192" s="95" t="n"/>
      <c r="N192" s="95" t="n"/>
    </row>
    <row r="193">
      <c r="A193" s="94" t="n"/>
      <c r="B193" s="95" t="n"/>
      <c r="C193" s="95" t="n"/>
      <c r="D193" s="95" t="n"/>
      <c r="E193" s="95" t="n"/>
      <c r="F193" s="95" t="n"/>
      <c r="G193" s="95" t="n"/>
      <c r="H193" s="95" t="n"/>
      <c r="I193" s="96" t="n"/>
      <c r="J193" s="95" t="n"/>
      <c r="K193" s="95" t="n"/>
      <c r="L193" s="95" t="n"/>
      <c r="M193" s="95" t="n"/>
      <c r="N193" s="95" t="n"/>
    </row>
    <row r="194">
      <c r="A194" s="94" t="n"/>
      <c r="B194" s="95" t="n"/>
      <c r="C194" s="95" t="n"/>
      <c r="D194" s="95" t="n"/>
      <c r="E194" s="95" t="n"/>
      <c r="F194" s="95" t="n"/>
      <c r="G194" s="95" t="n"/>
      <c r="H194" s="95" t="n"/>
      <c r="I194" s="96" t="n"/>
      <c r="J194" s="95" t="n"/>
      <c r="K194" s="95" t="n"/>
      <c r="L194" s="95" t="n"/>
      <c r="M194" s="95" t="n"/>
      <c r="N194" s="95" t="n"/>
    </row>
    <row r="195">
      <c r="A195" s="94" t="n"/>
      <c r="B195" s="95" t="n"/>
      <c r="C195" s="95" t="n"/>
      <c r="D195" s="95" t="n"/>
      <c r="E195" s="95" t="n"/>
      <c r="F195" s="95" t="n"/>
      <c r="G195" s="95" t="n"/>
      <c r="H195" s="95" t="n"/>
      <c r="I195" s="96" t="n"/>
      <c r="J195" s="95" t="n"/>
      <c r="K195" s="95" t="n"/>
      <c r="L195" s="95" t="n"/>
      <c r="M195" s="95" t="n"/>
      <c r="N195" s="95" t="n"/>
    </row>
    <row r="196">
      <c r="A196" s="94" t="n"/>
      <c r="B196" s="95" t="n"/>
      <c r="C196" s="95" t="n"/>
      <c r="D196" s="95" t="n"/>
      <c r="E196" s="95" t="n"/>
      <c r="F196" s="95" t="n"/>
      <c r="G196" s="95" t="n"/>
      <c r="H196" s="95" t="n"/>
      <c r="I196" s="96" t="n"/>
      <c r="J196" s="95" t="n"/>
      <c r="K196" s="95" t="n"/>
      <c r="L196" s="95" t="n"/>
      <c r="M196" s="95" t="n"/>
      <c r="N196" s="95" t="n"/>
    </row>
    <row r="197">
      <c r="A197" s="94" t="n"/>
      <c r="B197" s="95" t="n"/>
      <c r="C197" s="95" t="n"/>
      <c r="D197" s="95" t="n"/>
      <c r="E197" s="95" t="n"/>
      <c r="F197" s="95" t="n"/>
      <c r="G197" s="95" t="n"/>
      <c r="H197" s="95" t="n"/>
      <c r="I197" s="96" t="n"/>
      <c r="J197" s="95" t="n"/>
      <c r="K197" s="95" t="n"/>
      <c r="L197" s="95" t="n"/>
      <c r="M197" s="95" t="n"/>
      <c r="N197" s="95" t="n"/>
    </row>
    <row r="198" ht="16" customHeight="1">
      <c r="A198" s="94" t="n"/>
      <c r="B198" s="95" t="n"/>
      <c r="C198" s="95" t="n"/>
      <c r="D198" s="95" t="n"/>
      <c r="E198" s="95" t="n"/>
      <c r="F198" s="95" t="n"/>
      <c r="G198" s="95" t="n"/>
      <c r="H198" s="95" t="n"/>
      <c r="I198" s="96" t="n"/>
      <c r="J198" s="95" t="n"/>
      <c r="K198" s="95" t="n"/>
      <c r="L198" s="95" t="n"/>
      <c r="M198" s="95" t="n"/>
      <c r="N198" s="95" t="n"/>
    </row>
    <row r="199">
      <c r="A199" s="94" t="n"/>
      <c r="B199" s="95" t="n"/>
      <c r="C199" s="95" t="n"/>
      <c r="D199" s="95" t="n"/>
      <c r="E199" s="95" t="n"/>
      <c r="F199" s="95" t="n"/>
      <c r="G199" s="95" t="n"/>
      <c r="H199" s="95" t="n"/>
      <c r="I199" s="96" t="n"/>
    </row>
    <row r="200">
      <c r="A200" s="94" t="n"/>
      <c r="B200" s="95" t="n"/>
      <c r="C200" s="95" t="n"/>
      <c r="D200" s="95" t="n"/>
      <c r="E200" s="95" t="n"/>
      <c r="F200" s="95" t="n"/>
      <c r="G200" s="95" t="n"/>
      <c r="H200" s="95" t="n"/>
      <c r="I200" s="96" t="n"/>
    </row>
    <row r="201">
      <c r="A201" s="94" t="n"/>
      <c r="B201" s="95" t="n"/>
      <c r="C201" s="95" t="n"/>
      <c r="D201" s="95" t="n"/>
      <c r="E201" s="95" t="n"/>
      <c r="F201" s="95" t="n"/>
      <c r="G201" s="95" t="n"/>
      <c r="H201" s="95" t="n"/>
      <c r="I201" s="96" t="n"/>
    </row>
    <row r="202">
      <c r="A202" s="95" t="n"/>
      <c r="B202" s="95" t="n"/>
      <c r="C202" s="95" t="n"/>
      <c r="D202" s="95" t="n"/>
      <c r="E202" s="95" t="n"/>
      <c r="F202" s="95" t="n"/>
      <c r="G202" s="95" t="n"/>
      <c r="H202" s="95" t="n"/>
      <c r="I202" s="95" t="n"/>
      <c r="J202" s="95" t="n"/>
      <c r="K202" s="95" t="n"/>
      <c r="L202" s="95" t="n"/>
    </row>
    <row r="203" ht="19" customHeight="1" thickBot="1">
      <c r="A203" s="99" t="n"/>
      <c r="B203" s="99" t="n"/>
      <c r="C203" s="99" t="n"/>
      <c r="D203" s="99" t="n"/>
      <c r="E203" s="99" t="n"/>
      <c r="F203" s="99" t="n"/>
      <c r="G203" s="99" t="n"/>
      <c r="H203" s="99" t="n"/>
      <c r="I203" s="99" t="n"/>
      <c r="J203" s="95" t="n"/>
      <c r="K203" s="95" t="n"/>
      <c r="L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5" t="n"/>
      <c r="B207" s="95" t="n"/>
      <c r="C207" s="95" t="n"/>
      <c r="D207" s="95" t="n"/>
      <c r="E207" s="95" t="n"/>
      <c r="F207" s="95" t="n"/>
      <c r="G207" s="95" t="n"/>
      <c r="H207" s="95" t="n"/>
      <c r="I207" s="95" t="n"/>
      <c r="J207" s="95" t="n"/>
      <c r="K207" s="95" t="n"/>
      <c r="L207" s="95" t="n"/>
    </row>
    <row r="208">
      <c r="A208" s="95" t="n"/>
      <c r="B208" s="95" t="n"/>
      <c r="C208" s="95" t="n"/>
      <c r="D208" s="95" t="n"/>
      <c r="E208" s="95" t="n"/>
      <c r="F208" s="95" t="n"/>
      <c r="G208" s="95" t="n"/>
      <c r="H208" s="95" t="n"/>
      <c r="I208" s="95" t="n"/>
      <c r="J208" s="95" t="n"/>
      <c r="K208" s="95" t="n"/>
      <c r="L208" s="95" t="n"/>
    </row>
    <row r="209">
      <c r="A209" s="94" t="n"/>
      <c r="B209" s="95" t="n"/>
      <c r="C209" s="95" t="n"/>
      <c r="D209" s="95" t="n"/>
      <c r="E209" s="95" t="n"/>
      <c r="F209" s="95" t="n"/>
      <c r="G209" s="95" t="n"/>
      <c r="H209" s="95" t="n"/>
      <c r="I209" s="95" t="n"/>
      <c r="J209" s="95" t="n"/>
      <c r="K209" s="95" t="n"/>
      <c r="L209" s="95" t="n"/>
    </row>
    <row r="210">
      <c r="A210" s="94"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A218" s="94" t="n"/>
      <c r="B218" s="95" t="n"/>
      <c r="C218" s="95" t="n"/>
      <c r="D218" s="95" t="n"/>
      <c r="E218" s="95" t="n"/>
      <c r="F218" s="95" t="n"/>
      <c r="G218" s="95" t="n"/>
      <c r="H218" s="95" t="n"/>
      <c r="I218" s="95" t="n"/>
      <c r="J218" s="95" t="n"/>
      <c r="K218" s="95" t="n"/>
      <c r="L218" s="95" t="n"/>
    </row>
    <row r="219">
      <c r="A219" s="94" t="n"/>
      <c r="B219" s="95" t="n"/>
      <c r="C219" s="95" t="n"/>
      <c r="D219" s="95" t="n"/>
      <c r="E219" s="95" t="n"/>
      <c r="F219" s="95" t="n"/>
      <c r="G219" s="95" t="n"/>
      <c r="H219" s="95" t="n"/>
      <c r="I219" s="95" t="n"/>
      <c r="J219" s="95" t="n"/>
      <c r="K219" s="95" t="n"/>
      <c r="L219" s="95" t="n"/>
    </row>
    <row r="220">
      <c r="G220" s="95" t="n"/>
      <c r="H220" s="95" t="n"/>
      <c r="I220" s="95" t="n"/>
      <c r="J220" s="95" t="n"/>
      <c r="K220" s="95" t="n"/>
      <c r="L220" s="95" t="n"/>
    </row>
    <row r="221">
      <c r="G221" s="95" t="n"/>
      <c r="H221" s="95" t="n"/>
      <c r="I221" s="95" t="n"/>
      <c r="J221" s="95" t="n"/>
      <c r="K221" s="95" t="n"/>
      <c r="L221" s="95" t="n"/>
    </row>
    <row r="222">
      <c r="G222" s="95" t="n"/>
      <c r="H222" s="95" t="n"/>
      <c r="I222" s="95" t="n"/>
      <c r="J222" s="95" t="n"/>
      <c r="K222" s="95" t="n"/>
      <c r="L222" s="95" t="n"/>
    </row>
  </sheetData>
  <mergeCells count="44">
    <mergeCell ref="A65:I65"/>
    <mergeCell ref="D13:F13"/>
    <mergeCell ref="G13:I13"/>
    <mergeCell ref="B8:D8"/>
    <mergeCell ref="A66:I66"/>
    <mergeCell ref="D41:I41"/>
    <mergeCell ref="A12:I12"/>
    <mergeCell ref="C57:I57"/>
    <mergeCell ref="B39:C39"/>
    <mergeCell ref="B52:I52"/>
    <mergeCell ref="B48:I48"/>
    <mergeCell ref="A47:I47"/>
    <mergeCell ref="A5:I5"/>
    <mergeCell ref="B9:D9"/>
    <mergeCell ref="A53:I53"/>
    <mergeCell ref="B6:D6"/>
    <mergeCell ref="A62:I62"/>
    <mergeCell ref="D39:I39"/>
    <mergeCell ref="A43:I43"/>
    <mergeCell ref="D42:I42"/>
    <mergeCell ref="A68:I68"/>
    <mergeCell ref="A63:I63"/>
    <mergeCell ref="A13:C13"/>
    <mergeCell ref="A10:I10"/>
    <mergeCell ref="A1:I4"/>
    <mergeCell ref="A42:B42"/>
    <mergeCell ref="A67:I67"/>
    <mergeCell ref="A44:I46"/>
    <mergeCell ref="C54:I54"/>
    <mergeCell ref="A58:I58"/>
    <mergeCell ref="B40:C40"/>
    <mergeCell ref="B7:D7"/>
    <mergeCell ref="B49:I49"/>
    <mergeCell ref="C55:I55"/>
    <mergeCell ref="A64:I64"/>
    <mergeCell ref="A59:I59"/>
    <mergeCell ref="A11:I11"/>
    <mergeCell ref="A60:I60"/>
    <mergeCell ref="C56:I56"/>
    <mergeCell ref="B51:I51"/>
    <mergeCell ref="D40:I40"/>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103" min="0" max="8" man="1"/>
  </rowBreaks>
</worksheet>
</file>

<file path=xl/worksheets/sheet11.xml><?xml version="1.0" encoding="utf-8"?>
<worksheet xmlns="http://schemas.openxmlformats.org/spreadsheetml/2006/main">
  <sheetPr>
    <outlinePr summaryBelow="1" summaryRight="1"/>
    <pageSetUpPr fitToPage="1"/>
  </sheetPr>
  <dimension ref="A1:N220"/>
  <sheetViews>
    <sheetView view="pageBreakPreview" zoomScale="60" zoomScaleNormal="55" workbookViewId="0">
      <selection activeCell="E20" sqref="E20"/>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45974</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18-330C,  Wind:  35 km/h SSE, Precip: 0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v>10</v>
      </c>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v>5</v>
      </c>
    </row>
    <row r="17" ht="23.25" customHeight="1">
      <c r="A17" s="24" t="inlineStr">
        <is>
          <t>O"SHEA, John</t>
        </is>
      </c>
      <c r="B17" s="25" t="inlineStr">
        <is>
          <t>Senior Project Engineer</t>
        </is>
      </c>
      <c r="C17" s="26" t="n">
        <v>12</v>
      </c>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v>10</v>
      </c>
      <c r="D18" s="31" t="n"/>
      <c r="E18" s="32" t="n"/>
      <c r="F18" s="28" t="n"/>
      <c r="G18" s="29" t="inlineStr">
        <is>
          <t>Griffiths, Jaquai</t>
        </is>
      </c>
      <c r="H18" s="25" t="inlineStr">
        <is>
          <t>Operator</t>
        </is>
      </c>
      <c r="I18" s="30" t="n">
        <v>10</v>
      </c>
    </row>
    <row r="19" ht="23.25" customHeight="1">
      <c r="A19" s="24" t="inlineStr">
        <is>
          <t>THOMPSON,Cheryl</t>
        </is>
      </c>
      <c r="B19" s="25" t="inlineStr">
        <is>
          <t>HSET</t>
        </is>
      </c>
      <c r="C19" s="26" t="n"/>
      <c r="D19" s="31" t="n"/>
      <c r="E19" s="32" t="n"/>
      <c r="F19" s="28" t="n"/>
      <c r="G19" s="29" t="inlineStr">
        <is>
          <t>McConnell, Adam</t>
        </is>
      </c>
      <c r="H19" s="25" t="inlineStr">
        <is>
          <t>Labourer</t>
        </is>
      </c>
      <c r="I19" s="30" t="n">
        <v>12</v>
      </c>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v>12</v>
      </c>
      <c r="D21" s="31" t="n"/>
      <c r="E21" s="32" t="n"/>
      <c r="F21" s="28" t="n"/>
      <c r="G21" s="29" t="inlineStr">
        <is>
          <t>Pavers</t>
        </is>
      </c>
      <c r="H21" s="25" t="inlineStr">
        <is>
          <t>Pavers</t>
        </is>
      </c>
      <c r="I21" s="30" t="n">
        <v>40</v>
      </c>
    </row>
    <row r="22" ht="23.25" customHeight="1">
      <c r="A22" s="24" t="n"/>
      <c r="B22" s="25" t="n"/>
      <c r="C22" s="26" t="n"/>
      <c r="D22" s="31" t="n"/>
      <c r="E22" s="32" t="n"/>
      <c r="F22" s="28" t="n"/>
      <c r="G22" s="29" t="inlineStr">
        <is>
          <t>Think Water</t>
        </is>
      </c>
      <c r="H22" s="25" t="inlineStr">
        <is>
          <t>Irrigation</t>
        </is>
      </c>
      <c r="I22" s="127" t="n">
        <v>10</v>
      </c>
    </row>
    <row r="23" ht="23.25" customHeight="1">
      <c r="A23" s="33" t="n"/>
      <c r="B23" s="34" t="n"/>
      <c r="C23" s="35" t="n"/>
      <c r="D23" s="36" t="n"/>
      <c r="E23" s="37" t="n"/>
      <c r="F23" s="38" t="n"/>
      <c r="G23" s="224" t="inlineStr">
        <is>
          <t>Catwest</t>
        </is>
      </c>
      <c r="H23" s="225" t="inlineStr">
        <is>
          <t>Asphalters</t>
        </is>
      </c>
      <c r="I23" s="127">
        <f>7*5</f>
        <v/>
      </c>
    </row>
    <row r="24" ht="23.25" customHeight="1" thickBot="1">
      <c r="A24" s="130" t="n"/>
      <c r="B24" s="120" t="n"/>
      <c r="C24" s="121" t="n"/>
      <c r="D24" s="122" t="n"/>
      <c r="E24" s="123" t="n"/>
      <c r="F24" s="124" t="n"/>
      <c r="G24" s="125" t="n"/>
      <c r="H24" s="126" t="n"/>
      <c r="I24" s="128" t="n"/>
    </row>
    <row r="25" ht="23.25" customHeight="1" thickTop="1">
      <c r="A25" s="173" t="inlineStr">
        <is>
          <t xml:space="preserve">Total Indirect Personnel onsite: </t>
        </is>
      </c>
      <c r="B25" s="116">
        <f>COUNT(C15:C24)</f>
        <v/>
      </c>
      <c r="C25" s="117" t="n"/>
      <c r="D25" s="118" t="inlineStr">
        <is>
          <t xml:space="preserve">Total Direct Personnel onsite:  </t>
        </is>
      </c>
      <c r="E25" s="116">
        <f>COUNT(F15:F24)</f>
        <v/>
      </c>
      <c r="F25" s="21" t="n"/>
      <c r="G25" s="119" t="inlineStr">
        <is>
          <t>Total Subcontractor on-site:</t>
        </is>
      </c>
      <c r="H25" s="116">
        <f>COUNT(I15:I22)</f>
        <v/>
      </c>
      <c r="I25" s="23" t="n"/>
    </row>
    <row r="26" ht="23.25" customHeight="1">
      <c r="A26" s="48" t="inlineStr">
        <is>
          <t xml:space="preserve">Total Indirect Personnel hours: </t>
        </is>
      </c>
      <c r="B26" s="93">
        <f>SUM(C15:C22)</f>
        <v/>
      </c>
      <c r="C26" s="52" t="n"/>
      <c r="D26" s="50" t="inlineStr">
        <is>
          <t xml:space="preserve">Total Direct Personnel hours: </t>
        </is>
      </c>
      <c r="E26" s="93">
        <f>SUM(F15:F16)</f>
        <v/>
      </c>
      <c r="F26" s="53" t="n"/>
      <c r="G26" s="51" t="inlineStr">
        <is>
          <t>Total Subcontractor hours:</t>
        </is>
      </c>
      <c r="H26" s="93">
        <f>SUM(I11:I22)</f>
        <v/>
      </c>
      <c r="I26" s="200" t="n"/>
    </row>
    <row r="27" ht="25" customHeight="1">
      <c r="A27" s="56" t="inlineStr">
        <is>
          <t>PLANT &amp; EQUIPMENT</t>
        </is>
      </c>
      <c r="B27" s="57" t="n"/>
      <c r="C27" s="57" t="n"/>
      <c r="D27" s="57" t="n"/>
      <c r="E27" s="57" t="n"/>
      <c r="F27" s="57" t="n"/>
      <c r="G27" s="57" t="n"/>
      <c r="H27" s="57" t="n"/>
      <c r="I27" s="58" t="n"/>
    </row>
    <row r="28" ht="24" customHeight="1" thickBot="1">
      <c r="A28" s="59" t="inlineStr">
        <is>
          <t>Plant</t>
        </is>
      </c>
      <c r="B28" s="60" t="inlineStr">
        <is>
          <t>ID</t>
        </is>
      </c>
      <c r="C28" s="61" t="inlineStr">
        <is>
          <t>Hrs</t>
        </is>
      </c>
      <c r="D28" s="62" t="inlineStr">
        <is>
          <t xml:space="preserve"> Vehicles</t>
        </is>
      </c>
      <c r="E28" s="60" t="inlineStr">
        <is>
          <t>ID</t>
        </is>
      </c>
      <c r="F28" s="63" t="inlineStr">
        <is>
          <t>QTY</t>
        </is>
      </c>
      <c r="G28" s="64" t="inlineStr">
        <is>
          <t>Site Facilities</t>
        </is>
      </c>
      <c r="H28" s="65" t="inlineStr">
        <is>
          <t>ID</t>
        </is>
      </c>
      <c r="I28" s="66" t="inlineStr">
        <is>
          <t>Qty</t>
        </is>
      </c>
    </row>
    <row r="29" ht="23.25" customHeight="1" thickTop="1">
      <c r="A29" s="75" t="inlineStr">
        <is>
          <t>IT Loader</t>
        </is>
      </c>
      <c r="B29" s="72" t="inlineStr">
        <is>
          <t>LD011</t>
        </is>
      </c>
      <c r="C29" s="26" t="n">
        <v>4</v>
      </c>
      <c r="D29" s="67" t="inlineStr">
        <is>
          <t>Hilux</t>
        </is>
      </c>
      <c r="E29" s="68" t="inlineStr">
        <is>
          <t>DLV90</t>
        </is>
      </c>
      <c r="F29" s="69" t="n">
        <v>1</v>
      </c>
      <c r="G29" s="70" t="inlineStr">
        <is>
          <t>Office 40ft</t>
        </is>
      </c>
      <c r="H29" s="68" t="n">
        <v>9255540</v>
      </c>
      <c r="I29" s="23" t="n">
        <v>1</v>
      </c>
    </row>
    <row r="30" ht="23.25" customHeight="1">
      <c r="A30" s="24" t="inlineStr">
        <is>
          <t>Wacker Neuson DPU</t>
        </is>
      </c>
      <c r="B30" s="25" t="inlineStr">
        <is>
          <t>DPC15</t>
        </is>
      </c>
      <c r="C30" s="106" t="n"/>
      <c r="D30" s="71" t="inlineStr">
        <is>
          <t>Hilux</t>
        </is>
      </c>
      <c r="E30" s="72" t="inlineStr">
        <is>
          <t>1DLV04</t>
        </is>
      </c>
      <c r="F30" s="73" t="n">
        <v>1</v>
      </c>
      <c r="G30" s="74" t="inlineStr">
        <is>
          <t>Sea Container 20ft</t>
        </is>
      </c>
      <c r="H30" s="25" t="n">
        <v>951200</v>
      </c>
      <c r="I30" s="30" t="n">
        <v>1</v>
      </c>
    </row>
    <row r="31" ht="23.25" customHeight="1">
      <c r="A31" s="75" t="inlineStr">
        <is>
          <t>Watercart</t>
        </is>
      </c>
      <c r="B31" s="72" t="inlineStr">
        <is>
          <t>A119</t>
        </is>
      </c>
      <c r="C31" s="106" t="n">
        <v>8</v>
      </c>
      <c r="D31" s="71" t="n"/>
      <c r="E31" s="25" t="n"/>
      <c r="F31" s="73" t="n"/>
      <c r="G31" s="74" t="inlineStr">
        <is>
          <t>Site Sentry Tower</t>
        </is>
      </c>
      <c r="H31" s="72" t="inlineStr">
        <is>
          <t>NA</t>
        </is>
      </c>
      <c r="I31" s="30" t="n">
        <v>2</v>
      </c>
    </row>
    <row r="32" ht="23.25" customHeight="1">
      <c r="A32" s="75" t="inlineStr">
        <is>
          <t>8T Excavator</t>
        </is>
      </c>
      <c r="B32" s="76" t="inlineStr">
        <is>
          <t>AMG 014</t>
        </is>
      </c>
      <c r="C32" s="106" t="n"/>
      <c r="D32" s="71" t="n"/>
      <c r="E32" s="72" t="n"/>
      <c r="F32" s="73" t="n"/>
      <c r="G32" s="74" t="inlineStr">
        <is>
          <t>Skip Bin</t>
        </is>
      </c>
      <c r="H32" s="72" t="inlineStr">
        <is>
          <t>NA</t>
        </is>
      </c>
      <c r="I32" s="30" t="n">
        <v>1</v>
      </c>
    </row>
    <row r="33" ht="23.25" customHeight="1">
      <c r="A33" s="75" t="inlineStr">
        <is>
          <t>Mini Tipper</t>
        </is>
      </c>
      <c r="B33" s="72" t="inlineStr">
        <is>
          <t>SLS04</t>
        </is>
      </c>
      <c r="C33" s="26" t="n">
        <v>6</v>
      </c>
      <c r="D33" s="71" t="n"/>
      <c r="E33" s="72" t="n"/>
      <c r="F33" s="73" t="n"/>
      <c r="G33" s="74" t="inlineStr">
        <is>
          <t>Hydrocarbon Bund</t>
        </is>
      </c>
      <c r="H33" s="72" t="inlineStr">
        <is>
          <t>NA</t>
        </is>
      </c>
      <c r="I33" s="30" t="n">
        <v>1</v>
      </c>
    </row>
    <row r="34" ht="23.25" customHeight="1">
      <c r="A34" s="75" t="inlineStr">
        <is>
          <t>Skid Steer</t>
        </is>
      </c>
      <c r="B34" s="72" t="inlineStr">
        <is>
          <t>SLS03</t>
        </is>
      </c>
      <c r="C34" s="26" t="n">
        <v>2</v>
      </c>
      <c r="D34" s="71" t="n"/>
      <c r="E34" s="72" t="n"/>
      <c r="F34" s="73" t="n"/>
      <c r="G34" s="74" t="inlineStr">
        <is>
          <t>Temp Fence</t>
        </is>
      </c>
      <c r="H34" s="25" t="inlineStr">
        <is>
          <t>NA</t>
        </is>
      </c>
      <c r="I34" s="30" t="n">
        <v>1</v>
      </c>
    </row>
    <row r="35" ht="23.25" customHeight="1">
      <c r="A35" s="75" t="inlineStr">
        <is>
          <t>1t Excavator</t>
        </is>
      </c>
      <c r="B35" s="72" t="inlineStr">
        <is>
          <t>SLS02</t>
        </is>
      </c>
      <c r="C35" s="26" t="n"/>
      <c r="D35" s="71" t="n"/>
      <c r="E35" s="72" t="n"/>
      <c r="F35" s="73" t="n"/>
      <c r="G35" s="74" t="n"/>
      <c r="H35" s="25" t="n"/>
      <c r="I35" s="30" t="n"/>
    </row>
    <row r="36" ht="23.25" customHeight="1">
      <c r="A36" s="75" t="inlineStr">
        <is>
          <t>1t Excavator</t>
        </is>
      </c>
      <c r="B36" s="72" t="inlineStr">
        <is>
          <t>DEX30</t>
        </is>
      </c>
      <c r="C36" s="26" t="n">
        <v>2</v>
      </c>
      <c r="D36" s="71" t="n"/>
      <c r="E36" s="72" t="n"/>
      <c r="F36" s="73" t="n"/>
      <c r="G36" s="74" t="n"/>
      <c r="H36" s="25" t="n"/>
      <c r="I36" s="30" t="n"/>
    </row>
    <row r="37" ht="24" customHeight="1">
      <c r="A37" s="75" t="inlineStr">
        <is>
          <t>8T Excavator (Wheeled)</t>
        </is>
      </c>
      <c r="B37" s="72" t="inlineStr">
        <is>
          <t>BCC12</t>
        </is>
      </c>
      <c r="C37" s="26" t="n">
        <v>4</v>
      </c>
      <c r="D37" s="71" t="n"/>
      <c r="E37" s="72" t="n"/>
      <c r="F37" s="73" t="n"/>
      <c r="G37" s="77" t="n"/>
      <c r="H37" s="78" t="n"/>
      <c r="I37" s="79" t="n"/>
    </row>
    <row r="38" ht="24" customHeight="1">
      <c r="A38" s="75" t="inlineStr">
        <is>
          <t>14t Excavator with GPS</t>
        </is>
      </c>
      <c r="B38" s="72" t="inlineStr">
        <is>
          <t>EX197</t>
        </is>
      </c>
      <c r="C38" s="26" t="inlineStr">
        <is>
          <t>SD</t>
        </is>
      </c>
      <c r="D38" s="71" t="n"/>
      <c r="E38" s="72" t="n"/>
      <c r="F38" s="73" t="n"/>
      <c r="G38" s="77" t="n"/>
      <c r="H38" s="78" t="n"/>
      <c r="I38" s="79" t="n"/>
    </row>
    <row r="39" ht="24" customHeight="1" thickBot="1">
      <c r="A39" s="75" t="inlineStr">
        <is>
          <t>Roller</t>
        </is>
      </c>
      <c r="B39" s="72" t="inlineStr">
        <is>
          <t>R538</t>
        </is>
      </c>
      <c r="C39" s="106" t="n"/>
      <c r="D39" s="71" t="n"/>
      <c r="E39" s="72" t="n"/>
      <c r="F39" s="73" t="n"/>
      <c r="G39" s="77" t="n"/>
      <c r="H39" s="78" t="n"/>
      <c r="I39" s="79" t="n"/>
    </row>
    <row r="40" ht="24" customHeight="1" thickTop="1">
      <c r="A40" s="85" t="n">
        <v>0</v>
      </c>
      <c r="B40" s="158" t="inlineStr">
        <is>
          <t xml:space="preserve">Repairs Required </t>
        </is>
      </c>
      <c r="C40" s="239" t="n"/>
      <c r="D40" s="160" t="inlineStr">
        <is>
          <t>NA</t>
        </is>
      </c>
      <c r="E40" s="240" t="n"/>
      <c r="F40" s="240" t="n"/>
      <c r="G40" s="240" t="n"/>
      <c r="H40" s="240" t="n"/>
      <c r="I40" s="241" t="n"/>
    </row>
    <row r="41" ht="24" customHeight="1">
      <c r="A41" s="86" t="n">
        <v>0</v>
      </c>
      <c r="B41" s="163" t="inlineStr">
        <is>
          <t>Scheduled Service</t>
        </is>
      </c>
      <c r="C41" s="234" t="n"/>
      <c r="D41" s="165" t="inlineStr">
        <is>
          <t>NA</t>
        </is>
      </c>
      <c r="E41" s="233" t="n"/>
      <c r="F41" s="233" t="n"/>
      <c r="G41" s="233" t="n"/>
      <c r="H41" s="233" t="n"/>
      <c r="I41" s="235" t="n"/>
    </row>
    <row r="42" ht="24" customHeight="1" thickBot="1">
      <c r="A42" s="87" t="n">
        <v>0</v>
      </c>
      <c r="B42" s="168" t="inlineStr">
        <is>
          <t>Repairs Required but Operable</t>
        </is>
      </c>
      <c r="C42" s="242" t="n"/>
      <c r="D42" s="170" t="inlineStr">
        <is>
          <t>NA</t>
        </is>
      </c>
      <c r="E42" s="243" t="n"/>
      <c r="F42" s="243" t="n"/>
      <c r="G42" s="243" t="n"/>
      <c r="H42" s="243" t="n"/>
      <c r="I42" s="244" t="n"/>
    </row>
    <row r="43" ht="23.25" customHeight="1" thickTop="1">
      <c r="A43" s="173" t="inlineStr">
        <is>
          <t xml:space="preserve">Total Plant and Equipment Hours: </t>
        </is>
      </c>
      <c r="B43" s="245" t="n"/>
      <c r="C43" s="88">
        <f>SUM(C29:C39)</f>
        <v/>
      </c>
      <c r="D43" s="175" t="n"/>
      <c r="E43" s="231" t="n"/>
      <c r="F43" s="231" t="n"/>
      <c r="G43" s="231" t="n"/>
      <c r="H43" s="231" t="n"/>
      <c r="I43" s="232" t="n"/>
    </row>
    <row r="44" ht="25" customHeight="1">
      <c r="A44" s="146" t="inlineStr">
        <is>
          <t>DELAYS-OPPORTUNITY</t>
        </is>
      </c>
      <c r="B44" s="233" t="n"/>
      <c r="C44" s="233" t="n"/>
      <c r="D44" s="233" t="n"/>
      <c r="E44" s="233" t="n"/>
      <c r="F44" s="233" t="n"/>
      <c r="G44" s="233" t="n"/>
      <c r="H44" s="233" t="n"/>
      <c r="I44" s="235" t="n"/>
    </row>
    <row r="45" ht="69" customHeight="1" thickBot="1">
      <c r="A45" s="215"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Issues around Watercorp Connection-Connection Date now 29/11/25 impacts to Kerbing, Paving and Concrete works, Watercorp have advised that bacteria testing and another pressure test is required
Watercorp Works Request Issued
</t>
        </is>
      </c>
      <c r="B45" s="236" t="n"/>
      <c r="C45" s="236" t="n"/>
      <c r="D45" s="236" t="n"/>
      <c r="E45" s="236" t="n"/>
      <c r="F45" s="236" t="n"/>
      <c r="G45" s="236" t="n"/>
      <c r="H45" s="236" t="n"/>
      <c r="I45" s="237" t="n"/>
    </row>
    <row r="46" ht="14" customHeight="1" thickBot="1">
      <c r="A46" s="246" t="n"/>
      <c r="B46" s="247" t="n"/>
      <c r="C46" s="247" t="n"/>
      <c r="D46" s="247" t="n"/>
      <c r="E46" s="247" t="n"/>
      <c r="F46" s="247" t="n"/>
      <c r="G46" s="247" t="n"/>
      <c r="H46" s="247" t="n"/>
      <c r="I46" s="248" t="n"/>
    </row>
    <row r="47" ht="25" customHeight="1">
      <c r="A47" s="185" t="inlineStr">
        <is>
          <t>HSEQ MESSAGES</t>
        </is>
      </c>
      <c r="B47" s="249" t="n"/>
      <c r="C47" s="249" t="n"/>
      <c r="D47" s="249" t="n"/>
      <c r="E47" s="249" t="n"/>
      <c r="F47" s="249" t="n"/>
      <c r="G47" s="249" t="n"/>
      <c r="H47" s="249" t="n"/>
      <c r="I47" s="250" t="n"/>
    </row>
    <row r="48" ht="24" customHeight="1">
      <c r="A48" s="89" t="inlineStr">
        <is>
          <t>TCD - Monthly Safety Focus:</t>
        </is>
      </c>
      <c r="B48" s="155" t="inlineStr">
        <is>
          <t>Cyclones &amp; Wet Weather</t>
        </is>
      </c>
      <c r="C48" s="233" t="n"/>
      <c r="D48" s="233" t="n"/>
      <c r="E48" s="233" t="n"/>
      <c r="F48" s="233" t="n"/>
      <c r="G48" s="233" t="n"/>
      <c r="H48" s="233" t="n"/>
      <c r="I48" s="234" t="n"/>
    </row>
    <row r="49" ht="24" customHeight="1">
      <c r="A49" s="89" t="inlineStr">
        <is>
          <t>TCD - Daily Safety Focus:</t>
        </is>
      </c>
      <c r="B49" s="188" t="inlineStr">
        <is>
          <t>Hydration &amp; Cool zones</t>
        </is>
      </c>
      <c r="C49" s="233" t="n"/>
      <c r="D49" s="233" t="n"/>
      <c r="E49" s="233" t="n"/>
      <c r="F49" s="233" t="n"/>
      <c r="G49" s="233" t="n"/>
      <c r="H49" s="233" t="n"/>
      <c r="I49" s="235" t="n"/>
    </row>
    <row r="50" ht="24" customHeight="1">
      <c r="A50" s="90" t="inlineStr">
        <is>
          <t xml:space="preserve">Hazards Reported: </t>
        </is>
      </c>
      <c r="B50" s="188" t="inlineStr">
        <is>
          <t>Nil</t>
        </is>
      </c>
      <c r="C50" s="233" t="n"/>
      <c r="D50" s="233" t="n"/>
      <c r="E50" s="233" t="n"/>
      <c r="F50" s="233" t="n"/>
      <c r="G50" s="233" t="n"/>
      <c r="H50" s="233" t="n"/>
      <c r="I50" s="235" t="n"/>
    </row>
    <row r="51" ht="24" customHeight="1">
      <c r="A51" s="90" t="inlineStr">
        <is>
          <t>Incident Free Days</t>
        </is>
      </c>
      <c r="B51" s="251" t="n">
        <v>9</v>
      </c>
      <c r="C51" s="233" t="n"/>
      <c r="D51" s="233" t="n"/>
      <c r="E51" s="233" t="n"/>
      <c r="F51" s="233" t="n"/>
      <c r="G51" s="233" t="n"/>
      <c r="H51" s="233" t="n"/>
      <c r="I51" s="235" t="n"/>
    </row>
    <row r="52" ht="24" customHeight="1">
      <c r="A52" s="91" t="inlineStr">
        <is>
          <t>Other Notes</t>
        </is>
      </c>
      <c r="B52" s="197" t="inlineStr">
        <is>
          <t>NA</t>
        </is>
      </c>
      <c r="C52" s="236" t="n"/>
      <c r="D52" s="236" t="n"/>
      <c r="E52" s="236" t="n"/>
      <c r="F52" s="236" t="n"/>
      <c r="G52" s="236" t="n"/>
      <c r="H52" s="236" t="n"/>
      <c r="I52" s="237" t="n"/>
    </row>
    <row r="53" ht="20.25" customHeight="1">
      <c r="A53" s="146" t="inlineStr">
        <is>
          <t xml:space="preserve">INCIDENTS &amp; REPORTS </t>
        </is>
      </c>
      <c r="B53" s="233" t="n"/>
      <c r="C53" s="233" t="n"/>
      <c r="D53" s="233" t="n"/>
      <c r="E53" s="233" t="n"/>
      <c r="F53" s="233" t="n"/>
      <c r="G53" s="233" t="n"/>
      <c r="H53" s="233" t="n"/>
      <c r="I53" s="235" t="n"/>
    </row>
    <row r="54" ht="20" customHeight="1">
      <c r="A54" s="92" t="n"/>
      <c r="B54" s="93" t="inlineStr">
        <is>
          <t>QTY</t>
        </is>
      </c>
      <c r="C54" s="200" t="inlineStr">
        <is>
          <t>Comments</t>
        </is>
      </c>
      <c r="D54" s="233" t="n"/>
      <c r="E54" s="233" t="n"/>
      <c r="F54" s="233" t="n"/>
      <c r="G54" s="233" t="n"/>
      <c r="H54" s="233" t="n"/>
      <c r="I54" s="235" t="n"/>
    </row>
    <row r="55" ht="24" customHeight="1">
      <c r="A55" s="48" t="inlineStr">
        <is>
          <t>INCIDENT</t>
        </is>
      </c>
      <c r="B55" s="25" t="n">
        <v>0</v>
      </c>
      <c r="C55" s="201" t="inlineStr">
        <is>
          <t>NA</t>
        </is>
      </c>
      <c r="D55" s="236" t="n"/>
      <c r="E55" s="236" t="n"/>
      <c r="F55" s="236" t="n"/>
      <c r="G55" s="236" t="n"/>
      <c r="H55" s="236" t="n"/>
      <c r="I55" s="237" t="n"/>
    </row>
    <row r="56" ht="24" customHeight="1">
      <c r="A56" s="101" t="inlineStr">
        <is>
          <t>IR</t>
        </is>
      </c>
      <c r="B56" s="34" t="n">
        <v>0</v>
      </c>
      <c r="C56" s="201" t="inlineStr">
        <is>
          <t>NA</t>
        </is>
      </c>
      <c r="D56" s="236" t="n"/>
      <c r="E56" s="236" t="n"/>
      <c r="F56" s="236" t="n"/>
      <c r="G56" s="236" t="n"/>
      <c r="H56" s="236" t="n"/>
      <c r="I56" s="237" t="n"/>
    </row>
    <row r="57" ht="24" customHeight="1" thickBot="1">
      <c r="A57" s="102" t="inlineStr">
        <is>
          <t>NCR</t>
        </is>
      </c>
      <c r="B57" s="103" t="n">
        <v>0</v>
      </c>
      <c r="C57" s="204" t="inlineStr">
        <is>
          <t>NA</t>
        </is>
      </c>
      <c r="D57" s="252" t="n"/>
      <c r="E57" s="252" t="n"/>
      <c r="F57" s="252" t="n"/>
      <c r="G57" s="252" t="n"/>
      <c r="H57" s="252" t="n"/>
      <c r="I57" s="253" t="n"/>
    </row>
    <row r="58" ht="20.25" customHeight="1">
      <c r="A58" s="185" t="inlineStr">
        <is>
          <t>COMMUNICATIONS</t>
        </is>
      </c>
      <c r="B58" s="249" t="n"/>
      <c r="C58" s="249" t="n"/>
      <c r="D58" s="249" t="n"/>
      <c r="E58" s="249" t="n"/>
      <c r="F58" s="249" t="n"/>
      <c r="G58" s="249" t="n"/>
      <c r="H58" s="249" t="n"/>
      <c r="I58" s="250" t="n"/>
    </row>
    <row r="59" ht="25" customHeight="1">
      <c r="A59" s="207" t="inlineStr">
        <is>
          <t>TGS MB1119-05 Scheme D implemented</t>
        </is>
      </c>
      <c r="B59" s="233" t="n"/>
      <c r="C59" s="233" t="n"/>
      <c r="D59" s="233" t="n"/>
      <c r="E59" s="233" t="n"/>
      <c r="F59" s="233" t="n"/>
      <c r="G59" s="233" t="n"/>
      <c r="H59" s="233" t="n"/>
      <c r="I59" s="235" t="n"/>
    </row>
    <row r="60" ht="25" customHeight="1">
      <c r="A60" s="146" t="inlineStr">
        <is>
          <t>PRODUCTION (CONSTRUCTION STATUS &amp; PROGRESS)</t>
        </is>
      </c>
      <c r="B60" s="233" t="n"/>
      <c r="C60" s="233" t="n"/>
      <c r="D60" s="233" t="n"/>
      <c r="E60" s="233" t="n"/>
      <c r="F60" s="233" t="n"/>
      <c r="G60" s="233" t="n"/>
      <c r="H60" s="233" t="n"/>
      <c r="I60" s="235" t="n"/>
    </row>
    <row r="61" ht="24" customHeight="1">
      <c r="A61" s="207" t="inlineStr">
        <is>
          <t>Tree Installs Completed</t>
        </is>
      </c>
      <c r="B61" s="233" t="n"/>
      <c r="C61" s="233" t="n"/>
      <c r="D61" s="233" t="n"/>
      <c r="E61" s="233" t="n"/>
      <c r="F61" s="233" t="n"/>
      <c r="G61" s="233" t="n"/>
      <c r="H61" s="233" t="n"/>
      <c r="I61" s="235" t="n"/>
    </row>
    <row r="62" ht="24" customHeight="1">
      <c r="A62" s="207" t="inlineStr">
        <is>
          <t>Paving continues along North East</t>
        </is>
      </c>
      <c r="B62" s="233" t="n"/>
      <c r="C62" s="233" t="n"/>
      <c r="D62" s="233" t="n"/>
      <c r="E62" s="233" t="n"/>
      <c r="F62" s="233" t="n"/>
      <c r="G62" s="233" t="n"/>
      <c r="H62" s="233" t="n"/>
      <c r="I62" s="235" t="n"/>
    </row>
    <row r="63" ht="24" customHeight="1">
      <c r="A63" s="207" t="inlineStr">
        <is>
          <t>Commenceed Flushing Water Pipe in Laneway</t>
        </is>
      </c>
      <c r="B63" s="233" t="n"/>
      <c r="C63" s="233" t="n"/>
      <c r="D63" s="233" t="n"/>
      <c r="E63" s="233" t="n"/>
      <c r="F63" s="233" t="n"/>
      <c r="G63" s="233" t="n"/>
      <c r="H63" s="233" t="n"/>
      <c r="I63" s="235" t="n"/>
    </row>
    <row r="64" ht="24" customHeight="1">
      <c r="A64" s="207" t="inlineStr">
        <is>
          <t>Ongoing Prep for planting in Garden Beds on Saturday</t>
        </is>
      </c>
      <c r="B64" s="233" t="n"/>
      <c r="C64" s="233" t="n"/>
      <c r="D64" s="233" t="n"/>
      <c r="E64" s="233" t="n"/>
      <c r="F64" s="233" t="n"/>
      <c r="G64" s="233" t="n"/>
      <c r="H64" s="233" t="n"/>
      <c r="I64" s="235" t="n"/>
    </row>
    <row r="65" ht="24" customHeight="1">
      <c r="A65" s="207" t="inlineStr">
        <is>
          <t>Red Asphalt Installed</t>
        </is>
      </c>
      <c r="B65" s="233" t="n"/>
      <c r="C65" s="233" t="n"/>
      <c r="D65" s="233" t="n"/>
      <c r="E65" s="233" t="n"/>
      <c r="F65" s="233" t="n"/>
      <c r="G65" s="233" t="n"/>
      <c r="H65" s="233" t="n"/>
      <c r="I65" s="235" t="n"/>
    </row>
    <row r="66" ht="26.25" customHeight="1">
      <c r="A66" s="148" t="inlineStr">
        <is>
          <t>Photos</t>
        </is>
      </c>
      <c r="B66" s="236" t="n"/>
      <c r="C66" s="236" t="n"/>
      <c r="D66" s="236" t="n"/>
      <c r="E66" s="236" t="n"/>
      <c r="F66" s="236" t="n"/>
      <c r="G66" s="236" t="n"/>
      <c r="H66" s="236" t="n"/>
      <c r="I66" s="237" t="n"/>
    </row>
    <row r="67" ht="23.25" customHeight="1">
      <c r="A67" s="94" t="n"/>
      <c r="B67" s="95" t="n"/>
      <c r="C67" s="95" t="n"/>
      <c r="D67" s="95" t="n"/>
      <c r="E67" s="95" t="n"/>
      <c r="F67" s="95" t="n"/>
      <c r="G67" s="95" t="n"/>
      <c r="H67" s="95" t="n"/>
      <c r="I67" s="96" t="n"/>
    </row>
    <row r="68" ht="23.25" customHeight="1">
      <c r="A68" s="94" t="n"/>
      <c r="B68" s="95" t="n"/>
      <c r="C68" s="95" t="n"/>
      <c r="D68" s="95" t="n"/>
      <c r="E68" s="95" t="n"/>
      <c r="F68" s="95" t="n"/>
      <c r="G68" s="95" t="n"/>
      <c r="H68" s="95" t="n"/>
      <c r="I68" s="96"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94" t="n"/>
      <c r="B71" s="95" t="n"/>
      <c r="C71" s="95" t="n"/>
      <c r="D71" s="95" t="n"/>
      <c r="E71" s="95" t="n"/>
      <c r="F71" s="95" t="n"/>
      <c r="G71" s="95" t="n"/>
      <c r="H71" s="95" t="n"/>
      <c r="I71" s="96" t="n"/>
    </row>
    <row r="72" ht="23.25" customHeight="1">
      <c r="A72" s="94" t="n"/>
      <c r="B72" s="95" t="n"/>
      <c r="C72" s="95" t="n"/>
      <c r="D72" s="95" t="n"/>
      <c r="E72" s="95" t="n"/>
      <c r="F72" s="95" t="n"/>
      <c r="G72" s="95" t="n"/>
      <c r="H72" s="95" t="n"/>
      <c r="I72" s="96" t="n"/>
    </row>
    <row r="73" ht="23.25" customHeight="1">
      <c r="A73" s="104" t="n"/>
      <c r="B73" s="95" t="n"/>
      <c r="C73" s="95" t="n"/>
      <c r="D73" s="95" t="n"/>
      <c r="E73" s="95" t="n"/>
      <c r="F73" s="95" t="n"/>
      <c r="G73" s="95" t="n"/>
      <c r="H73" s="95" t="n"/>
      <c r="I73" s="96" t="n"/>
    </row>
    <row r="74" ht="15" customHeight="1">
      <c r="A74" s="94" t="n"/>
      <c r="B74" s="95" t="n"/>
      <c r="C74" s="95" t="n"/>
      <c r="D74" s="95" t="n"/>
      <c r="E74" s="95" t="n"/>
      <c r="F74" s="95" t="n"/>
      <c r="G74" s="95" t="n"/>
      <c r="H74" s="95" t="n"/>
      <c r="I74" s="96" t="n"/>
    </row>
    <row r="75" ht="15" customHeight="1">
      <c r="A75" s="9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15" customHeight="1">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25" customFormat="1" customHeight="1" s="97">
      <c r="A95" s="94" t="n"/>
      <c r="B95" s="95" t="n"/>
      <c r="C95" s="95" t="n"/>
      <c r="D95" s="95" t="n"/>
      <c r="E95" s="95" t="n"/>
      <c r="F95" s="95" t="n"/>
      <c r="G95" s="95" t="n"/>
      <c r="H95" s="95" t="n"/>
      <c r="I95" s="96" t="n"/>
    </row>
    <row r="96" ht="15" customHeight="1">
      <c r="A96" s="94" t="n"/>
      <c r="B96" s="95" t="n"/>
      <c r="C96" s="95" t="n"/>
      <c r="D96" s="95" t="n"/>
      <c r="E96" s="95" t="n"/>
      <c r="F96" s="95" t="n"/>
      <c r="G96" s="95" t="n"/>
      <c r="H96" s="95" t="n"/>
      <c r="I96" s="96" t="n"/>
    </row>
    <row r="97" ht="15" customHeight="1">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c r="A99" s="94" t="n"/>
      <c r="B99" s="95" t="n"/>
      <c r="C99" s="95" t="n"/>
      <c r="D99" s="95" t="n"/>
      <c r="E99" s="95" t="n"/>
      <c r="F99" s="95" t="n"/>
      <c r="G99" s="95" t="n"/>
      <c r="H99" s="95" t="n"/>
      <c r="I99" s="96" t="n"/>
    </row>
    <row r="100" ht="15" customHeight="1">
      <c r="A100" s="94" t="n"/>
      <c r="B100" s="95" t="n"/>
      <c r="C100" s="95" t="n"/>
      <c r="D100" s="95" t="n"/>
      <c r="E100" s="95" t="n"/>
      <c r="F100" s="95" t="n"/>
      <c r="G100" s="95" t="n"/>
      <c r="H100" s="95" t="n"/>
      <c r="I100" s="96" t="n"/>
    </row>
    <row r="101" ht="15" customHeight="1" thickBot="1">
      <c r="A101" s="98" t="n"/>
      <c r="B101" s="99" t="n"/>
      <c r="C101" s="99" t="n"/>
      <c r="D101" s="99" t="n"/>
      <c r="E101" s="99" t="n"/>
      <c r="F101" s="99" t="n"/>
      <c r="G101" s="99" t="n"/>
      <c r="H101" s="99" t="n"/>
      <c r="I101" s="100" t="n"/>
    </row>
    <row r="102" ht="15" customHeight="1">
      <c r="A102" s="94" t="n"/>
      <c r="B102" s="95" t="n"/>
      <c r="C102" s="95" t="n"/>
      <c r="D102" s="95" t="n"/>
      <c r="E102" s="95" t="n"/>
      <c r="F102" s="95" t="n"/>
      <c r="G102" s="95" t="n"/>
      <c r="H102" s="95" t="n"/>
      <c r="I102" s="96" t="n"/>
    </row>
    <row r="103" ht="15" customHeight="1">
      <c r="A103" s="94" t="n"/>
      <c r="B103" s="95" t="n"/>
      <c r="C103" s="95" t="n"/>
      <c r="D103" s="95" t="n"/>
      <c r="E103" s="95" t="n"/>
      <c r="F103" s="95" t="n"/>
      <c r="G103" s="95" t="n"/>
      <c r="H103" s="95" t="n"/>
      <c r="I103" s="96"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1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25" customHeight="1">
      <c r="A119" s="94" t="n"/>
      <c r="B119" s="95" t="n"/>
      <c r="C119" s="95" t="n"/>
      <c r="D119" s="95" t="n"/>
      <c r="E119" s="95" t="n"/>
      <c r="F119" s="95" t="n"/>
      <c r="G119" s="95" t="n"/>
      <c r="H119" s="95" t="n"/>
      <c r="I119" s="96" t="n"/>
    </row>
    <row r="120" ht="15" customHeight="1">
      <c r="A120" s="94" t="n"/>
      <c r="B120" s="95" t="n"/>
      <c r="C120" s="95" t="n"/>
      <c r="D120" s="95" t="n"/>
      <c r="E120" s="95" t="n"/>
      <c r="F120" s="95" t="n"/>
      <c r="G120" s="95" t="n"/>
      <c r="H120" s="95" t="n"/>
      <c r="I120" s="96" t="n"/>
    </row>
    <row r="121" ht="15" customHeight="1">
      <c r="A121" s="94" t="n"/>
      <c r="B121" s="95" t="n"/>
      <c r="C121" s="95" t="n"/>
      <c r="D121" s="95" t="n"/>
      <c r="E121" s="95" t="n"/>
      <c r="F121" s="95" t="n"/>
      <c r="G121" s="95" t="n"/>
      <c r="H121" s="95" t="n"/>
      <c r="I121" s="96" t="n"/>
    </row>
    <row r="122" ht="28" customHeight="1">
      <c r="A122" s="94" t="n"/>
      <c r="B122" s="95" t="n"/>
      <c r="C122" s="95" t="n"/>
      <c r="D122" s="95" t="n"/>
      <c r="E122" s="95" t="n"/>
      <c r="F122" s="95" t="n"/>
      <c r="G122" s="95" t="n"/>
      <c r="H122" s="95" t="n"/>
      <c r="I122" s="96" t="n"/>
    </row>
    <row r="123" ht="15" customHeight="1">
      <c r="A123" s="94" t="n"/>
      <c r="B123" s="95" t="n"/>
      <c r="C123" s="95" t="n"/>
      <c r="D123" s="95" t="n"/>
      <c r="E123" s="95" t="n"/>
      <c r="F123" s="95" t="n"/>
      <c r="G123" s="95" t="n"/>
      <c r="H123" s="95" t="n"/>
      <c r="I123" s="96" t="n"/>
    </row>
    <row r="124" ht="15"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5" customHeight="1">
      <c r="A140" s="94" t="n"/>
      <c r="B140" s="95" t="n"/>
      <c r="C140" s="95" t="n"/>
      <c r="D140" s="95" t="n"/>
      <c r="E140" s="95" t="n"/>
      <c r="F140" s="95" t="n"/>
      <c r="G140" s="95" t="n"/>
      <c r="H140" s="95" t="n"/>
      <c r="I140" s="96" t="n"/>
    </row>
    <row r="141" ht="15" customHeight="1">
      <c r="A141" s="94" t="n"/>
      <c r="B141" s="95" t="n"/>
      <c r="C141" s="95" t="n"/>
      <c r="D141" s="95" t="n"/>
      <c r="E141" s="95" t="n"/>
      <c r="F141" s="95" t="n"/>
      <c r="G141" s="95" t="n"/>
      <c r="H141" s="95" t="n"/>
      <c r="I141" s="96" t="n"/>
    </row>
    <row r="142" ht="16" customHeight="1">
      <c r="A142" s="94" t="n"/>
      <c r="B142" s="95" t="n"/>
      <c r="C142" s="95" t="n"/>
      <c r="D142" s="95" t="n"/>
      <c r="E142" s="95" t="n"/>
      <c r="F142" s="95" t="n"/>
      <c r="G142" s="95" t="n"/>
      <c r="H142" s="95" t="n"/>
      <c r="I142" s="96" t="n"/>
    </row>
    <row r="143" ht="56.25" customHeight="1">
      <c r="A143" s="94" t="n"/>
      <c r="B143" s="95" t="n"/>
      <c r="C143" s="95" t="n"/>
      <c r="D143" s="95" t="n"/>
      <c r="E143" s="95" t="n"/>
      <c r="F143" s="95" t="n"/>
      <c r="G143" s="95" t="n"/>
      <c r="H143" s="95" t="n"/>
      <c r="I143" s="96" t="n"/>
    </row>
    <row r="144">
      <c r="A144" s="94" t="n"/>
      <c r="B144" s="95" t="n"/>
      <c r="C144" s="95" t="n"/>
      <c r="D144" s="95" t="n"/>
      <c r="E144" s="95" t="n"/>
      <c r="F144" s="95" t="n"/>
      <c r="G144" s="95" t="n"/>
      <c r="H144" s="95" t="n"/>
      <c r="I144" s="96" t="n"/>
    </row>
    <row r="145">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c r="J148" s="95" t="n"/>
      <c r="K148" s="95" t="n"/>
      <c r="L148" s="95" t="n"/>
    </row>
    <row r="149">
      <c r="A149" s="94" t="n"/>
      <c r="B149" s="95" t="n"/>
      <c r="C149" s="95" t="n"/>
      <c r="D149" s="95" t="n"/>
      <c r="E149" s="95" t="n"/>
      <c r="F149" s="95" t="n"/>
      <c r="G149" s="95" t="n"/>
      <c r="H149" s="95" t="n"/>
      <c r="I149" s="96" t="n"/>
    </row>
    <row r="150">
      <c r="A150" s="94" t="n"/>
      <c r="B150" s="95" t="n"/>
      <c r="C150" s="95" t="n"/>
      <c r="D150" s="95" t="n"/>
      <c r="E150" s="95" t="n"/>
      <c r="F150" s="95" t="n"/>
      <c r="G150" s="95" t="n"/>
      <c r="H150" s="95" t="n"/>
      <c r="I150" s="96"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row>
    <row r="168">
      <c r="A168" s="94" t="n"/>
      <c r="B168" s="95" t="n"/>
      <c r="C168" s="95" t="n"/>
      <c r="D168" s="95" t="n"/>
      <c r="E168" s="95" t="n"/>
      <c r="F168" s="95" t="n"/>
      <c r="G168" s="95" t="n"/>
      <c r="H168" s="95" t="n"/>
      <c r="I168" s="96" t="n"/>
    </row>
    <row r="169">
      <c r="A169" s="94" t="n"/>
      <c r="B169" s="95" t="n"/>
      <c r="C169" s="95" t="n"/>
      <c r="D169" s="95" t="n"/>
      <c r="E169" s="95" t="n"/>
      <c r="F169" s="95" t="n"/>
      <c r="G169" s="95" t="n"/>
      <c r="H169" s="95" t="n"/>
      <c r="I169" s="96" t="n"/>
      <c r="J169" s="95" t="n"/>
      <c r="K169" s="95" t="n"/>
      <c r="L169" s="95" t="n"/>
      <c r="M169" s="95" t="n"/>
      <c r="N169" s="95" t="n"/>
    </row>
    <row r="170">
      <c r="A170" s="94" t="n"/>
      <c r="B170" s="95" t="n"/>
      <c r="C170" s="95" t="n"/>
      <c r="D170" s="95" t="n"/>
      <c r="E170" s="95" t="n"/>
      <c r="F170" s="95" t="n"/>
      <c r="G170" s="95" t="n"/>
      <c r="H170" s="95" t="n"/>
      <c r="I170" s="96" t="n"/>
      <c r="J170" s="95" t="n"/>
      <c r="K170" s="95" t="n"/>
      <c r="L170" s="95" t="n"/>
      <c r="M170" s="95" t="n"/>
      <c r="N170" s="95" t="n"/>
    </row>
    <row r="171">
      <c r="A171" s="94" t="n"/>
      <c r="B171" s="95" t="n"/>
      <c r="C171" s="95" t="n"/>
      <c r="D171" s="95" t="n"/>
      <c r="E171" s="95" t="n"/>
      <c r="F171" s="95" t="n"/>
      <c r="G171" s="95" t="n"/>
      <c r="H171" s="95" t="n"/>
      <c r="I171" s="96" t="n"/>
      <c r="J171" s="95" t="n"/>
      <c r="K171" s="95" t="n"/>
      <c r="L171" s="95" t="n"/>
      <c r="M171" s="95" t="n"/>
      <c r="N171" s="95" t="n"/>
    </row>
    <row r="172">
      <c r="A172" s="94" t="n"/>
      <c r="B172" s="95" t="n"/>
      <c r="C172" s="95" t="n"/>
      <c r="D172" s="95" t="n"/>
      <c r="E172" s="95" t="n"/>
      <c r="F172" s="95" t="n"/>
      <c r="G172" s="95" t="n"/>
      <c r="H172" s="95" t="n"/>
      <c r="I172" s="96" t="n"/>
      <c r="J172" s="95" t="n"/>
      <c r="K172" s="95" t="n"/>
      <c r="L172" s="95" t="n"/>
      <c r="M172" s="95" t="n"/>
      <c r="N172" s="95" t="n"/>
    </row>
    <row r="173">
      <c r="A173" s="94" t="n"/>
      <c r="B173" s="95" t="n"/>
      <c r="C173" s="95" t="n"/>
      <c r="D173" s="95" t="n"/>
      <c r="E173" s="95" t="n"/>
      <c r="F173" s="95" t="n"/>
      <c r="G173" s="95" t="n"/>
      <c r="H173" s="95" t="n"/>
      <c r="I173" s="96" t="n"/>
      <c r="J173" s="95" t="n"/>
      <c r="K173" s="95" t="n"/>
      <c r="L173" s="95" t="n"/>
      <c r="M173" s="95" t="n"/>
      <c r="N173" s="95" t="n"/>
    </row>
    <row r="174">
      <c r="A174" s="94" t="n"/>
      <c r="B174" s="95" t="n"/>
      <c r="C174" s="95" t="n"/>
      <c r="D174" s="95" t="n"/>
      <c r="E174" s="95" t="n"/>
      <c r="F174" s="95" t="n"/>
      <c r="G174" s="95" t="n"/>
      <c r="H174" s="95" t="n"/>
      <c r="I174" s="96" t="n"/>
      <c r="J174" s="95" t="n"/>
      <c r="K174" s="95" t="n"/>
      <c r="L174" s="95" t="n"/>
      <c r="M174" s="95" t="n"/>
      <c r="N174" s="95" t="n"/>
    </row>
    <row r="175">
      <c r="A175" s="94" t="n"/>
      <c r="B175" s="95" t="n"/>
      <c r="C175" s="95" t="n"/>
      <c r="D175" s="95" t="n"/>
      <c r="E175" s="95" t="n"/>
      <c r="F175" s="95" t="n"/>
      <c r="G175" s="95" t="n"/>
      <c r="H175" s="95" t="n"/>
      <c r="I175" s="96" t="n"/>
      <c r="J175" s="95" t="n"/>
      <c r="K175" s="95" t="n"/>
      <c r="L175" s="95" t="n"/>
      <c r="M175" s="95" t="n"/>
      <c r="N175" s="95" t="n"/>
    </row>
    <row r="176">
      <c r="A176" s="94" t="n"/>
      <c r="B176" s="95" t="n"/>
      <c r="C176" s="95" t="n"/>
      <c r="D176" s="95" t="n"/>
      <c r="E176" s="95" t="n"/>
      <c r="F176" s="95" t="n"/>
      <c r="G176" s="95" t="n"/>
      <c r="H176" s="95" t="n"/>
      <c r="I176" s="96" t="n"/>
      <c r="J176" s="95" t="n"/>
      <c r="K176" s="95" t="n"/>
      <c r="L176" s="95" t="n"/>
      <c r="M176" s="95" t="n"/>
      <c r="N176" s="95" t="n"/>
    </row>
    <row r="177">
      <c r="A177" s="94" t="n"/>
      <c r="B177" s="95" t="n"/>
      <c r="C177" s="95" t="n"/>
      <c r="D177" s="95" t="n"/>
      <c r="E177" s="95" t="n"/>
      <c r="F177" s="95" t="n"/>
      <c r="G177" s="95" t="n"/>
      <c r="H177" s="95" t="n"/>
      <c r="I177" s="96" t="n"/>
      <c r="J177" s="95" t="n"/>
      <c r="K177" s="95" t="n"/>
      <c r="L177" s="95" t="n"/>
      <c r="M177" s="95" t="n"/>
      <c r="N177" s="95" t="n"/>
    </row>
    <row r="178">
      <c r="A178" s="94" t="n"/>
      <c r="B178" s="95" t="n"/>
      <c r="C178" s="95" t="n"/>
      <c r="D178" s="95" t="n"/>
      <c r="E178" s="95" t="n"/>
      <c r="F178" s="95" t="n"/>
      <c r="G178" s="95" t="n"/>
      <c r="H178" s="95" t="n"/>
      <c r="I178" s="96" t="n"/>
      <c r="J178" s="95" t="n"/>
      <c r="K178" s="95" t="n"/>
      <c r="L178" s="95" t="n"/>
      <c r="M178" s="95" t="n"/>
      <c r="N178" s="95" t="n"/>
    </row>
    <row r="179">
      <c r="A179" s="94" t="n"/>
      <c r="B179" s="95" t="n"/>
      <c r="C179" s="95" t="n"/>
      <c r="D179" s="95" t="n"/>
      <c r="E179" s="95" t="n"/>
      <c r="F179" s="95" t="n"/>
      <c r="G179" s="95" t="n"/>
      <c r="H179" s="95" t="n"/>
      <c r="I179" s="96" t="n"/>
      <c r="J179" s="95" t="n"/>
      <c r="K179" s="95" t="n"/>
      <c r="L179" s="95" t="n"/>
      <c r="M179" s="95" t="n"/>
      <c r="N179" s="95" t="n"/>
    </row>
    <row r="180">
      <c r="A180" s="94" t="n"/>
      <c r="B180" s="95" t="n"/>
      <c r="C180" s="95" t="n"/>
      <c r="D180" s="95" t="n"/>
      <c r="E180" s="95" t="n"/>
      <c r="F180" s="95" t="n"/>
      <c r="G180" s="95" t="n"/>
      <c r="H180" s="95" t="n"/>
      <c r="I180" s="96" t="n"/>
      <c r="J180" s="95" t="n"/>
      <c r="K180" s="95" t="n"/>
      <c r="L180" s="95" t="n"/>
      <c r="M180" s="95" t="n"/>
      <c r="N180" s="95" t="n"/>
    </row>
    <row r="181">
      <c r="A181" s="94" t="n"/>
      <c r="B181" s="95" t="n"/>
      <c r="C181" s="95" t="n"/>
      <c r="D181" s="95" t="n"/>
      <c r="E181" s="95" t="n"/>
      <c r="F181" s="95" t="n"/>
      <c r="G181" s="95" t="n"/>
      <c r="H181" s="95" t="n"/>
      <c r="I181" s="96" t="n"/>
      <c r="J181" s="95" t="n"/>
      <c r="K181" s="95" t="n"/>
      <c r="L181" s="95" t="n"/>
      <c r="M181" s="95" t="n"/>
      <c r="N181" s="95" t="n"/>
    </row>
    <row r="182">
      <c r="A182" s="94" t="n"/>
      <c r="B182" s="95" t="n"/>
      <c r="C182" s="95" t="n"/>
      <c r="D182" s="95" t="n"/>
      <c r="E182" s="95" t="n"/>
      <c r="F182" s="95" t="n"/>
      <c r="G182" s="95" t="n"/>
      <c r="H182" s="95" t="n"/>
      <c r="I182" s="96" t="n"/>
      <c r="J182" s="95" t="n"/>
      <c r="K182" s="95" t="n"/>
      <c r="L182" s="95" t="n"/>
      <c r="M182" s="95" t="n"/>
      <c r="N182" s="95" t="n"/>
    </row>
    <row r="183">
      <c r="A183" s="94" t="n"/>
      <c r="B183" s="95" t="n"/>
      <c r="C183" s="95" t="n"/>
      <c r="D183" s="95" t="n"/>
      <c r="E183" s="95" t="n"/>
      <c r="F183" s="95" t="n"/>
      <c r="G183" s="95" t="n"/>
      <c r="H183" s="95" t="n"/>
      <c r="I183" s="96" t="n"/>
      <c r="J183" s="95" t="n"/>
      <c r="K183" s="95" t="n"/>
      <c r="L183" s="95" t="n"/>
      <c r="M183" s="95" t="n"/>
      <c r="N183" s="95" t="n"/>
    </row>
    <row r="184">
      <c r="A184" s="94" t="n"/>
      <c r="B184" s="95" t="n"/>
      <c r="C184" s="95" t="n"/>
      <c r="D184" s="95" t="n"/>
      <c r="E184" s="95" t="n"/>
      <c r="F184" s="95" t="n"/>
      <c r="G184" s="95" t="n"/>
      <c r="H184" s="95" t="n"/>
      <c r="I184" s="96" t="n"/>
      <c r="J184" s="95" t="n"/>
      <c r="K184" s="95" t="n"/>
      <c r="L184" s="95" t="n"/>
      <c r="M184" s="95" t="n"/>
      <c r="N184" s="95" t="n"/>
    </row>
    <row r="185">
      <c r="A185" s="94" t="n"/>
      <c r="B185" s="95" t="n"/>
      <c r="C185" s="95" t="n"/>
      <c r="D185" s="95" t="n"/>
      <c r="E185" s="95" t="n"/>
      <c r="F185" s="95" t="n"/>
      <c r="G185" s="95" t="n"/>
      <c r="H185" s="95" t="n"/>
      <c r="I185" s="96" t="n"/>
      <c r="J185" s="95" t="n"/>
      <c r="K185" s="95" t="n"/>
      <c r="L185" s="95" t="n"/>
      <c r="M185" s="95" t="n"/>
      <c r="N185" s="95" t="n"/>
    </row>
    <row r="186">
      <c r="A186" s="94" t="n"/>
      <c r="B186" s="95" t="n"/>
      <c r="C186" s="95" t="n"/>
      <c r="D186" s="95" t="n"/>
      <c r="E186" s="95" t="n"/>
      <c r="F186" s="95" t="n"/>
      <c r="G186" s="95" t="n"/>
      <c r="H186" s="95" t="n"/>
      <c r="I186" s="96" t="n"/>
      <c r="J186" s="95" t="n"/>
      <c r="K186" s="95" t="n"/>
      <c r="L186" s="95" t="n"/>
      <c r="M186" s="95" t="n"/>
      <c r="N186" s="95" t="n"/>
    </row>
    <row r="187">
      <c r="A187" s="94" t="n"/>
      <c r="B187" s="95" t="n"/>
      <c r="C187" s="95" t="n"/>
      <c r="D187" s="95" t="n"/>
      <c r="E187" s="95" t="n"/>
      <c r="F187" s="95" t="n"/>
      <c r="G187" s="95" t="n"/>
      <c r="H187" s="95" t="n"/>
      <c r="I187" s="96" t="n"/>
      <c r="J187" s="95" t="n"/>
      <c r="K187" s="95" t="n"/>
      <c r="L187" s="95" t="n"/>
      <c r="M187" s="95" t="n"/>
      <c r="N187" s="95" t="n"/>
    </row>
    <row r="188">
      <c r="A188" s="94" t="n"/>
      <c r="B188" s="95" t="n"/>
      <c r="C188" s="95" t="n"/>
      <c r="D188" s="95" t="n"/>
      <c r="E188" s="95" t="n"/>
      <c r="F188" s="95" t="n"/>
      <c r="G188" s="95" t="n"/>
      <c r="H188" s="95" t="n"/>
      <c r="I188" s="96" t="n"/>
      <c r="J188" s="95" t="n"/>
      <c r="K188" s="95" t="n"/>
      <c r="L188" s="95" t="n"/>
      <c r="M188" s="95" t="n"/>
      <c r="N188" s="95" t="n"/>
    </row>
    <row r="189">
      <c r="A189" s="94" t="n"/>
      <c r="B189" s="95" t="n"/>
      <c r="C189" s="95" t="n"/>
      <c r="D189" s="95" t="n"/>
      <c r="E189" s="95" t="n"/>
      <c r="F189" s="95" t="n"/>
      <c r="G189" s="95" t="n"/>
      <c r="H189" s="95" t="n"/>
      <c r="I189" s="96" t="n"/>
      <c r="J189" s="95" t="n"/>
      <c r="K189" s="95" t="n"/>
      <c r="L189" s="95" t="n"/>
      <c r="M189" s="95" t="n"/>
      <c r="N189" s="95" t="n"/>
    </row>
    <row r="190">
      <c r="A190" s="94" t="n"/>
      <c r="B190" s="95" t="n"/>
      <c r="C190" s="95" t="n"/>
      <c r="D190" s="95" t="n"/>
      <c r="E190" s="95" t="n"/>
      <c r="F190" s="95" t="n"/>
      <c r="G190" s="95" t="n"/>
      <c r="H190" s="95" t="n"/>
      <c r="I190" s="96" t="n"/>
      <c r="J190" s="95" t="n"/>
      <c r="K190" s="95" t="n"/>
      <c r="L190" s="95" t="n"/>
      <c r="M190" s="95" t="n"/>
      <c r="N190" s="95" t="n"/>
    </row>
    <row r="191">
      <c r="A191" s="94" t="n"/>
      <c r="B191" s="95" t="n"/>
      <c r="C191" s="95" t="n"/>
      <c r="D191" s="95" t="n"/>
      <c r="E191" s="95" t="n"/>
      <c r="F191" s="95" t="n"/>
      <c r="G191" s="95" t="n"/>
      <c r="H191" s="95" t="n"/>
      <c r="I191" s="96" t="n"/>
      <c r="J191" s="95" t="n"/>
      <c r="K191" s="95" t="n"/>
      <c r="L191" s="95" t="n"/>
      <c r="M191" s="95" t="n"/>
      <c r="N191" s="95" t="n"/>
    </row>
    <row r="192">
      <c r="A192" s="94" t="n"/>
      <c r="B192" s="95" t="n"/>
      <c r="C192" s="95" t="n"/>
      <c r="D192" s="95" t="n"/>
      <c r="E192" s="95" t="n"/>
      <c r="F192" s="95" t="n"/>
      <c r="G192" s="95" t="n"/>
      <c r="H192" s="95" t="n"/>
      <c r="I192" s="96" t="n"/>
      <c r="J192" s="95" t="n"/>
      <c r="K192" s="95" t="n"/>
      <c r="L192" s="95" t="n"/>
      <c r="M192" s="95" t="n"/>
      <c r="N192" s="95" t="n"/>
    </row>
    <row r="193">
      <c r="A193" s="94" t="n"/>
      <c r="B193" s="95" t="n"/>
      <c r="C193" s="95" t="n"/>
      <c r="D193" s="95" t="n"/>
      <c r="E193" s="95" t="n"/>
      <c r="F193" s="95" t="n"/>
      <c r="G193" s="95" t="n"/>
      <c r="H193" s="95" t="n"/>
      <c r="I193" s="96" t="n"/>
      <c r="J193" s="95" t="n"/>
      <c r="K193" s="95" t="n"/>
      <c r="L193" s="95" t="n"/>
      <c r="M193" s="95" t="n"/>
      <c r="N193" s="95" t="n"/>
    </row>
    <row r="194">
      <c r="A194" s="94" t="n"/>
      <c r="B194" s="95" t="n"/>
      <c r="C194" s="95" t="n"/>
      <c r="D194" s="95" t="n"/>
      <c r="E194" s="95" t="n"/>
      <c r="F194" s="95" t="n"/>
      <c r="G194" s="95" t="n"/>
      <c r="H194" s="95" t="n"/>
      <c r="I194" s="96" t="n"/>
      <c r="J194" s="95" t="n"/>
      <c r="K194" s="95" t="n"/>
      <c r="L194" s="95" t="n"/>
      <c r="M194" s="95" t="n"/>
      <c r="N194" s="95" t="n"/>
    </row>
    <row r="195">
      <c r="A195" s="94" t="n"/>
      <c r="B195" s="95" t="n"/>
      <c r="C195" s="95" t="n"/>
      <c r="D195" s="95" t="n"/>
      <c r="E195" s="95" t="n"/>
      <c r="F195" s="95" t="n"/>
      <c r="G195" s="95" t="n"/>
      <c r="H195" s="95" t="n"/>
      <c r="I195" s="96" t="n"/>
      <c r="J195" s="95" t="n"/>
      <c r="K195" s="95" t="n"/>
      <c r="L195" s="95" t="n"/>
      <c r="M195" s="95" t="n"/>
      <c r="N195" s="95" t="n"/>
    </row>
    <row r="196" ht="16" customHeight="1">
      <c r="A196" s="94" t="n"/>
      <c r="B196" s="95" t="n"/>
      <c r="C196" s="95" t="n"/>
      <c r="D196" s="95" t="n"/>
      <c r="E196" s="95" t="n"/>
      <c r="F196" s="95" t="n"/>
      <c r="G196" s="95" t="n"/>
      <c r="H196" s="95" t="n"/>
      <c r="I196" s="96" t="n"/>
      <c r="J196" s="95" t="n"/>
      <c r="K196" s="95" t="n"/>
      <c r="L196" s="95" t="n"/>
      <c r="M196" s="95" t="n"/>
      <c r="N196" s="95" t="n"/>
    </row>
    <row r="197">
      <c r="A197" s="94" t="n"/>
      <c r="B197" s="95" t="n"/>
      <c r="C197" s="95" t="n"/>
      <c r="D197" s="95" t="n"/>
      <c r="E197" s="95" t="n"/>
      <c r="F197" s="95" t="n"/>
      <c r="G197" s="95" t="n"/>
      <c r="H197" s="95" t="n"/>
      <c r="I197" s="96" t="n"/>
    </row>
    <row r="198">
      <c r="A198" s="94" t="n"/>
      <c r="B198" s="95" t="n"/>
      <c r="C198" s="95" t="n"/>
      <c r="D198" s="95" t="n"/>
      <c r="E198" s="95" t="n"/>
      <c r="F198" s="95" t="n"/>
      <c r="G198" s="95" t="n"/>
      <c r="H198" s="95" t="n"/>
      <c r="I198" s="96" t="n"/>
    </row>
    <row r="199">
      <c r="A199" s="94" t="n"/>
      <c r="B199" s="95" t="n"/>
      <c r="C199" s="95" t="n"/>
      <c r="D199" s="95" t="n"/>
      <c r="E199" s="95" t="n"/>
      <c r="F199" s="95" t="n"/>
      <c r="G199" s="95" t="n"/>
      <c r="H199" s="95" t="n"/>
      <c r="I199" s="96" t="n"/>
    </row>
    <row r="200">
      <c r="A200" s="95" t="n"/>
      <c r="B200" s="95" t="n"/>
      <c r="C200" s="95" t="n"/>
      <c r="D200" s="95" t="n"/>
      <c r="E200" s="95" t="n"/>
      <c r="F200" s="95" t="n"/>
      <c r="G200" s="95" t="n"/>
      <c r="H200" s="95" t="n"/>
      <c r="I200" s="95" t="n"/>
      <c r="J200" s="95" t="n"/>
      <c r="K200" s="95" t="n"/>
      <c r="L200" s="95" t="n"/>
    </row>
    <row r="201" ht="19" customHeight="1" thickBot="1">
      <c r="A201" s="99" t="n"/>
      <c r="B201" s="99" t="n"/>
      <c r="C201" s="99" t="n"/>
      <c r="D201" s="99" t="n"/>
      <c r="E201" s="99" t="n"/>
      <c r="F201" s="99" t="n"/>
      <c r="G201" s="99" t="n"/>
      <c r="H201" s="99" t="n"/>
      <c r="I201" s="99" t="n"/>
      <c r="J201" s="95" t="n"/>
      <c r="K201" s="95" t="n"/>
      <c r="L201" s="95" t="n"/>
    </row>
    <row r="202">
      <c r="A202" s="95" t="n"/>
      <c r="B202" s="95" t="n"/>
      <c r="C202" s="95" t="n"/>
      <c r="D202" s="95" t="n"/>
      <c r="E202" s="95" t="n"/>
      <c r="F202" s="95" t="n"/>
      <c r="G202" s="95" t="n"/>
      <c r="H202" s="95" t="n"/>
      <c r="I202" s="95" t="n"/>
      <c r="J202" s="95" t="n"/>
      <c r="K202" s="95" t="n"/>
      <c r="L202" s="95" t="n"/>
    </row>
    <row r="203">
      <c r="A203" s="95" t="n"/>
      <c r="B203" s="95" t="n"/>
      <c r="C203" s="95" t="n"/>
      <c r="D203" s="95" t="n"/>
      <c r="E203" s="95" t="n"/>
      <c r="F203" s="95" t="n"/>
      <c r="G203" s="95" t="n"/>
      <c r="H203" s="95" t="n"/>
      <c r="I203" s="95" t="n"/>
      <c r="J203" s="95" t="n"/>
      <c r="K203" s="95" t="n"/>
      <c r="L203" s="95" t="n"/>
    </row>
    <row r="204">
      <c r="A204" s="95" t="n"/>
      <c r="B204" s="95" t="n"/>
      <c r="C204" s="95" t="n"/>
      <c r="D204" s="95" t="n"/>
      <c r="E204" s="95" t="n"/>
      <c r="F204" s="95" t="n"/>
      <c r="G204" s="95" t="n"/>
      <c r="H204" s="95" t="n"/>
      <c r="I204" s="95" t="n"/>
      <c r="J204" s="95" t="n"/>
      <c r="K204" s="95" t="n"/>
      <c r="L204" s="95" t="n"/>
    </row>
    <row r="205">
      <c r="A205" s="95" t="n"/>
      <c r="B205" s="95" t="n"/>
      <c r="C205" s="95" t="n"/>
      <c r="D205" s="95" t="n"/>
      <c r="E205" s="95" t="n"/>
      <c r="F205" s="95" t="n"/>
      <c r="G205" s="95" t="n"/>
      <c r="H205" s="95" t="n"/>
      <c r="I205" s="95" t="n"/>
      <c r="J205" s="95" t="n"/>
      <c r="K205" s="95" t="n"/>
      <c r="L205" s="95" t="n"/>
    </row>
    <row r="206">
      <c r="A206" s="95" t="n"/>
      <c r="B206" s="95" t="n"/>
      <c r="C206" s="95" t="n"/>
      <c r="D206" s="95" t="n"/>
      <c r="E206" s="95" t="n"/>
      <c r="F206" s="95" t="n"/>
      <c r="G206" s="95" t="n"/>
      <c r="H206" s="95" t="n"/>
      <c r="I206" s="95" t="n"/>
      <c r="J206" s="95" t="n"/>
      <c r="K206" s="95" t="n"/>
      <c r="L206" s="95" t="n"/>
    </row>
    <row r="207">
      <c r="A207" s="94" t="n"/>
      <c r="B207" s="95" t="n"/>
      <c r="C207" s="95" t="n"/>
      <c r="D207" s="95" t="n"/>
      <c r="E207" s="95" t="n"/>
      <c r="F207" s="95" t="n"/>
      <c r="G207" s="95" t="n"/>
      <c r="H207" s="95" t="n"/>
      <c r="I207" s="95" t="n"/>
      <c r="J207" s="95" t="n"/>
      <c r="K207" s="95" t="n"/>
      <c r="L207" s="95" t="n"/>
    </row>
    <row r="208">
      <c r="A208" s="94" t="n"/>
      <c r="B208" s="95" t="n"/>
      <c r="C208" s="95" t="n"/>
      <c r="D208" s="95" t="n"/>
      <c r="E208" s="95" t="n"/>
      <c r="F208" s="95" t="n"/>
      <c r="G208" s="95" t="n"/>
      <c r="H208" s="95" t="n"/>
      <c r="I208" s="95" t="n"/>
      <c r="J208" s="95" t="n"/>
      <c r="K208" s="95" t="n"/>
      <c r="L208" s="95" t="n"/>
    </row>
    <row r="209">
      <c r="A209" s="94" t="n"/>
      <c r="B209" s="95" t="n"/>
      <c r="C209" s="95" t="n"/>
      <c r="D209" s="95" t="n"/>
      <c r="E209" s="95" t="n"/>
      <c r="F209" s="95" t="n"/>
      <c r="G209" s="95" t="n"/>
      <c r="H209" s="95" t="n"/>
      <c r="I209" s="95" t="n"/>
      <c r="J209" s="95" t="n"/>
      <c r="K209" s="95" t="n"/>
      <c r="L209" s="95" t="n"/>
    </row>
    <row r="210">
      <c r="A210" s="94"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A216" s="94" t="n"/>
      <c r="B216" s="95" t="n"/>
      <c r="C216" s="95" t="n"/>
      <c r="D216" s="95" t="n"/>
      <c r="E216" s="95" t="n"/>
      <c r="F216" s="95" t="n"/>
      <c r="G216" s="95" t="n"/>
      <c r="H216" s="95" t="n"/>
      <c r="I216" s="95" t="n"/>
      <c r="J216" s="95" t="n"/>
      <c r="K216" s="95" t="n"/>
      <c r="L216" s="95" t="n"/>
    </row>
    <row r="217">
      <c r="A217" s="94" t="n"/>
      <c r="B217" s="95" t="n"/>
      <c r="C217" s="95" t="n"/>
      <c r="D217" s="95" t="n"/>
      <c r="E217" s="95" t="n"/>
      <c r="F217" s="95" t="n"/>
      <c r="G217" s="95" t="n"/>
      <c r="H217" s="95" t="n"/>
      <c r="I217" s="95" t="n"/>
      <c r="J217" s="95" t="n"/>
      <c r="K217" s="95" t="n"/>
      <c r="L217" s="95" t="n"/>
    </row>
    <row r="218">
      <c r="G218" s="95" t="n"/>
      <c r="H218" s="95" t="n"/>
      <c r="I218" s="95" t="n"/>
      <c r="J218" s="95" t="n"/>
      <c r="K218" s="95" t="n"/>
      <c r="L218" s="95" t="n"/>
    </row>
    <row r="219">
      <c r="G219" s="95" t="n"/>
      <c r="H219" s="95" t="n"/>
      <c r="I219" s="95" t="n"/>
      <c r="J219" s="95" t="n"/>
      <c r="K219" s="95" t="n"/>
      <c r="L219" s="95" t="n"/>
    </row>
    <row r="220">
      <c r="G220" s="95" t="n"/>
      <c r="H220" s="95" t="n"/>
      <c r="I220" s="95" t="n"/>
      <c r="J220" s="95" t="n"/>
      <c r="K220" s="95" t="n"/>
      <c r="L220" s="95" t="n"/>
    </row>
  </sheetData>
  <mergeCells count="42">
    <mergeCell ref="A65:I65"/>
    <mergeCell ref="D13:F13"/>
    <mergeCell ref="G13:I13"/>
    <mergeCell ref="B8:D8"/>
    <mergeCell ref="A66:I66"/>
    <mergeCell ref="D41:I41"/>
    <mergeCell ref="A12:I12"/>
    <mergeCell ref="C57:I57"/>
    <mergeCell ref="D43:I43"/>
    <mergeCell ref="B52:I52"/>
    <mergeCell ref="B48:I48"/>
    <mergeCell ref="A47:I47"/>
    <mergeCell ref="A5:I5"/>
    <mergeCell ref="B42:C42"/>
    <mergeCell ref="B9:D9"/>
    <mergeCell ref="A53:I53"/>
    <mergeCell ref="B6:D6"/>
    <mergeCell ref="A62:I62"/>
    <mergeCell ref="A45:I46"/>
    <mergeCell ref="D42:I42"/>
    <mergeCell ref="A63:I63"/>
    <mergeCell ref="A13:C13"/>
    <mergeCell ref="A10:I10"/>
    <mergeCell ref="A1:I4"/>
    <mergeCell ref="A44:I44"/>
    <mergeCell ref="A58:I58"/>
    <mergeCell ref="C54:I54"/>
    <mergeCell ref="B40:C40"/>
    <mergeCell ref="B7:D7"/>
    <mergeCell ref="B49:I49"/>
    <mergeCell ref="C55:I55"/>
    <mergeCell ref="A64:I64"/>
    <mergeCell ref="A59:I59"/>
    <mergeCell ref="A11:I11"/>
    <mergeCell ref="A43:B43"/>
    <mergeCell ref="C56:I56"/>
    <mergeCell ref="A60:I60"/>
    <mergeCell ref="B51:I51"/>
    <mergeCell ref="D40:I40"/>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102" min="0" max="8" man="1"/>
  </rowBreaks>
</worksheet>
</file>

<file path=xl/worksheets/sheet12.xml><?xml version="1.0" encoding="utf-8"?>
<worksheet xmlns="http://schemas.openxmlformats.org/spreadsheetml/2006/main">
  <sheetPr>
    <outlinePr summaryBelow="1" summaryRight="1"/>
    <pageSetUpPr fitToPage="1"/>
  </sheetPr>
  <dimension ref="A1:N218"/>
  <sheetViews>
    <sheetView tabSelected="1" view="pageBreakPreview" zoomScale="60" zoomScaleNormal="55" workbookViewId="0">
      <selection activeCell="A65" sqref="A65"/>
    </sheetView>
  </sheetViews>
  <sheetFormatPr baseColWidth="8" defaultColWidth="9.1796875" defaultRowHeight="18.5"/>
  <cols>
    <col width="50.6328125" customWidth="1" style="138" min="1" max="1"/>
    <col width="30.6328125" customWidth="1" style="138" min="2" max="2"/>
    <col width="18.6328125" customWidth="1" style="138" min="3" max="3"/>
    <col width="50.6328125" customWidth="1" style="138" min="4" max="4"/>
    <col width="30.6328125" customWidth="1" style="138" min="5" max="5"/>
    <col width="18.6328125" customWidth="1" style="138" min="6" max="6"/>
    <col width="50.6328125" customWidth="1" style="138" min="7" max="7"/>
    <col width="30.6328125" customWidth="1" style="138" min="8" max="8"/>
    <col width="18.6328125" customWidth="1" style="138" min="9" max="9"/>
    <col width="9.1796875" customWidth="1" style="138" min="10" max="10"/>
    <col width="9.1796875" customWidth="1" style="138" min="11" max="16384"/>
  </cols>
  <sheetData>
    <row r="1">
      <c r="A1" s="134" t="n"/>
      <c r="B1" s="226" t="n"/>
      <c r="C1" s="226" t="n"/>
      <c r="D1" s="226" t="n"/>
      <c r="E1" s="226" t="n"/>
      <c r="F1" s="226" t="n"/>
      <c r="G1" s="226" t="n"/>
      <c r="H1" s="226" t="n"/>
      <c r="I1" s="227" t="n"/>
    </row>
    <row r="2">
      <c r="A2" s="228" t="n"/>
      <c r="I2" s="229" t="n"/>
    </row>
    <row r="3">
      <c r="A3" s="228" t="n"/>
      <c r="I3" s="229" t="n"/>
    </row>
    <row r="4">
      <c r="A4" s="230" t="n"/>
      <c r="B4" s="231" t="n"/>
      <c r="C4" s="231" t="n"/>
      <c r="D4" s="231" t="n"/>
      <c r="E4" s="231" t="n"/>
      <c r="F4" s="231" t="n"/>
      <c r="G4" s="231" t="n"/>
      <c r="H4" s="231" t="n"/>
      <c r="I4" s="232" t="n"/>
    </row>
    <row r="5" ht="25" customHeight="1">
      <c r="A5" s="142" t="inlineStr">
        <is>
          <t>TCD DAILY FIELD REPORT</t>
        </is>
      </c>
      <c r="B5" s="233" t="n"/>
      <c r="C5" s="233" t="n"/>
      <c r="D5" s="233" t="n"/>
      <c r="E5" s="233" t="n"/>
      <c r="F5" s="233" t="n"/>
      <c r="G5" s="233" t="n"/>
      <c r="H5" s="233" t="n"/>
      <c r="I5" s="234" t="n"/>
    </row>
    <row r="6" ht="23.25" customHeight="1">
      <c r="A6" s="2" t="inlineStr">
        <is>
          <t>Project Name:</t>
        </is>
      </c>
      <c r="B6" s="145" t="inlineStr">
        <is>
          <t>Batavia Station Square</t>
        </is>
      </c>
      <c r="E6" s="145" t="n"/>
      <c r="F6" s="108" t="n"/>
      <c r="G6" s="108" t="n"/>
      <c r="H6" s="109" t="inlineStr">
        <is>
          <t>Date:</t>
        </is>
      </c>
      <c r="I6" s="3" t="n">
        <v>45975</v>
      </c>
    </row>
    <row r="7" ht="23.25" customHeight="1">
      <c r="A7" s="2" t="inlineStr">
        <is>
          <t>Project Location:</t>
        </is>
      </c>
      <c r="B7" s="145" t="inlineStr">
        <is>
          <t>Geraldton</t>
        </is>
      </c>
      <c r="E7" s="145" t="n"/>
      <c r="F7" s="108" t="n"/>
      <c r="G7" s="108" t="n"/>
      <c r="H7" s="110" t="inlineStr">
        <is>
          <t>Day:</t>
        </is>
      </c>
      <c r="I7" s="4">
        <f>WEEKDAY(I6)</f>
        <v/>
      </c>
    </row>
    <row r="8" ht="23.25" customHeight="1">
      <c r="A8" s="2" t="inlineStr">
        <is>
          <t>Project Number:</t>
        </is>
      </c>
      <c r="B8" s="145" t="inlineStr">
        <is>
          <t>TCD-1816</t>
        </is>
      </c>
      <c r="E8" s="145" t="n"/>
      <c r="F8" s="108" t="n"/>
      <c r="G8" s="108" t="n"/>
      <c r="H8" s="110" t="inlineStr">
        <is>
          <t>Start:</t>
        </is>
      </c>
      <c r="I8" s="5" t="inlineStr">
        <is>
          <t xml:space="preserve">  6:00</t>
        </is>
      </c>
    </row>
    <row r="9" ht="23.25" customHeight="1">
      <c r="A9" s="2" t="inlineStr">
        <is>
          <t>Report Number:</t>
        </is>
      </c>
      <c r="B9" s="132">
        <f t="array" ref="B9">RIGHT(CELL("filename",A1),LEN(CELL("filename",A1))-FIND("]",CELL("filename",A1)))</f>
        <v/>
      </c>
      <c r="C9" s="231" t="n"/>
      <c r="D9" s="231" t="n"/>
      <c r="E9" s="132" t="n"/>
      <c r="F9" s="7" t="n"/>
      <c r="G9" s="7" t="n"/>
      <c r="H9" s="110" t="inlineStr">
        <is>
          <t>Finish:</t>
        </is>
      </c>
      <c r="I9" s="8" t="n">
        <v>0.7708333333333334</v>
      </c>
    </row>
    <row r="10" ht="25" customHeight="1">
      <c r="A10" s="146" t="inlineStr">
        <is>
          <t>WEATHER &amp; GROUND CONDITIONS</t>
        </is>
      </c>
      <c r="B10" s="233" t="n"/>
      <c r="C10" s="233" t="n"/>
      <c r="D10" s="233" t="n"/>
      <c r="E10" s="233" t="n"/>
      <c r="F10" s="233" t="n"/>
      <c r="G10" s="233" t="n"/>
      <c r="H10" s="233" t="n"/>
      <c r="I10" s="235" t="n"/>
    </row>
    <row r="11" ht="23.25" customHeight="1">
      <c r="A11" s="147" t="inlineStr">
        <is>
          <t>Temperature: 18-330C,  Wind:  35 km/h SSE, Precip: 0 mm</t>
        </is>
      </c>
      <c r="B11" s="233" t="n"/>
      <c r="C11" s="233" t="n"/>
      <c r="D11" s="233" t="n"/>
      <c r="E11" s="233" t="n"/>
      <c r="F11" s="233" t="n"/>
      <c r="G11" s="233" t="n"/>
      <c r="H11" s="233" t="n"/>
      <c r="I11" s="235" t="n"/>
      <c r="J11" s="9" t="n"/>
    </row>
    <row r="12" ht="25" customHeight="1">
      <c r="A12" s="148" t="inlineStr">
        <is>
          <t>PERSONNEL</t>
        </is>
      </c>
      <c r="B12" s="236" t="n"/>
      <c r="C12" s="236" t="n"/>
      <c r="D12" s="236" t="n"/>
      <c r="E12" s="236" t="n"/>
      <c r="F12" s="236" t="n"/>
      <c r="G12" s="236" t="n"/>
      <c r="H12" s="236" t="n"/>
      <c r="I12" s="237" t="n"/>
    </row>
    <row r="13" ht="23.25" customHeight="1" thickBot="1">
      <c r="A13" s="151" t="inlineStr">
        <is>
          <t>TCD Indirects</t>
        </is>
      </c>
      <c r="B13" s="236" t="n"/>
      <c r="C13" s="238" t="n"/>
      <c r="D13" s="152" t="inlineStr">
        <is>
          <t>TCD Directs</t>
        </is>
      </c>
      <c r="E13" s="236" t="n"/>
      <c r="F13" s="238" t="n"/>
      <c r="G13" s="154" t="inlineStr">
        <is>
          <t>Subcontractors</t>
        </is>
      </c>
      <c r="H13" s="236" t="n"/>
      <c r="I13" s="238" t="n"/>
    </row>
    <row r="14" ht="24" customHeight="1" thickBot="1" thickTop="1">
      <c r="A14" s="10" t="inlineStr">
        <is>
          <t xml:space="preserve"> Name</t>
        </is>
      </c>
      <c r="B14" s="11" t="inlineStr">
        <is>
          <t>Position</t>
        </is>
      </c>
      <c r="C14" s="12" t="inlineStr">
        <is>
          <t>Hours</t>
        </is>
      </c>
      <c r="D14" s="13" t="inlineStr">
        <is>
          <t xml:space="preserve"> Name</t>
        </is>
      </c>
      <c r="E14" s="11" t="inlineStr">
        <is>
          <t>Position</t>
        </is>
      </c>
      <c r="F14" s="14" t="inlineStr">
        <is>
          <t>Hours</t>
        </is>
      </c>
      <c r="G14" s="15" t="inlineStr">
        <is>
          <t xml:space="preserve"> Name</t>
        </is>
      </c>
      <c r="H14" s="11" t="inlineStr">
        <is>
          <t>Position</t>
        </is>
      </c>
      <c r="I14" s="16" t="inlineStr">
        <is>
          <t>Hours</t>
        </is>
      </c>
    </row>
    <row r="15" ht="23.25" customHeight="1" thickTop="1">
      <c r="A15" s="17" t="inlineStr">
        <is>
          <t>WATKINS, Steve</t>
        </is>
      </c>
      <c r="B15" s="18" t="inlineStr">
        <is>
          <t>Civil Manager</t>
        </is>
      </c>
      <c r="C15" s="19" t="n"/>
      <c r="D15" s="20" t="inlineStr">
        <is>
          <t>Asmatullayev, Ikhtiyar</t>
        </is>
      </c>
      <c r="E15" s="18" t="inlineStr">
        <is>
          <t>Labourer</t>
        </is>
      </c>
      <c r="F15" s="21" t="n">
        <v>12</v>
      </c>
      <c r="G15" s="22" t="inlineStr">
        <is>
          <t>McAuliffe, Daniel</t>
        </is>
      </c>
      <c r="H15" s="18" t="inlineStr">
        <is>
          <t>Operator</t>
        </is>
      </c>
      <c r="I15" s="23" t="n">
        <v>10</v>
      </c>
    </row>
    <row r="16" ht="23.25" customHeight="1">
      <c r="A16" s="24" t="inlineStr">
        <is>
          <t>GRIFFITHS, Daniel</t>
        </is>
      </c>
      <c r="B16" s="25" t="inlineStr">
        <is>
          <t>Project Manager</t>
        </is>
      </c>
      <c r="C16" s="26" t="n">
        <v>12</v>
      </c>
      <c r="D16" s="27" t="inlineStr">
        <is>
          <t>McGahon,Aideen</t>
        </is>
      </c>
      <c r="E16" s="25" t="inlineStr">
        <is>
          <t>Operator</t>
        </is>
      </c>
      <c r="F16" s="28" t="n">
        <v>12</v>
      </c>
      <c r="G16" s="29" t="inlineStr">
        <is>
          <t>Mosley,Joshua</t>
        </is>
      </c>
      <c r="H16" s="25" t="inlineStr">
        <is>
          <t>Surveyor</t>
        </is>
      </c>
      <c r="I16" s="30" t="n">
        <v>5</v>
      </c>
    </row>
    <row r="17" ht="23.25" customHeight="1">
      <c r="A17" s="24" t="inlineStr">
        <is>
          <t>O"SHEA, John</t>
        </is>
      </c>
      <c r="B17" s="25" t="inlineStr">
        <is>
          <t>Senior Project Engineer</t>
        </is>
      </c>
      <c r="C17" s="26" t="n">
        <v>12</v>
      </c>
      <c r="D17" s="27" t="n"/>
      <c r="E17" s="25" t="n"/>
      <c r="F17" s="28" t="n"/>
      <c r="G17" s="112" t="inlineStr">
        <is>
          <t>Levy, Laurent</t>
        </is>
      </c>
      <c r="H17" s="113" t="inlineStr">
        <is>
          <t>Operator</t>
        </is>
      </c>
      <c r="I17" s="114" t="n">
        <v>10</v>
      </c>
    </row>
    <row r="18" ht="23.25" customHeight="1">
      <c r="A18" s="24" t="inlineStr">
        <is>
          <t>GRIFFITHS, Ashley</t>
        </is>
      </c>
      <c r="B18" s="25" t="inlineStr">
        <is>
          <t>Supervisor</t>
        </is>
      </c>
      <c r="C18" s="26" t="n">
        <v>10</v>
      </c>
      <c r="D18" s="31" t="n"/>
      <c r="E18" s="32" t="n"/>
      <c r="F18" s="28" t="n"/>
      <c r="G18" s="29" t="inlineStr">
        <is>
          <t>Griffiths, Jaquai</t>
        </is>
      </c>
      <c r="H18" s="25" t="inlineStr">
        <is>
          <t>Operator</t>
        </is>
      </c>
      <c r="I18" s="30" t="n">
        <v>10</v>
      </c>
    </row>
    <row r="19" ht="23.25" customHeight="1">
      <c r="A19" s="24" t="inlineStr">
        <is>
          <t>THOMPSON,Cheryl</t>
        </is>
      </c>
      <c r="B19" s="25" t="inlineStr">
        <is>
          <t>HSET</t>
        </is>
      </c>
      <c r="C19" s="26" t="n"/>
      <c r="D19" s="31" t="n"/>
      <c r="E19" s="32" t="n"/>
      <c r="F19" s="28" t="n"/>
      <c r="G19" s="29" t="inlineStr">
        <is>
          <t>McConnell, Adam</t>
        </is>
      </c>
      <c r="H19" s="25" t="inlineStr">
        <is>
          <t>Labourer</t>
        </is>
      </c>
      <c r="I19" s="30" t="n">
        <v>12</v>
      </c>
    </row>
    <row r="20" ht="23.25" customHeight="1">
      <c r="A20" s="24" t="inlineStr">
        <is>
          <t>TONER, Ultan</t>
        </is>
      </c>
      <c r="B20" s="25" t="inlineStr">
        <is>
          <t>Supervisor</t>
        </is>
      </c>
      <c r="C20" s="26" t="n">
        <v>12</v>
      </c>
      <c r="D20" s="31" t="n"/>
      <c r="E20" s="32" t="n"/>
      <c r="F20" s="28" t="n"/>
      <c r="G20" s="29" t="inlineStr">
        <is>
          <t>Henelly, DJ</t>
        </is>
      </c>
      <c r="H20" s="25" t="inlineStr">
        <is>
          <t>Labourer</t>
        </is>
      </c>
      <c r="I20" s="30" t="n">
        <v>12</v>
      </c>
    </row>
    <row r="21" ht="23.25" customHeight="1">
      <c r="A21" s="24" t="inlineStr">
        <is>
          <t>SKINNER, Jamie</t>
        </is>
      </c>
      <c r="B21" s="25" t="inlineStr">
        <is>
          <t>Supervisor</t>
        </is>
      </c>
      <c r="C21" s="26" t="n">
        <v>12</v>
      </c>
      <c r="D21" s="31" t="n"/>
      <c r="E21" s="32" t="n"/>
      <c r="F21" s="28" t="n"/>
      <c r="G21" s="29" t="inlineStr">
        <is>
          <t>Pavers</t>
        </is>
      </c>
      <c r="H21" s="25" t="inlineStr">
        <is>
          <t>Pavers</t>
        </is>
      </c>
      <c r="I21" s="30" t="n">
        <v>40</v>
      </c>
    </row>
    <row r="22" ht="23.25" customHeight="1">
      <c r="A22" s="33" t="n"/>
      <c r="B22" s="34" t="n"/>
      <c r="C22" s="35" t="n"/>
      <c r="D22" s="36" t="n"/>
      <c r="E22" s="37" t="n"/>
      <c r="F22" s="38" t="n"/>
      <c r="G22" s="224" t="inlineStr">
        <is>
          <t>Catwest</t>
        </is>
      </c>
      <c r="H22" s="225" t="inlineStr">
        <is>
          <t>Asphalters</t>
        </is>
      </c>
      <c r="I22" s="127">
        <f>7*5</f>
        <v/>
      </c>
    </row>
    <row r="23" ht="23.25" customHeight="1" thickBot="1">
      <c r="A23" s="130" t="n"/>
      <c r="B23" s="120" t="n"/>
      <c r="C23" s="121" t="n"/>
      <c r="D23" s="122" t="n"/>
      <c r="E23" s="123" t="n"/>
      <c r="F23" s="124" t="n"/>
      <c r="G23" s="125" t="n"/>
      <c r="H23" s="126" t="n"/>
      <c r="I23" s="128" t="n"/>
    </row>
    <row r="24" ht="23.25" customHeight="1" thickTop="1">
      <c r="A24" s="173" t="inlineStr">
        <is>
          <t xml:space="preserve">Total Indirect Personnel onsite: </t>
        </is>
      </c>
      <c r="B24" s="116">
        <f>COUNT(C15:C23)</f>
        <v/>
      </c>
      <c r="C24" s="117" t="n"/>
      <c r="D24" s="118" t="inlineStr">
        <is>
          <t xml:space="preserve">Total Direct Personnel onsite:  </t>
        </is>
      </c>
      <c r="E24" s="116">
        <f>COUNT(F15:F23)</f>
        <v/>
      </c>
      <c r="F24" s="21" t="n"/>
      <c r="G24" s="119" t="inlineStr">
        <is>
          <t>Total Subcontractor on-site:</t>
        </is>
      </c>
      <c r="H24" s="116">
        <f>COUNT(I15:I21)</f>
        <v/>
      </c>
      <c r="I24" s="23" t="n"/>
    </row>
    <row r="25" ht="23.25" customHeight="1">
      <c r="A25" s="48" t="inlineStr">
        <is>
          <t xml:space="preserve">Total Indirect Personnel hours: </t>
        </is>
      </c>
      <c r="B25" s="93">
        <f>SUM(C15:C21)</f>
        <v/>
      </c>
      <c r="C25" s="52" t="n"/>
      <c r="D25" s="50" t="inlineStr">
        <is>
          <t xml:space="preserve">Total Direct Personnel hours: </t>
        </is>
      </c>
      <c r="E25" s="93">
        <f>SUM(F15:F16)</f>
        <v/>
      </c>
      <c r="F25" s="53" t="n"/>
      <c r="G25" s="51" t="inlineStr">
        <is>
          <t>Total Subcontractor hours:</t>
        </is>
      </c>
      <c r="H25" s="93">
        <f>SUM(I11:I21)</f>
        <v/>
      </c>
      <c r="I25" s="200" t="n"/>
    </row>
    <row r="26" ht="25" customHeight="1">
      <c r="A26" s="56" t="inlineStr">
        <is>
          <t>PLANT &amp; EQUIPMENT</t>
        </is>
      </c>
      <c r="B26" s="57" t="n"/>
      <c r="C26" s="57" t="n"/>
      <c r="D26" s="57" t="n"/>
      <c r="E26" s="57" t="n"/>
      <c r="F26" s="57" t="n"/>
      <c r="G26" s="57" t="n"/>
      <c r="H26" s="57" t="n"/>
      <c r="I26" s="58" t="n"/>
    </row>
    <row r="27" ht="24" customHeight="1" thickBot="1">
      <c r="A27" s="59" t="inlineStr">
        <is>
          <t>Plant</t>
        </is>
      </c>
      <c r="B27" s="60" t="inlineStr">
        <is>
          <t>ID</t>
        </is>
      </c>
      <c r="C27" s="61" t="inlineStr">
        <is>
          <t>Hrs</t>
        </is>
      </c>
      <c r="D27" s="62" t="inlineStr">
        <is>
          <t xml:space="preserve"> Vehicles</t>
        </is>
      </c>
      <c r="E27" s="60" t="inlineStr">
        <is>
          <t>ID</t>
        </is>
      </c>
      <c r="F27" s="63" t="inlineStr">
        <is>
          <t>QTY</t>
        </is>
      </c>
      <c r="G27" s="64" t="inlineStr">
        <is>
          <t>Site Facilities</t>
        </is>
      </c>
      <c r="H27" s="65" t="inlineStr">
        <is>
          <t>ID</t>
        </is>
      </c>
      <c r="I27" s="66" t="inlineStr">
        <is>
          <t>Qty</t>
        </is>
      </c>
    </row>
    <row r="28" ht="23.25" customHeight="1" thickTop="1">
      <c r="A28" s="75" t="inlineStr">
        <is>
          <t>IT Loader</t>
        </is>
      </c>
      <c r="B28" s="72" t="inlineStr">
        <is>
          <t>LD011</t>
        </is>
      </c>
      <c r="C28" s="26" t="n">
        <v>4</v>
      </c>
      <c r="D28" s="67" t="inlineStr">
        <is>
          <t>Hilux</t>
        </is>
      </c>
      <c r="E28" s="68" t="inlineStr">
        <is>
          <t>DLV90</t>
        </is>
      </c>
      <c r="F28" s="69" t="n">
        <v>1</v>
      </c>
      <c r="G28" s="70" t="inlineStr">
        <is>
          <t>Office 40ft</t>
        </is>
      </c>
      <c r="H28" s="68" t="n">
        <v>9255540</v>
      </c>
      <c r="I28" s="23" t="n">
        <v>1</v>
      </c>
    </row>
    <row r="29" ht="23.25" customHeight="1">
      <c r="A29" s="24" t="inlineStr">
        <is>
          <t>Wacker Neuson DPU</t>
        </is>
      </c>
      <c r="B29" s="25" t="inlineStr">
        <is>
          <t>DPC15</t>
        </is>
      </c>
      <c r="C29" s="106" t="n"/>
      <c r="D29" s="71" t="inlineStr">
        <is>
          <t>Hilux</t>
        </is>
      </c>
      <c r="E29" s="72" t="inlineStr">
        <is>
          <t>1DLV04</t>
        </is>
      </c>
      <c r="F29" s="73" t="n">
        <v>1</v>
      </c>
      <c r="G29" s="74" t="inlineStr">
        <is>
          <t>Sea Container 20ft</t>
        </is>
      </c>
      <c r="H29" s="25" t="n">
        <v>951200</v>
      </c>
      <c r="I29" s="30" t="n">
        <v>1</v>
      </c>
    </row>
    <row r="30" ht="23.25" customHeight="1">
      <c r="A30" s="75" t="inlineStr">
        <is>
          <t>Watercart</t>
        </is>
      </c>
      <c r="B30" s="72" t="inlineStr">
        <is>
          <t>A119</t>
        </is>
      </c>
      <c r="C30" s="106" t="n">
        <v>8</v>
      </c>
      <c r="D30" s="71" t="n"/>
      <c r="E30" s="25" t="n"/>
      <c r="F30" s="73" t="n"/>
      <c r="G30" s="74" t="inlineStr">
        <is>
          <t>Site Sentry Tower</t>
        </is>
      </c>
      <c r="H30" s="72" t="inlineStr">
        <is>
          <t>NA</t>
        </is>
      </c>
      <c r="I30" s="30" t="n">
        <v>2</v>
      </c>
    </row>
    <row r="31" ht="23.25" customHeight="1">
      <c r="A31" s="75" t="inlineStr">
        <is>
          <t>8T Excavator</t>
        </is>
      </c>
      <c r="B31" s="76" t="inlineStr">
        <is>
          <t>AMG 014</t>
        </is>
      </c>
      <c r="C31" s="106" t="n"/>
      <c r="D31" s="71" t="n"/>
      <c r="E31" s="72" t="n"/>
      <c r="F31" s="73" t="n"/>
      <c r="G31" s="74" t="inlineStr">
        <is>
          <t>Skip Bin</t>
        </is>
      </c>
      <c r="H31" s="72" t="inlineStr">
        <is>
          <t>NA</t>
        </is>
      </c>
      <c r="I31" s="30" t="n">
        <v>1</v>
      </c>
    </row>
    <row r="32" ht="23.25" customHeight="1">
      <c r="A32" s="75" t="inlineStr">
        <is>
          <t>Mini Tipper</t>
        </is>
      </c>
      <c r="B32" s="72" t="inlineStr">
        <is>
          <t>SLS04</t>
        </is>
      </c>
      <c r="C32" s="26" t="n">
        <v>6</v>
      </c>
      <c r="D32" s="71" t="n"/>
      <c r="E32" s="72" t="n"/>
      <c r="F32" s="73" t="n"/>
      <c r="G32" s="74" t="inlineStr">
        <is>
          <t>Hydrocarbon Bund</t>
        </is>
      </c>
      <c r="H32" s="72" t="inlineStr">
        <is>
          <t>NA</t>
        </is>
      </c>
      <c r="I32" s="30" t="n">
        <v>1</v>
      </c>
    </row>
    <row r="33" ht="23.25" customHeight="1">
      <c r="A33" s="75" t="inlineStr">
        <is>
          <t>Skid Steer</t>
        </is>
      </c>
      <c r="B33" s="72" t="inlineStr">
        <is>
          <t>SLS03</t>
        </is>
      </c>
      <c r="C33" s="26" t="n">
        <v>2</v>
      </c>
      <c r="D33" s="71" t="n"/>
      <c r="E33" s="72" t="n"/>
      <c r="F33" s="73" t="n"/>
      <c r="G33" s="74" t="inlineStr">
        <is>
          <t>Temp Fence</t>
        </is>
      </c>
      <c r="H33" s="25" t="inlineStr">
        <is>
          <t>NA</t>
        </is>
      </c>
      <c r="I33" s="30" t="n">
        <v>1</v>
      </c>
    </row>
    <row r="34" ht="23.25" customHeight="1">
      <c r="A34" s="75" t="inlineStr">
        <is>
          <t>1t Excavator</t>
        </is>
      </c>
      <c r="B34" s="72" t="inlineStr">
        <is>
          <t>SLS02</t>
        </is>
      </c>
      <c r="C34" s="26" t="n"/>
      <c r="D34" s="71" t="n"/>
      <c r="E34" s="72" t="n"/>
      <c r="F34" s="73" t="n"/>
      <c r="G34" s="74" t="n"/>
      <c r="H34" s="25" t="n"/>
      <c r="I34" s="30" t="n"/>
    </row>
    <row r="35" ht="23.25" customHeight="1">
      <c r="A35" s="75" t="inlineStr">
        <is>
          <t>1t Excavator</t>
        </is>
      </c>
      <c r="B35" s="72" t="inlineStr">
        <is>
          <t>DEX30</t>
        </is>
      </c>
      <c r="C35" s="26" t="n">
        <v>2</v>
      </c>
      <c r="D35" s="71" t="n"/>
      <c r="E35" s="72" t="n"/>
      <c r="F35" s="73" t="n"/>
      <c r="G35" s="74" t="n"/>
      <c r="H35" s="25" t="n"/>
      <c r="I35" s="30" t="n"/>
    </row>
    <row r="36" ht="24" customHeight="1">
      <c r="A36" s="75" t="inlineStr">
        <is>
          <t>8T Excavator (Wheeled)</t>
        </is>
      </c>
      <c r="B36" s="72" t="inlineStr">
        <is>
          <t>BCC12</t>
        </is>
      </c>
      <c r="C36" s="26" t="n">
        <v>4</v>
      </c>
      <c r="D36" s="71" t="n"/>
      <c r="E36" s="72" t="n"/>
      <c r="F36" s="73" t="n"/>
      <c r="G36" s="77" t="n"/>
      <c r="H36" s="78" t="n"/>
      <c r="I36" s="79" t="n"/>
    </row>
    <row r="37" ht="24" customHeight="1">
      <c r="A37" s="75" t="inlineStr">
        <is>
          <t>14t Excavator with GPS</t>
        </is>
      </c>
      <c r="B37" s="72" t="inlineStr">
        <is>
          <t>EX197</t>
        </is>
      </c>
      <c r="C37" s="26" t="inlineStr">
        <is>
          <t>SD</t>
        </is>
      </c>
      <c r="D37" s="71" t="n"/>
      <c r="E37" s="72" t="n"/>
      <c r="F37" s="73" t="n"/>
      <c r="G37" s="77" t="n"/>
      <c r="H37" s="78" t="n"/>
      <c r="I37" s="79" t="n"/>
    </row>
    <row r="38" ht="24" customHeight="1" thickBot="1">
      <c r="A38" s="75" t="inlineStr">
        <is>
          <t>Roller</t>
        </is>
      </c>
      <c r="B38" s="72" t="inlineStr">
        <is>
          <t>R538</t>
        </is>
      </c>
      <c r="C38" s="106" t="n"/>
      <c r="D38" s="71" t="n"/>
      <c r="E38" s="72" t="n"/>
      <c r="F38" s="73" t="n"/>
      <c r="G38" s="77" t="n"/>
      <c r="H38" s="78" t="n"/>
      <c r="I38" s="79" t="n"/>
    </row>
    <row r="39" ht="24" customHeight="1" thickTop="1">
      <c r="A39" s="85" t="n">
        <v>0</v>
      </c>
      <c r="B39" s="158" t="inlineStr">
        <is>
          <t xml:space="preserve">Repairs Required </t>
        </is>
      </c>
      <c r="C39" s="239" t="n"/>
      <c r="D39" s="160" t="inlineStr">
        <is>
          <t>NA</t>
        </is>
      </c>
      <c r="E39" s="240" t="n"/>
      <c r="F39" s="240" t="n"/>
      <c r="G39" s="240" t="n"/>
      <c r="H39" s="240" t="n"/>
      <c r="I39" s="241" t="n"/>
    </row>
    <row r="40" ht="24" customHeight="1">
      <c r="A40" s="86" t="n">
        <v>0</v>
      </c>
      <c r="B40" s="163" t="inlineStr">
        <is>
          <t>Scheduled Service</t>
        </is>
      </c>
      <c r="C40" s="234" t="n"/>
      <c r="D40" s="165" t="inlineStr">
        <is>
          <t>NA</t>
        </is>
      </c>
      <c r="E40" s="233" t="n"/>
      <c r="F40" s="233" t="n"/>
      <c r="G40" s="233" t="n"/>
      <c r="H40" s="233" t="n"/>
      <c r="I40" s="235" t="n"/>
    </row>
    <row r="41" ht="24" customHeight="1" thickBot="1">
      <c r="A41" s="87" t="n">
        <v>0</v>
      </c>
      <c r="B41" s="168" t="inlineStr">
        <is>
          <t>Repairs Required but Operable</t>
        </is>
      </c>
      <c r="C41" s="242" t="n"/>
      <c r="D41" s="170" t="inlineStr">
        <is>
          <t>NA</t>
        </is>
      </c>
      <c r="E41" s="243" t="n"/>
      <c r="F41" s="243" t="n"/>
      <c r="G41" s="243" t="n"/>
      <c r="H41" s="243" t="n"/>
      <c r="I41" s="244" t="n"/>
    </row>
    <row r="42" ht="23.25" customHeight="1" thickTop="1">
      <c r="A42" s="173" t="inlineStr">
        <is>
          <t xml:space="preserve">Total Plant and Equipment Hours: </t>
        </is>
      </c>
      <c r="B42" s="245" t="n"/>
      <c r="C42" s="88">
        <f>SUM(C28:C38)</f>
        <v/>
      </c>
      <c r="D42" s="175" t="n"/>
      <c r="E42" s="231" t="n"/>
      <c r="F42" s="231" t="n"/>
      <c r="G42" s="231" t="n"/>
      <c r="H42" s="231" t="n"/>
      <c r="I42" s="232" t="n"/>
    </row>
    <row r="43" ht="25" customHeight="1">
      <c r="A43" s="146" t="inlineStr">
        <is>
          <t>DELAYS-OPPORTUNITY</t>
        </is>
      </c>
      <c r="B43" s="233" t="n"/>
      <c r="C43" s="233" t="n"/>
      <c r="D43" s="233" t="n"/>
      <c r="E43" s="233" t="n"/>
      <c r="F43" s="233" t="n"/>
      <c r="G43" s="233" t="n"/>
      <c r="H43" s="233" t="n"/>
      <c r="I43" s="235" t="n"/>
    </row>
    <row r="44" ht="69" customHeight="1" thickBot="1">
      <c r="A44" s="215" t="inlineStr">
        <is>
          <t xml:space="preserve">Further issues identified with limestone blockwork / kerbing interface as limestone wall depth and finished level trip hazard protection is not compatible with block height nominated in documentation.
Survey data collected for potentially problematic paving areas on foreshore/museum intersection and forest street to advise if additional adjustments required.
Issues around Watercorp Connection-Connection Date now 29/11/25 impacts to Kerbing, Paving and Concrete works, Watercorp have advised that bacteria testing and another pressure test is required
Watercorp Works Request Issued
</t>
        </is>
      </c>
      <c r="B44" s="236" t="n"/>
      <c r="C44" s="236" t="n"/>
      <c r="D44" s="236" t="n"/>
      <c r="E44" s="236" t="n"/>
      <c r="F44" s="236" t="n"/>
      <c r="G44" s="236" t="n"/>
      <c r="H44" s="236" t="n"/>
      <c r="I44" s="237" t="n"/>
    </row>
    <row r="45" ht="14" customHeight="1" thickBot="1">
      <c r="A45" s="246" t="n"/>
      <c r="B45" s="247" t="n"/>
      <c r="C45" s="247" t="n"/>
      <c r="D45" s="247" t="n"/>
      <c r="E45" s="247" t="n"/>
      <c r="F45" s="247" t="n"/>
      <c r="G45" s="247" t="n"/>
      <c r="H45" s="247" t="n"/>
      <c r="I45" s="248" t="n"/>
    </row>
    <row r="46" ht="25" customHeight="1">
      <c r="A46" s="185" t="inlineStr">
        <is>
          <t>HSEQ MESSAGES</t>
        </is>
      </c>
      <c r="B46" s="249" t="n"/>
      <c r="C46" s="249" t="n"/>
      <c r="D46" s="249" t="n"/>
      <c r="E46" s="249" t="n"/>
      <c r="F46" s="249" t="n"/>
      <c r="G46" s="249" t="n"/>
      <c r="H46" s="249" t="n"/>
      <c r="I46" s="250" t="n"/>
    </row>
    <row r="47" ht="24" customHeight="1">
      <c r="A47" s="89" t="inlineStr">
        <is>
          <t>TCD - Monthly Safety Focus:</t>
        </is>
      </c>
      <c r="B47" s="155" t="inlineStr">
        <is>
          <t>Cyclones &amp; Wet Weather</t>
        </is>
      </c>
      <c r="C47" s="233" t="n"/>
      <c r="D47" s="233" t="n"/>
      <c r="E47" s="233" t="n"/>
      <c r="F47" s="233" t="n"/>
      <c r="G47" s="233" t="n"/>
      <c r="H47" s="233" t="n"/>
      <c r="I47" s="234" t="n"/>
    </row>
    <row r="48" ht="24" customHeight="1">
      <c r="A48" s="89" t="inlineStr">
        <is>
          <t>TCD - Daily Safety Focus:</t>
        </is>
      </c>
      <c r="B48" s="188" t="inlineStr">
        <is>
          <t>Hydration &amp; Cool zones</t>
        </is>
      </c>
      <c r="C48" s="233" t="n"/>
      <c r="D48" s="233" t="n"/>
      <c r="E48" s="233" t="n"/>
      <c r="F48" s="233" t="n"/>
      <c r="G48" s="233" t="n"/>
      <c r="H48" s="233" t="n"/>
      <c r="I48" s="235" t="n"/>
    </row>
    <row r="49" ht="24" customHeight="1">
      <c r="A49" s="90" t="inlineStr">
        <is>
          <t xml:space="preserve">Hazards Reported: </t>
        </is>
      </c>
      <c r="B49" s="188" t="inlineStr">
        <is>
          <t>Nil</t>
        </is>
      </c>
      <c r="C49" s="233" t="n"/>
      <c r="D49" s="233" t="n"/>
      <c r="E49" s="233" t="n"/>
      <c r="F49" s="233" t="n"/>
      <c r="G49" s="233" t="n"/>
      <c r="H49" s="233" t="n"/>
      <c r="I49" s="235" t="n"/>
    </row>
    <row r="50" ht="24" customHeight="1">
      <c r="A50" s="90" t="inlineStr">
        <is>
          <t>Incident Free Days</t>
        </is>
      </c>
      <c r="B50" s="251" t="n">
        <v>10</v>
      </c>
      <c r="C50" s="233" t="n"/>
      <c r="D50" s="233" t="n"/>
      <c r="E50" s="233" t="n"/>
      <c r="F50" s="233" t="n"/>
      <c r="G50" s="233" t="n"/>
      <c r="H50" s="233" t="n"/>
      <c r="I50" s="235" t="n"/>
    </row>
    <row r="51" ht="24" customHeight="1">
      <c r="A51" s="91" t="inlineStr">
        <is>
          <t>Other Notes</t>
        </is>
      </c>
      <c r="B51" s="197" t="inlineStr">
        <is>
          <t>NA</t>
        </is>
      </c>
      <c r="C51" s="236" t="n"/>
      <c r="D51" s="236" t="n"/>
      <c r="E51" s="236" t="n"/>
      <c r="F51" s="236" t="n"/>
      <c r="G51" s="236" t="n"/>
      <c r="H51" s="236" t="n"/>
      <c r="I51" s="237" t="n"/>
    </row>
    <row r="52" ht="20.25" customHeight="1">
      <c r="A52" s="146" t="inlineStr">
        <is>
          <t xml:space="preserve">INCIDENTS &amp; REPORTS </t>
        </is>
      </c>
      <c r="B52" s="233" t="n"/>
      <c r="C52" s="233" t="n"/>
      <c r="D52" s="233" t="n"/>
      <c r="E52" s="233" t="n"/>
      <c r="F52" s="233" t="n"/>
      <c r="G52" s="233" t="n"/>
      <c r="H52" s="233" t="n"/>
      <c r="I52" s="235" t="n"/>
    </row>
    <row r="53" ht="20" customHeight="1">
      <c r="A53" s="92" t="n"/>
      <c r="B53" s="93" t="inlineStr">
        <is>
          <t>QTY</t>
        </is>
      </c>
      <c r="C53" s="200" t="inlineStr">
        <is>
          <t>Comments</t>
        </is>
      </c>
      <c r="D53" s="233" t="n"/>
      <c r="E53" s="233" t="n"/>
      <c r="F53" s="233" t="n"/>
      <c r="G53" s="233" t="n"/>
      <c r="H53" s="233" t="n"/>
      <c r="I53" s="235" t="n"/>
    </row>
    <row r="54" ht="24" customHeight="1">
      <c r="A54" s="48" t="inlineStr">
        <is>
          <t>INCIDENT</t>
        </is>
      </c>
      <c r="B54" s="25" t="n">
        <v>0</v>
      </c>
      <c r="C54" s="201" t="inlineStr">
        <is>
          <t>NA</t>
        </is>
      </c>
      <c r="D54" s="236" t="n"/>
      <c r="E54" s="236" t="n"/>
      <c r="F54" s="236" t="n"/>
      <c r="G54" s="236" t="n"/>
      <c r="H54" s="236" t="n"/>
      <c r="I54" s="237" t="n"/>
    </row>
    <row r="55" ht="24" customHeight="1">
      <c r="A55" s="101" t="inlineStr">
        <is>
          <t>IR</t>
        </is>
      </c>
      <c r="B55" s="34" t="n">
        <v>0</v>
      </c>
      <c r="C55" s="201" t="inlineStr">
        <is>
          <t>NA</t>
        </is>
      </c>
      <c r="D55" s="236" t="n"/>
      <c r="E55" s="236" t="n"/>
      <c r="F55" s="236" t="n"/>
      <c r="G55" s="236" t="n"/>
      <c r="H55" s="236" t="n"/>
      <c r="I55" s="237" t="n"/>
    </row>
    <row r="56" ht="24" customHeight="1" thickBot="1">
      <c r="A56" s="102" t="inlineStr">
        <is>
          <t>NCR</t>
        </is>
      </c>
      <c r="B56" s="103" t="n">
        <v>0</v>
      </c>
      <c r="C56" s="204" t="inlineStr">
        <is>
          <t>NA</t>
        </is>
      </c>
      <c r="D56" s="252" t="n"/>
      <c r="E56" s="252" t="n"/>
      <c r="F56" s="252" t="n"/>
      <c r="G56" s="252" t="n"/>
      <c r="H56" s="252" t="n"/>
      <c r="I56" s="253" t="n"/>
    </row>
    <row r="57" ht="20.25" customHeight="1">
      <c r="A57" s="185" t="inlineStr">
        <is>
          <t>COMMUNICATIONS</t>
        </is>
      </c>
      <c r="B57" s="249" t="n"/>
      <c r="C57" s="249" t="n"/>
      <c r="D57" s="249" t="n"/>
      <c r="E57" s="249" t="n"/>
      <c r="F57" s="249" t="n"/>
      <c r="G57" s="249" t="n"/>
      <c r="H57" s="249" t="n"/>
      <c r="I57" s="250" t="n"/>
    </row>
    <row r="58" ht="25" customHeight="1">
      <c r="A58" s="207" t="inlineStr">
        <is>
          <t>TGS MB1119-05 Scheme D implemented</t>
        </is>
      </c>
      <c r="B58" s="233" t="n"/>
      <c r="C58" s="233" t="n"/>
      <c r="D58" s="233" t="n"/>
      <c r="E58" s="233" t="n"/>
      <c r="F58" s="233" t="n"/>
      <c r="G58" s="233" t="n"/>
      <c r="H58" s="233" t="n"/>
      <c r="I58" s="235" t="n"/>
    </row>
    <row r="59" ht="25" customHeight="1">
      <c r="A59" s="146" t="inlineStr">
        <is>
          <t>PRODUCTION (CONSTRUCTION STATUS &amp; PROGRESS)</t>
        </is>
      </c>
      <c r="B59" s="233" t="n"/>
      <c r="C59" s="233" t="n"/>
      <c r="D59" s="233" t="n"/>
      <c r="E59" s="233" t="n"/>
      <c r="F59" s="233" t="n"/>
      <c r="G59" s="233" t="n"/>
      <c r="H59" s="233" t="n"/>
      <c r="I59" s="235" t="n"/>
    </row>
    <row r="60" ht="24" customHeight="1">
      <c r="A60" s="207" t="inlineStr">
        <is>
          <t>Paving continues along North East</t>
        </is>
      </c>
      <c r="B60" s="233" t="n"/>
      <c r="C60" s="233" t="n"/>
      <c r="D60" s="233" t="n"/>
      <c r="E60" s="233" t="n"/>
      <c r="F60" s="233" t="n"/>
      <c r="G60" s="233" t="n"/>
      <c r="H60" s="233" t="n"/>
      <c r="I60" s="235" t="n"/>
    </row>
    <row r="61" ht="24" customHeight="1">
      <c r="A61" s="207" t="inlineStr">
        <is>
          <t>Ongoing Flushing of Waterline in Laneway</t>
        </is>
      </c>
      <c r="B61" s="233" t="n"/>
      <c r="C61" s="233" t="n"/>
      <c r="D61" s="233" t="n"/>
      <c r="E61" s="233" t="n"/>
      <c r="F61" s="233" t="n"/>
      <c r="G61" s="233" t="n"/>
      <c r="H61" s="233" t="n"/>
      <c r="I61" s="235" t="n"/>
    </row>
    <row r="62" ht="24" customHeight="1">
      <c r="A62" s="207" t="inlineStr">
        <is>
          <t>Ongoing Prep for planting in Garden Beds on Saturday</t>
        </is>
      </c>
      <c r="B62" s="233" t="n"/>
      <c r="C62" s="233" t="n"/>
      <c r="D62" s="233" t="n"/>
      <c r="E62" s="233" t="n"/>
      <c r="F62" s="233" t="n"/>
      <c r="G62" s="233" t="n"/>
      <c r="H62" s="233" t="n"/>
      <c r="I62" s="235" t="n"/>
    </row>
    <row r="63" ht="24" customHeight="1">
      <c r="A63" s="207" t="inlineStr">
        <is>
          <t>Ponding Repairs Undertaken</t>
        </is>
      </c>
      <c r="B63" s="233" t="n"/>
      <c r="C63" s="233" t="n"/>
      <c r="D63" s="233" t="n"/>
      <c r="E63" s="233" t="n"/>
      <c r="F63" s="233" t="n"/>
      <c r="G63" s="233" t="n"/>
      <c r="H63" s="233" t="n"/>
      <c r="I63" s="235" t="n"/>
    </row>
    <row r="64" ht="26.25" customHeight="1">
      <c r="A64" s="148" t="inlineStr">
        <is>
          <t>Photos</t>
        </is>
      </c>
      <c r="B64" s="236" t="n"/>
      <c r="C64" s="236" t="n"/>
      <c r="D64" s="236" t="n"/>
      <c r="E64" s="236" t="n"/>
      <c r="F64" s="236" t="n"/>
      <c r="G64" s="236" t="n"/>
      <c r="H64" s="236" t="n"/>
      <c r="I64" s="237" t="n"/>
    </row>
    <row r="65" ht="23.25" customHeight="1">
      <c r="A65" s="94" t="n"/>
      <c r="B65" s="95" t="n"/>
      <c r="C65" s="95" t="n"/>
      <c r="D65" s="95" t="n"/>
      <c r="E65" s="95" t="n"/>
      <c r="F65" s="95" t="n"/>
      <c r="G65" s="95" t="n"/>
      <c r="H65" s="95" t="n"/>
      <c r="I65" s="96" t="n"/>
    </row>
    <row r="66" ht="23.25" customHeight="1">
      <c r="A66" s="94" t="n"/>
      <c r="B66" s="95" t="n"/>
      <c r="C66" s="95" t="n"/>
      <c r="D66" s="95" t="n"/>
      <c r="E66" s="95" t="n"/>
      <c r="F66" s="95" t="n"/>
      <c r="G66" s="95" t="n"/>
      <c r="H66" s="95" t="n"/>
      <c r="I66" s="96" t="n"/>
    </row>
    <row r="67" ht="23.25" customHeight="1">
      <c r="A67" s="94" t="n"/>
      <c r="B67" s="95" t="n"/>
      <c r="C67" s="95" t="n"/>
      <c r="D67" s="95" t="n"/>
      <c r="E67" s="95" t="n"/>
      <c r="F67" s="95" t="n"/>
      <c r="G67" s="95" t="n"/>
      <c r="H67" s="95" t="n"/>
      <c r="I67" s="96" t="n"/>
    </row>
    <row r="68" ht="23.25" customHeight="1">
      <c r="A68" s="94" t="n"/>
      <c r="B68" s="95" t="n"/>
      <c r="C68" s="95" t="n"/>
      <c r="D68" s="95" t="n"/>
      <c r="E68" s="95" t="n"/>
      <c r="F68" s="95" t="n"/>
      <c r="G68" s="95" t="n"/>
      <c r="H68" s="95" t="n"/>
      <c r="I68" s="96" t="n"/>
    </row>
    <row r="69" ht="23.25" customHeight="1">
      <c r="A69" s="94" t="n"/>
      <c r="B69" s="95" t="n"/>
      <c r="C69" s="95" t="n"/>
      <c r="D69" s="95" t="n"/>
      <c r="E69" s="95" t="n"/>
      <c r="F69" s="95" t="n"/>
      <c r="G69" s="95" t="n"/>
      <c r="H69" s="95" t="n"/>
      <c r="I69" s="96" t="n"/>
    </row>
    <row r="70" ht="23.25" customHeight="1">
      <c r="A70" s="94" t="n"/>
      <c r="B70" s="95" t="n"/>
      <c r="C70" s="95" t="n"/>
      <c r="D70" s="95" t="n"/>
      <c r="E70" s="95" t="n"/>
      <c r="F70" s="95" t="n"/>
      <c r="G70" s="95" t="n"/>
      <c r="H70" s="95" t="n"/>
      <c r="I70" s="96" t="n"/>
    </row>
    <row r="71" ht="23.25" customHeight="1">
      <c r="A71" s="104" t="n"/>
      <c r="B71" s="95" t="n"/>
      <c r="C71" s="95" t="n"/>
      <c r="D71" s="95" t="n"/>
      <c r="E71" s="95" t="n"/>
      <c r="F71" s="95" t="n"/>
      <c r="G71" s="95" t="n"/>
      <c r="H71" s="95" t="n"/>
      <c r="I71" s="96" t="n"/>
    </row>
    <row r="72" ht="15" customHeight="1">
      <c r="A72" s="94" t="n"/>
      <c r="B72" s="95" t="n"/>
      <c r="C72" s="95" t="n"/>
      <c r="D72" s="95" t="n"/>
      <c r="E72" s="95" t="n"/>
      <c r="F72" s="95" t="n"/>
      <c r="G72" s="95" t="n"/>
      <c r="H72" s="95" t="n"/>
      <c r="I72" s="96" t="n"/>
    </row>
    <row r="73" ht="15" customHeight="1">
      <c r="A73" s="94" t="n"/>
      <c r="B73" s="95" t="n"/>
      <c r="C73" s="95" t="n"/>
      <c r="D73" s="95" t="n"/>
      <c r="E73" s="95" t="n"/>
      <c r="F73" s="95" t="n"/>
      <c r="G73" s="95" t="n"/>
      <c r="H73" s="95" t="n"/>
      <c r="I73" s="96" t="n"/>
    </row>
    <row r="74" ht="15" customHeight="1">
      <c r="A74" s="94" t="n"/>
      <c r="B74" s="95" t="n"/>
      <c r="C74" s="95" t="n"/>
      <c r="D74" s="95" t="n"/>
      <c r="E74" s="95" t="n"/>
      <c r="F74" s="95" t="n"/>
      <c r="G74" s="95" t="n"/>
      <c r="H74" s="95" t="n"/>
      <c r="I74" s="96" t="n"/>
    </row>
    <row r="75" ht="15" customHeight="1">
      <c r="A75" s="94" t="n"/>
      <c r="B75" s="95" t="n"/>
      <c r="C75" s="95" t="n"/>
      <c r="D75" s="95" t="n"/>
      <c r="E75" s="95" t="n"/>
      <c r="F75" s="95" t="n"/>
      <c r="G75" s="95" t="n"/>
      <c r="H75" s="95" t="n"/>
      <c r="I75" s="96" t="n"/>
    </row>
    <row r="76" ht="15" customHeight="1">
      <c r="A76" s="94" t="n"/>
      <c r="B76" s="95" t="n"/>
      <c r="C76" s="95" t="n"/>
      <c r="D76" s="95" t="n"/>
      <c r="E76" s="95" t="n"/>
      <c r="F76" s="95" t="n"/>
      <c r="G76" s="95" t="n"/>
      <c r="H76" s="95" t="n"/>
      <c r="I76" s="96" t="n"/>
    </row>
    <row r="77" ht="15" customHeight="1">
      <c r="A77" s="94" t="n"/>
      <c r="B77" s="95" t="n"/>
      <c r="C77" s="95" t="n"/>
      <c r="D77" s="95" t="n"/>
      <c r="E77" s="95" t="n"/>
      <c r="F77" s="95" t="n"/>
      <c r="G77" s="95" t="n"/>
      <c r="H77" s="95" t="n"/>
      <c r="I77" s="96" t="n"/>
    </row>
    <row r="78" ht="15" customHeight="1">
      <c r="A78" s="94" t="n"/>
      <c r="B78" s="95" t="n"/>
      <c r="C78" s="95" t="n"/>
      <c r="D78" s="95" t="n"/>
      <c r="E78" s="95" t="n"/>
      <c r="F78" s="95" t="n"/>
      <c r="G78" s="95" t="n"/>
      <c r="H78" s="95" t="n"/>
      <c r="I78" s="96" t="n"/>
    </row>
    <row r="79" ht="15" customHeight="1">
      <c r="A79" s="94" t="n"/>
      <c r="B79" s="95" t="n"/>
      <c r="C79" s="95" t="n"/>
      <c r="D79" s="95" t="n"/>
      <c r="E79" s="95" t="n"/>
      <c r="F79" s="95" t="n"/>
      <c r="G79" s="95" t="n"/>
      <c r="H79" s="95" t="n"/>
      <c r="I79" s="96" t="n"/>
    </row>
    <row r="80" ht="15" customHeight="1">
      <c r="A80" s="94" t="n"/>
      <c r="B80" s="95" t="n"/>
      <c r="C80" s="95" t="n"/>
      <c r="D80" s="95" t="n"/>
      <c r="E80" s="95" t="n"/>
      <c r="F80" s="95" t="n"/>
      <c r="G80" s="95" t="n"/>
      <c r="H80" s="95" t="n"/>
      <c r="I80" s="96" t="n"/>
    </row>
    <row r="81" ht="15" customHeight="1">
      <c r="A81" s="94" t="n"/>
      <c r="B81" s="95" t="n"/>
      <c r="C81" s="95" t="n"/>
      <c r="D81" s="95" t="n"/>
      <c r="E81" s="95" t="n"/>
      <c r="F81" s="95" t="n"/>
      <c r="G81" s="95" t="n"/>
      <c r="H81" s="95" t="n"/>
      <c r="I81" s="96" t="n"/>
    </row>
    <row r="82" ht="15" customHeight="1">
      <c r="A82" s="94" t="n"/>
      <c r="B82" s="95" t="n"/>
      <c r="C82" s="95" t="n"/>
      <c r="D82" s="95" t="n"/>
      <c r="E82" s="95" t="n"/>
      <c r="F82" s="95" t="n"/>
      <c r="G82" s="95" t="n"/>
      <c r="H82" s="95" t="n"/>
      <c r="I82" s="96" t="n"/>
    </row>
    <row r="83" ht="15" customHeight="1">
      <c r="A83" s="94" t="n"/>
      <c r="B83" s="95" t="n"/>
      <c r="C83" s="95" t="n"/>
      <c r="D83" s="95" t="n"/>
      <c r="E83" s="95" t="n"/>
      <c r="F83" s="95" t="n"/>
      <c r="G83" s="95" t="n"/>
      <c r="H83" s="95" t="n"/>
      <c r="I83" s="96" t="n"/>
    </row>
    <row r="84" ht="15" customHeight="1">
      <c r="A84" s="94" t="n"/>
      <c r="B84" s="95" t="n"/>
      <c r="C84" s="95" t="n"/>
      <c r="D84" s="95" t="n"/>
      <c r="E84" s="95" t="n"/>
      <c r="F84" s="95" t="n"/>
      <c r="G84" s="95" t="n"/>
      <c r="H84" s="95" t="n"/>
      <c r="I84" s="96" t="n"/>
    </row>
    <row r="85" ht="15" customHeight="1">
      <c r="A85" s="94" t="n"/>
      <c r="B85" s="95" t="n"/>
      <c r="C85" s="95" t="n"/>
      <c r="D85" s="95" t="n"/>
      <c r="E85" s="95" t="n"/>
      <c r="F85" s="95" t="n"/>
      <c r="G85" s="95" t="n"/>
      <c r="H85" s="95" t="n"/>
      <c r="I85" s="96" t="n"/>
    </row>
    <row r="86" ht="15" customHeight="1">
      <c r="A86" s="94" t="n"/>
      <c r="B86" s="95" t="n"/>
      <c r="C86" s="95" t="n"/>
      <c r="D86" s="95" t="n"/>
      <c r="E86" s="95" t="n"/>
      <c r="F86" s="95" t="n"/>
      <c r="G86" s="95" t="n"/>
      <c r="H86" s="95" t="n"/>
      <c r="I86" s="96" t="n"/>
    </row>
    <row r="87" ht="15" customHeight="1">
      <c r="A87" s="94" t="n"/>
      <c r="B87" s="95" t="n"/>
      <c r="C87" s="95" t="n"/>
      <c r="D87" s="95" t="n"/>
      <c r="E87" s="95" t="n"/>
      <c r="F87" s="95" t="n"/>
      <c r="G87" s="95" t="n"/>
      <c r="H87" s="95" t="n"/>
      <c r="I87" s="96" t="n"/>
    </row>
    <row r="88" ht="15" customHeight="1">
      <c r="A88" s="94" t="n"/>
      <c r="B88" s="95" t="n"/>
      <c r="C88" s="95" t="n"/>
      <c r="D88" s="95" t="n"/>
      <c r="E88" s="95" t="n"/>
      <c r="F88" s="95" t="n"/>
      <c r="G88" s="95" t="n"/>
      <c r="H88" s="95" t="n"/>
      <c r="I88" s="96" t="n"/>
    </row>
    <row r="89" ht="15" customHeight="1">
      <c r="A89" s="94" t="n"/>
      <c r="B89" s="95" t="n"/>
      <c r="C89" s="95" t="n"/>
      <c r="D89" s="95" t="n"/>
      <c r="E89" s="95" t="n"/>
      <c r="F89" s="95" t="n"/>
      <c r="G89" s="95" t="n"/>
      <c r="H89" s="95" t="n"/>
      <c r="I89" s="96" t="n"/>
    </row>
    <row r="90" ht="15" customHeight="1">
      <c r="A90" s="94" t="n"/>
      <c r="B90" s="95" t="n"/>
      <c r="C90" s="95" t="n"/>
      <c r="D90" s="95" t="n"/>
      <c r="E90" s="95" t="n"/>
      <c r="F90" s="95" t="n"/>
      <c r="G90" s="95" t="n"/>
      <c r="H90" s="95" t="n"/>
      <c r="I90" s="96" t="n"/>
    </row>
    <row r="91" ht="15" customHeight="1">
      <c r="A91" s="94" t="n"/>
      <c r="B91" s="95" t="n"/>
      <c r="C91" s="95" t="n"/>
      <c r="D91" s="95" t="n"/>
      <c r="E91" s="95" t="n"/>
      <c r="F91" s="95" t="n"/>
      <c r="G91" s="95" t="n"/>
      <c r="H91" s="95" t="n"/>
      <c r="I91" s="96" t="n"/>
    </row>
    <row r="92" ht="15" customHeight="1">
      <c r="A92" s="94" t="n"/>
      <c r="B92" s="95" t="n"/>
      <c r="C92" s="95" t="n"/>
      <c r="D92" s="95" t="n"/>
      <c r="E92" s="95" t="n"/>
      <c r="F92" s="95" t="n"/>
      <c r="G92" s="95" t="n"/>
      <c r="H92" s="95" t="n"/>
      <c r="I92" s="96" t="n"/>
    </row>
    <row r="93" ht="25" customFormat="1" customHeight="1" s="97">
      <c r="A93" s="94" t="n"/>
      <c r="B93" s="95" t="n"/>
      <c r="C93" s="95" t="n"/>
      <c r="D93" s="95" t="n"/>
      <c r="E93" s="95" t="n"/>
      <c r="F93" s="95" t="n"/>
      <c r="G93" s="95" t="n"/>
      <c r="H93" s="95" t="n"/>
      <c r="I93" s="96" t="n"/>
    </row>
    <row r="94" ht="15" customHeight="1">
      <c r="A94" s="94" t="n"/>
      <c r="B94" s="95" t="n"/>
      <c r="C94" s="95" t="n"/>
      <c r="D94" s="95" t="n"/>
      <c r="E94" s="95" t="n"/>
      <c r="F94" s="95" t="n"/>
      <c r="G94" s="95" t="n"/>
      <c r="H94" s="95" t="n"/>
      <c r="I94" s="96" t="n"/>
    </row>
    <row r="95" ht="15" customHeight="1">
      <c r="A95" s="94" t="n"/>
      <c r="B95" s="95" t="n"/>
      <c r="C95" s="95" t="n"/>
      <c r="D95" s="95" t="n"/>
      <c r="E95" s="95" t="n"/>
      <c r="F95" s="95" t="n"/>
      <c r="G95" s="95" t="n"/>
      <c r="H95" s="95" t="n"/>
      <c r="I95" s="96" t="n"/>
    </row>
    <row r="96" ht="15" customHeight="1">
      <c r="A96" s="94" t="n"/>
      <c r="B96" s="95" t="n"/>
      <c r="C96" s="95" t="n"/>
      <c r="D96" s="95" t="n"/>
      <c r="E96" s="95" t="n"/>
      <c r="F96" s="95" t="n"/>
      <c r="G96" s="95" t="n"/>
      <c r="H96" s="95" t="n"/>
      <c r="I96" s="96" t="n"/>
    </row>
    <row r="97" ht="15" customHeight="1">
      <c r="A97" s="94" t="n"/>
      <c r="B97" s="95" t="n"/>
      <c r="C97" s="95" t="n"/>
      <c r="D97" s="95" t="n"/>
      <c r="E97" s="95" t="n"/>
      <c r="F97" s="95" t="n"/>
      <c r="G97" s="95" t="n"/>
      <c r="H97" s="95" t="n"/>
      <c r="I97" s="96" t="n"/>
    </row>
    <row r="98" ht="15" customHeight="1">
      <c r="A98" s="94" t="n"/>
      <c r="B98" s="95" t="n"/>
      <c r="C98" s="95" t="n"/>
      <c r="D98" s="95" t="n"/>
      <c r="E98" s="95" t="n"/>
      <c r="F98" s="95" t="n"/>
      <c r="G98" s="95" t="n"/>
      <c r="H98" s="95" t="n"/>
      <c r="I98" s="96" t="n"/>
    </row>
    <row r="99" ht="15" customHeight="1" thickBot="1">
      <c r="A99" s="98" t="n"/>
      <c r="B99" s="99" t="n"/>
      <c r="C99" s="99" t="n"/>
      <c r="D99" s="99" t="n"/>
      <c r="E99" s="99" t="n"/>
      <c r="F99" s="99" t="n"/>
      <c r="G99" s="99" t="n"/>
      <c r="H99" s="99" t="n"/>
      <c r="I99" s="100" t="n"/>
    </row>
    <row r="100" ht="15" customHeight="1">
      <c r="A100" s="94" t="n"/>
      <c r="B100" s="95" t="n"/>
      <c r="C100" s="95" t="n"/>
      <c r="D100" s="95" t="n"/>
      <c r="E100" s="95" t="n"/>
      <c r="F100" s="95" t="n"/>
      <c r="G100" s="95" t="n"/>
      <c r="H100" s="95" t="n"/>
      <c r="I100" s="96" t="n"/>
    </row>
    <row r="101" ht="15" customHeight="1">
      <c r="A101" s="94" t="n"/>
      <c r="B101" s="95" t="n"/>
      <c r="C101" s="95" t="n"/>
      <c r="D101" s="95" t="n"/>
      <c r="E101" s="95" t="n"/>
      <c r="F101" s="95" t="n"/>
      <c r="G101" s="95" t="n"/>
      <c r="H101" s="95" t="n"/>
      <c r="I101" s="96" t="n"/>
    </row>
    <row r="102" ht="15" customHeight="1">
      <c r="A102" s="94" t="n"/>
      <c r="B102" s="95" t="n"/>
      <c r="C102" s="95" t="n"/>
      <c r="D102" s="95" t="n"/>
      <c r="E102" s="95" t="n"/>
      <c r="F102" s="95" t="n"/>
      <c r="G102" s="95" t="n"/>
      <c r="H102" s="95" t="n"/>
      <c r="I102" s="96" t="n"/>
    </row>
    <row r="103" ht="15" customHeight="1">
      <c r="A103" s="94" t="n"/>
      <c r="B103" s="95" t="n"/>
      <c r="C103" s="95" t="n"/>
      <c r="D103" s="95" t="n"/>
      <c r="E103" s="95" t="n"/>
      <c r="F103" s="95" t="n"/>
      <c r="G103" s="95" t="n"/>
      <c r="H103" s="95" t="n"/>
      <c r="I103" s="96" t="n"/>
    </row>
    <row r="104" ht="15" customHeight="1">
      <c r="A104" s="94" t="n"/>
      <c r="B104" s="95" t="n"/>
      <c r="C104" s="95" t="n"/>
      <c r="D104" s="95" t="n"/>
      <c r="E104" s="95" t="n"/>
      <c r="F104" s="95" t="n"/>
      <c r="G104" s="95" t="n"/>
      <c r="H104" s="95" t="n"/>
      <c r="I104" s="96" t="n"/>
    </row>
    <row r="105" ht="15" customHeight="1">
      <c r="A105" s="94" t="n"/>
      <c r="B105" s="95" t="n"/>
      <c r="C105" s="95" t="n"/>
      <c r="D105" s="95" t="n"/>
      <c r="E105" s="95" t="n"/>
      <c r="F105" s="95" t="n"/>
      <c r="G105" s="95" t="n"/>
      <c r="H105" s="95" t="n"/>
      <c r="I105" s="96" t="n"/>
    </row>
    <row r="106" ht="15" customHeight="1">
      <c r="A106" s="94" t="n"/>
      <c r="B106" s="95" t="n"/>
      <c r="C106" s="95" t="n"/>
      <c r="D106" s="95" t="n"/>
      <c r="E106" s="95" t="n"/>
      <c r="F106" s="95" t="n"/>
      <c r="G106" s="95" t="n"/>
      <c r="H106" s="95" t="n"/>
      <c r="I106" s="96" t="n"/>
    </row>
    <row r="107" ht="15" customHeight="1">
      <c r="A107" s="94" t="n"/>
      <c r="B107" s="95" t="n"/>
      <c r="C107" s="95" t="n"/>
      <c r="D107" s="95" t="n"/>
      <c r="E107" s="95" t="n"/>
      <c r="F107" s="95" t="n"/>
      <c r="G107" s="95" t="n"/>
      <c r="H107" s="95" t="n"/>
      <c r="I107" s="96" t="n"/>
    </row>
    <row r="108" ht="15" customHeight="1">
      <c r="A108" s="94" t="n"/>
      <c r="B108" s="95" t="n"/>
      <c r="C108" s="95" t="n"/>
      <c r="D108" s="95" t="n"/>
      <c r="E108" s="95" t="n"/>
      <c r="F108" s="95" t="n"/>
      <c r="G108" s="95" t="n"/>
      <c r="H108" s="95" t="n"/>
      <c r="I108" s="96" t="n"/>
    </row>
    <row r="109" ht="15" customHeight="1">
      <c r="A109" s="94" t="n"/>
      <c r="B109" s="95" t="n"/>
      <c r="C109" s="95" t="n"/>
      <c r="D109" s="95" t="n"/>
      <c r="E109" s="95" t="n"/>
      <c r="F109" s="95" t="n"/>
      <c r="G109" s="95" t="n"/>
      <c r="H109" s="95" t="n"/>
      <c r="I109" s="96" t="n"/>
    </row>
    <row r="110" ht="15" customHeight="1">
      <c r="A110" s="94" t="n"/>
      <c r="B110" s="95" t="n"/>
      <c r="C110" s="95" t="n"/>
      <c r="D110" s="95" t="n"/>
      <c r="E110" s="95" t="n"/>
      <c r="F110" s="95" t="n"/>
      <c r="G110" s="95" t="n"/>
      <c r="H110" s="95" t="n"/>
      <c r="I110" s="96" t="n"/>
    </row>
    <row r="111" ht="15" customHeight="1">
      <c r="A111" s="94" t="n"/>
      <c r="B111" s="95" t="n"/>
      <c r="C111" s="95" t="n"/>
      <c r="D111" s="95" t="n"/>
      <c r="E111" s="95" t="n"/>
      <c r="F111" s="95" t="n"/>
      <c r="G111" s="95" t="n"/>
      <c r="H111" s="95" t="n"/>
      <c r="I111" s="96" t="n"/>
    </row>
    <row r="112" ht="15" customHeight="1">
      <c r="A112" s="94" t="n"/>
      <c r="B112" s="95" t="n"/>
      <c r="C112" s="95" t="n"/>
      <c r="D112" s="95" t="n"/>
      <c r="E112" s="95" t="n"/>
      <c r="F112" s="95" t="n"/>
      <c r="G112" s="95" t="n"/>
      <c r="H112" s="95" t="n"/>
      <c r="I112" s="96" t="n"/>
    </row>
    <row r="113" ht="15" customHeight="1">
      <c r="A113" s="94" t="n"/>
      <c r="B113" s="95" t="n"/>
      <c r="C113" s="95" t="n"/>
      <c r="D113" s="95" t="n"/>
      <c r="E113" s="95" t="n"/>
      <c r="F113" s="95" t="n"/>
      <c r="G113" s="95" t="n"/>
      <c r="H113" s="95" t="n"/>
      <c r="I113" s="96" t="n"/>
    </row>
    <row r="114" ht="15" customHeight="1">
      <c r="A114" s="94" t="n"/>
      <c r="B114" s="95" t="n"/>
      <c r="C114" s="95" t="n"/>
      <c r="D114" s="95" t="n"/>
      <c r="E114" s="95" t="n"/>
      <c r="F114" s="95" t="n"/>
      <c r="G114" s="95" t="n"/>
      <c r="H114" s="95" t="n"/>
      <c r="I114" s="96" t="n"/>
    </row>
    <row r="115" ht="15" customHeight="1">
      <c r="A115" s="94" t="n"/>
      <c r="B115" s="95" t="n"/>
      <c r="C115" s="95" t="n"/>
      <c r="D115" s="95" t="n"/>
      <c r="E115" s="95" t="n"/>
      <c r="F115" s="95" t="n"/>
      <c r="G115" s="95" t="n"/>
      <c r="H115" s="95" t="n"/>
      <c r="I115" s="96" t="n"/>
    </row>
    <row r="116" ht="15" customHeight="1">
      <c r="A116" s="94" t="n"/>
      <c r="B116" s="95" t="n"/>
      <c r="C116" s="95" t="n"/>
      <c r="D116" s="95" t="n"/>
      <c r="E116" s="95" t="n"/>
      <c r="F116" s="95" t="n"/>
      <c r="G116" s="95" t="n"/>
      <c r="H116" s="95" t="n"/>
      <c r="I116" s="96" t="n"/>
    </row>
    <row r="117" ht="25" customHeight="1">
      <c r="A117" s="94" t="n"/>
      <c r="B117" s="95" t="n"/>
      <c r="C117" s="95" t="n"/>
      <c r="D117" s="95" t="n"/>
      <c r="E117" s="95" t="n"/>
      <c r="F117" s="95" t="n"/>
      <c r="G117" s="95" t="n"/>
      <c r="H117" s="95" t="n"/>
      <c r="I117" s="96" t="n"/>
    </row>
    <row r="118" ht="15" customHeight="1">
      <c r="A118" s="94" t="n"/>
      <c r="B118" s="95" t="n"/>
      <c r="C118" s="95" t="n"/>
      <c r="D118" s="95" t="n"/>
      <c r="E118" s="95" t="n"/>
      <c r="F118" s="95" t="n"/>
      <c r="G118" s="95" t="n"/>
      <c r="H118" s="95" t="n"/>
      <c r="I118" s="96" t="n"/>
    </row>
    <row r="119" ht="15" customHeight="1">
      <c r="A119" s="94" t="n"/>
      <c r="B119" s="95" t="n"/>
      <c r="C119" s="95" t="n"/>
      <c r="D119" s="95" t="n"/>
      <c r="E119" s="95" t="n"/>
      <c r="F119" s="95" t="n"/>
      <c r="G119" s="95" t="n"/>
      <c r="H119" s="95" t="n"/>
      <c r="I119" s="96" t="n"/>
    </row>
    <row r="120" ht="28" customHeight="1">
      <c r="A120" s="94" t="n"/>
      <c r="B120" s="95" t="n"/>
      <c r="C120" s="95" t="n"/>
      <c r="D120" s="95" t="n"/>
      <c r="E120" s="95" t="n"/>
      <c r="F120" s="95" t="n"/>
      <c r="G120" s="95" t="n"/>
      <c r="H120" s="95" t="n"/>
      <c r="I120" s="96" t="n"/>
    </row>
    <row r="121" ht="15" customHeight="1">
      <c r="A121" s="94" t="n"/>
      <c r="B121" s="95" t="n"/>
      <c r="C121" s="95" t="n"/>
      <c r="D121" s="95" t="n"/>
      <c r="E121" s="95" t="n"/>
      <c r="F121" s="95" t="n"/>
      <c r="G121" s="95" t="n"/>
      <c r="H121" s="95" t="n"/>
      <c r="I121" s="96" t="n"/>
    </row>
    <row r="122" ht="15" customHeight="1">
      <c r="A122" s="94" t="n"/>
      <c r="B122" s="95" t="n"/>
      <c r="C122" s="95" t="n"/>
      <c r="D122" s="95" t="n"/>
      <c r="E122" s="95" t="n"/>
      <c r="F122" s="95" t="n"/>
      <c r="G122" s="95" t="n"/>
      <c r="H122" s="95" t="n"/>
      <c r="I122" s="96" t="n"/>
    </row>
    <row r="123" ht="15" customHeight="1">
      <c r="A123" s="94" t="n"/>
      <c r="B123" s="95" t="n"/>
      <c r="C123" s="95" t="n"/>
      <c r="D123" s="95" t="n"/>
      <c r="E123" s="95" t="n"/>
      <c r="F123" s="95" t="n"/>
      <c r="G123" s="95" t="n"/>
      <c r="H123" s="95" t="n"/>
      <c r="I123" s="96" t="n"/>
    </row>
    <row r="124" ht="15" customHeight="1">
      <c r="A124" s="94" t="n"/>
      <c r="B124" s="95" t="n"/>
      <c r="C124" s="95" t="n"/>
      <c r="D124" s="95" t="n"/>
      <c r="E124" s="95" t="n"/>
      <c r="F124" s="95" t="n"/>
      <c r="G124" s="95" t="n"/>
      <c r="H124" s="95" t="n"/>
      <c r="I124" s="96" t="n"/>
    </row>
    <row r="125" ht="15" customHeight="1">
      <c r="A125" s="94" t="n"/>
      <c r="B125" s="95" t="n"/>
      <c r="C125" s="95" t="n"/>
      <c r="D125" s="95" t="n"/>
      <c r="E125" s="95" t="n"/>
      <c r="F125" s="95" t="n"/>
      <c r="G125" s="95" t="n"/>
      <c r="H125" s="95" t="n"/>
      <c r="I125" s="96" t="n"/>
    </row>
    <row r="126" ht="15" customHeight="1">
      <c r="A126" s="94" t="n"/>
      <c r="B126" s="95" t="n"/>
      <c r="C126" s="95" t="n"/>
      <c r="D126" s="95" t="n"/>
      <c r="E126" s="95" t="n"/>
      <c r="F126" s="95" t="n"/>
      <c r="G126" s="95" t="n"/>
      <c r="H126" s="95" t="n"/>
      <c r="I126" s="96" t="n"/>
    </row>
    <row r="127" ht="15" customHeight="1">
      <c r="A127" s="94" t="n"/>
      <c r="B127" s="95" t="n"/>
      <c r="C127" s="95" t="n"/>
      <c r="D127" s="95" t="n"/>
      <c r="E127" s="95" t="n"/>
      <c r="F127" s="95" t="n"/>
      <c r="G127" s="95" t="n"/>
      <c r="H127" s="95" t="n"/>
      <c r="I127" s="96" t="n"/>
    </row>
    <row r="128" ht="15" customHeight="1">
      <c r="A128" s="94" t="n"/>
      <c r="B128" s="95" t="n"/>
      <c r="C128" s="95" t="n"/>
      <c r="D128" s="95" t="n"/>
      <c r="E128" s="95" t="n"/>
      <c r="F128" s="95" t="n"/>
      <c r="G128" s="95" t="n"/>
      <c r="H128" s="95" t="n"/>
      <c r="I128" s="96" t="n"/>
    </row>
    <row r="129" ht="15" customHeight="1">
      <c r="A129" s="94" t="n"/>
      <c r="B129" s="95" t="n"/>
      <c r="C129" s="95" t="n"/>
      <c r="D129" s="95" t="n"/>
      <c r="E129" s="95" t="n"/>
      <c r="F129" s="95" t="n"/>
      <c r="G129" s="95" t="n"/>
      <c r="H129" s="95" t="n"/>
      <c r="I129" s="96" t="n"/>
    </row>
    <row r="130" ht="15" customHeight="1">
      <c r="A130" s="94" t="n"/>
      <c r="B130" s="95" t="n"/>
      <c r="C130" s="95" t="n"/>
      <c r="D130" s="95" t="n"/>
      <c r="E130" s="95" t="n"/>
      <c r="F130" s="95" t="n"/>
      <c r="G130" s="95" t="n"/>
      <c r="H130" s="95" t="n"/>
      <c r="I130" s="96" t="n"/>
    </row>
    <row r="131" ht="15" customHeight="1">
      <c r="A131" s="94" t="n"/>
      <c r="B131" s="95" t="n"/>
      <c r="C131" s="95" t="n"/>
      <c r="D131" s="95" t="n"/>
      <c r="E131" s="95" t="n"/>
      <c r="F131" s="95" t="n"/>
      <c r="G131" s="95" t="n"/>
      <c r="H131" s="95" t="n"/>
      <c r="I131" s="96" t="n"/>
    </row>
    <row r="132" ht="15" customHeight="1">
      <c r="A132" s="94" t="n"/>
      <c r="B132" s="95" t="n"/>
      <c r="C132" s="95" t="n"/>
      <c r="D132" s="95" t="n"/>
      <c r="E132" s="95" t="n"/>
      <c r="F132" s="95" t="n"/>
      <c r="G132" s="95" t="n"/>
      <c r="H132" s="95" t="n"/>
      <c r="I132" s="96" t="n"/>
    </row>
    <row r="133" ht="15" customHeight="1">
      <c r="A133" s="94" t="n"/>
      <c r="B133" s="95" t="n"/>
      <c r="C133" s="95" t="n"/>
      <c r="D133" s="95" t="n"/>
      <c r="E133" s="95" t="n"/>
      <c r="F133" s="95" t="n"/>
      <c r="G133" s="95" t="n"/>
      <c r="H133" s="95" t="n"/>
      <c r="I133" s="96" t="n"/>
    </row>
    <row r="134" ht="15" customHeight="1">
      <c r="A134" s="94" t="n"/>
      <c r="B134" s="95" t="n"/>
      <c r="C134" s="95" t="n"/>
      <c r="D134" s="95" t="n"/>
      <c r="E134" s="95" t="n"/>
      <c r="F134" s="95" t="n"/>
      <c r="G134" s="95" t="n"/>
      <c r="H134" s="95" t="n"/>
      <c r="I134" s="96" t="n"/>
    </row>
    <row r="135" ht="15" customHeight="1">
      <c r="A135" s="94" t="n"/>
      <c r="B135" s="95" t="n"/>
      <c r="C135" s="95" t="n"/>
      <c r="D135" s="95" t="n"/>
      <c r="E135" s="95" t="n"/>
      <c r="F135" s="95" t="n"/>
      <c r="G135" s="95" t="n"/>
      <c r="H135" s="95" t="n"/>
      <c r="I135" s="96" t="n"/>
    </row>
    <row r="136" ht="15" customHeight="1">
      <c r="A136" s="94" t="n"/>
      <c r="B136" s="95" t="n"/>
      <c r="C136" s="95" t="n"/>
      <c r="D136" s="95" t="n"/>
      <c r="E136" s="95" t="n"/>
      <c r="F136" s="95" t="n"/>
      <c r="G136" s="95" t="n"/>
      <c r="H136" s="95" t="n"/>
      <c r="I136" s="96" t="n"/>
    </row>
    <row r="137" ht="15" customHeight="1">
      <c r="A137" s="94" t="n"/>
      <c r="B137" s="95" t="n"/>
      <c r="C137" s="95" t="n"/>
      <c r="D137" s="95" t="n"/>
      <c r="E137" s="95" t="n"/>
      <c r="F137" s="95" t="n"/>
      <c r="G137" s="95" t="n"/>
      <c r="H137" s="95" t="n"/>
      <c r="I137" s="96" t="n"/>
    </row>
    <row r="138" ht="15" customHeight="1">
      <c r="A138" s="94" t="n"/>
      <c r="B138" s="95" t="n"/>
      <c r="C138" s="95" t="n"/>
      <c r="D138" s="95" t="n"/>
      <c r="E138" s="95" t="n"/>
      <c r="F138" s="95" t="n"/>
      <c r="G138" s="95" t="n"/>
      <c r="H138" s="95" t="n"/>
      <c r="I138" s="96" t="n"/>
    </row>
    <row r="139" ht="15" customHeight="1">
      <c r="A139" s="94" t="n"/>
      <c r="B139" s="95" t="n"/>
      <c r="C139" s="95" t="n"/>
      <c r="D139" s="95" t="n"/>
      <c r="E139" s="95" t="n"/>
      <c r="F139" s="95" t="n"/>
      <c r="G139" s="95" t="n"/>
      <c r="H139" s="95" t="n"/>
      <c r="I139" s="96" t="n"/>
    </row>
    <row r="140" ht="16" customHeight="1">
      <c r="A140" s="94" t="n"/>
      <c r="B140" s="95" t="n"/>
      <c r="C140" s="95" t="n"/>
      <c r="D140" s="95" t="n"/>
      <c r="E140" s="95" t="n"/>
      <c r="F140" s="95" t="n"/>
      <c r="G140" s="95" t="n"/>
      <c r="H140" s="95" t="n"/>
      <c r="I140" s="96" t="n"/>
    </row>
    <row r="141" ht="56.25" customHeight="1">
      <c r="A141" s="94" t="n"/>
      <c r="B141" s="95" t="n"/>
      <c r="C141" s="95" t="n"/>
      <c r="D141" s="95" t="n"/>
      <c r="E141" s="95" t="n"/>
      <c r="F141" s="95" t="n"/>
      <c r="G141" s="95" t="n"/>
      <c r="H141" s="95" t="n"/>
      <c r="I141" s="96" t="n"/>
    </row>
    <row r="142">
      <c r="A142" s="94" t="n"/>
      <c r="B142" s="95" t="n"/>
      <c r="C142" s="95" t="n"/>
      <c r="D142" s="95" t="n"/>
      <c r="E142" s="95" t="n"/>
      <c r="F142" s="95" t="n"/>
      <c r="G142" s="95" t="n"/>
      <c r="H142" s="95" t="n"/>
      <c r="I142" s="96" t="n"/>
    </row>
    <row r="143">
      <c r="A143" s="94" t="n"/>
      <c r="B143" s="95" t="n"/>
      <c r="C143" s="95" t="n"/>
      <c r="D143" s="95" t="n"/>
      <c r="E143" s="95" t="n"/>
      <c r="F143" s="95" t="n"/>
      <c r="G143" s="95" t="n"/>
      <c r="H143" s="95" t="n"/>
      <c r="I143" s="96" t="n"/>
    </row>
    <row r="144">
      <c r="A144" s="94" t="n"/>
      <c r="B144" s="95" t="n"/>
      <c r="C144" s="95" t="n"/>
      <c r="D144" s="95" t="n"/>
      <c r="E144" s="95" t="n"/>
      <c r="F144" s="95" t="n"/>
      <c r="G144" s="95" t="n"/>
      <c r="H144" s="95" t="n"/>
      <c r="I144" s="96" t="n"/>
    </row>
    <row r="145">
      <c r="A145" s="94" t="n"/>
      <c r="B145" s="95" t="n"/>
      <c r="C145" s="95" t="n"/>
      <c r="D145" s="95" t="n"/>
      <c r="E145" s="95" t="n"/>
      <c r="F145" s="95" t="n"/>
      <c r="G145" s="95" t="n"/>
      <c r="H145" s="95" t="n"/>
      <c r="I145" s="96" t="n"/>
    </row>
    <row r="146">
      <c r="A146" s="94" t="n"/>
      <c r="B146" s="95" t="n"/>
      <c r="C146" s="95" t="n"/>
      <c r="D146" s="95" t="n"/>
      <c r="E146" s="95" t="n"/>
      <c r="F146" s="95" t="n"/>
      <c r="G146" s="95" t="n"/>
      <c r="H146" s="95" t="n"/>
      <c r="I146" s="96" t="n"/>
      <c r="J146" s="95" t="n"/>
      <c r="K146" s="95" t="n"/>
      <c r="L146" s="95" t="n"/>
    </row>
    <row r="147">
      <c r="A147" s="94" t="n"/>
      <c r="B147" s="95" t="n"/>
      <c r="C147" s="95" t="n"/>
      <c r="D147" s="95" t="n"/>
      <c r="E147" s="95" t="n"/>
      <c r="F147" s="95" t="n"/>
      <c r="G147" s="95" t="n"/>
      <c r="H147" s="95" t="n"/>
      <c r="I147" s="96" t="n"/>
    </row>
    <row r="148">
      <c r="A148" s="94" t="n"/>
      <c r="B148" s="95" t="n"/>
      <c r="C148" s="95" t="n"/>
      <c r="D148" s="95" t="n"/>
      <c r="E148" s="95" t="n"/>
      <c r="F148" s="95" t="n"/>
      <c r="G148" s="95" t="n"/>
      <c r="H148" s="95" t="n"/>
      <c r="I148" s="96" t="n"/>
    </row>
    <row r="149">
      <c r="A149" s="94" t="n"/>
      <c r="B149" s="95" t="n"/>
      <c r="C149" s="95" t="n"/>
      <c r="D149" s="95" t="n"/>
      <c r="E149" s="95" t="n"/>
      <c r="F149" s="95" t="n"/>
      <c r="G149" s="95" t="n"/>
      <c r="H149" s="95" t="n"/>
      <c r="I149" s="96" t="n"/>
    </row>
    <row r="150">
      <c r="A150" s="94" t="n"/>
      <c r="B150" s="95" t="n"/>
      <c r="C150" s="95" t="n"/>
      <c r="D150" s="95" t="n"/>
      <c r="E150" s="95" t="n"/>
      <c r="F150" s="95" t="n"/>
      <c r="G150" s="95" t="n"/>
      <c r="H150" s="95" t="n"/>
      <c r="I150" s="96" t="n"/>
    </row>
    <row r="151">
      <c r="A151" s="94" t="n"/>
      <c r="B151" s="95" t="n"/>
      <c r="C151" s="95" t="n"/>
      <c r="D151" s="95" t="n"/>
      <c r="E151" s="95" t="n"/>
      <c r="F151" s="95" t="n"/>
      <c r="G151" s="95" t="n"/>
      <c r="H151" s="95" t="n"/>
      <c r="I151" s="96" t="n"/>
    </row>
    <row r="152">
      <c r="A152" s="94" t="n"/>
      <c r="B152" s="95" t="n"/>
      <c r="C152" s="95" t="n"/>
      <c r="D152" s="95" t="n"/>
      <c r="E152" s="95" t="n"/>
      <c r="F152" s="95" t="n"/>
      <c r="G152" s="95" t="n"/>
      <c r="H152" s="95" t="n"/>
      <c r="I152" s="96" t="n"/>
    </row>
    <row r="153">
      <c r="A153" s="94" t="n"/>
      <c r="B153" s="95" t="n"/>
      <c r="C153" s="95" t="n"/>
      <c r="D153" s="95" t="n"/>
      <c r="E153" s="95" t="n"/>
      <c r="F153" s="95" t="n"/>
      <c r="G153" s="95" t="n"/>
      <c r="H153" s="95" t="n"/>
      <c r="I153" s="96" t="n"/>
    </row>
    <row r="154">
      <c r="A154" s="94" t="n"/>
      <c r="B154" s="95" t="n"/>
      <c r="C154" s="95" t="n"/>
      <c r="D154" s="95" t="n"/>
      <c r="E154" s="95" t="n"/>
      <c r="F154" s="95" t="n"/>
      <c r="G154" s="95" t="n"/>
      <c r="H154" s="95" t="n"/>
      <c r="I154" s="96" t="n"/>
    </row>
    <row r="155">
      <c r="A155" s="94" t="n"/>
      <c r="B155" s="95" t="n"/>
      <c r="C155" s="95" t="n"/>
      <c r="D155" s="95" t="n"/>
      <c r="E155" s="95" t="n"/>
      <c r="F155" s="95" t="n"/>
      <c r="G155" s="95" t="n"/>
      <c r="H155" s="95" t="n"/>
      <c r="I155" s="96" t="n"/>
    </row>
    <row r="156">
      <c r="A156" s="94" t="n"/>
      <c r="B156" s="95" t="n"/>
      <c r="C156" s="95" t="n"/>
      <c r="D156" s="95" t="n"/>
      <c r="E156" s="95" t="n"/>
      <c r="F156" s="95" t="n"/>
      <c r="G156" s="95" t="n"/>
      <c r="H156" s="95" t="n"/>
      <c r="I156" s="96" t="n"/>
    </row>
    <row r="157">
      <c r="A157" s="94" t="n"/>
      <c r="B157" s="95" t="n"/>
      <c r="C157" s="95" t="n"/>
      <c r="D157" s="95" t="n"/>
      <c r="E157" s="95" t="n"/>
      <c r="F157" s="95" t="n"/>
      <c r="G157" s="95" t="n"/>
      <c r="H157" s="95" t="n"/>
      <c r="I157" s="96" t="n"/>
    </row>
    <row r="158">
      <c r="A158" s="94" t="n"/>
      <c r="B158" s="95" t="n"/>
      <c r="C158" s="95" t="n"/>
      <c r="D158" s="95" t="n"/>
      <c r="E158" s="95" t="n"/>
      <c r="F158" s="95" t="n"/>
      <c r="G158" s="95" t="n"/>
      <c r="H158" s="95" t="n"/>
      <c r="I158" s="96" t="n"/>
    </row>
    <row r="159">
      <c r="A159" s="94" t="n"/>
      <c r="B159" s="95" t="n"/>
      <c r="C159" s="95" t="n"/>
      <c r="D159" s="95" t="n"/>
      <c r="E159" s="95" t="n"/>
      <c r="F159" s="95" t="n"/>
      <c r="G159" s="95" t="n"/>
      <c r="H159" s="95" t="n"/>
      <c r="I159" s="96" t="n"/>
    </row>
    <row r="160">
      <c r="A160" s="94" t="n"/>
      <c r="B160" s="95" t="n"/>
      <c r="C160" s="95" t="n"/>
      <c r="D160" s="95" t="n"/>
      <c r="E160" s="95" t="n"/>
      <c r="F160" s="95" t="n"/>
      <c r="G160" s="95" t="n"/>
      <c r="H160" s="95" t="n"/>
      <c r="I160" s="96" t="n"/>
    </row>
    <row r="161">
      <c r="A161" s="94" t="n"/>
      <c r="B161" s="95" t="n"/>
      <c r="C161" s="95" t="n"/>
      <c r="D161" s="95" t="n"/>
      <c r="E161" s="95" t="n"/>
      <c r="F161" s="95" t="n"/>
      <c r="G161" s="95" t="n"/>
      <c r="H161" s="95" t="n"/>
      <c r="I161" s="96" t="n"/>
    </row>
    <row r="162">
      <c r="A162" s="94" t="n"/>
      <c r="B162" s="95" t="n"/>
      <c r="C162" s="95" t="n"/>
      <c r="D162" s="95" t="n"/>
      <c r="E162" s="95" t="n"/>
      <c r="F162" s="95" t="n"/>
      <c r="G162" s="95" t="n"/>
      <c r="H162" s="95" t="n"/>
      <c r="I162" s="96" t="n"/>
    </row>
    <row r="163">
      <c r="A163" s="94" t="n"/>
      <c r="B163" s="95" t="n"/>
      <c r="C163" s="95" t="n"/>
      <c r="D163" s="95" t="n"/>
      <c r="E163" s="95" t="n"/>
      <c r="F163" s="95" t="n"/>
      <c r="G163" s="95" t="n"/>
      <c r="H163" s="95" t="n"/>
      <c r="I163" s="96" t="n"/>
    </row>
    <row r="164">
      <c r="A164" s="94" t="n"/>
      <c r="B164" s="95" t="n"/>
      <c r="C164" s="95" t="n"/>
      <c r="D164" s="95" t="n"/>
      <c r="E164" s="95" t="n"/>
      <c r="F164" s="95" t="n"/>
      <c r="G164" s="95" t="n"/>
      <c r="H164" s="95" t="n"/>
      <c r="I164" s="96" t="n"/>
    </row>
    <row r="165">
      <c r="A165" s="94" t="n"/>
      <c r="B165" s="95" t="n"/>
      <c r="C165" s="95" t="n"/>
      <c r="D165" s="95" t="n"/>
      <c r="E165" s="95" t="n"/>
      <c r="F165" s="95" t="n"/>
      <c r="G165" s="95" t="n"/>
      <c r="H165" s="95" t="n"/>
      <c r="I165" s="96" t="n"/>
    </row>
    <row r="166">
      <c r="A166" s="94" t="n"/>
      <c r="B166" s="95" t="n"/>
      <c r="C166" s="95" t="n"/>
      <c r="D166" s="95" t="n"/>
      <c r="E166" s="95" t="n"/>
      <c r="F166" s="95" t="n"/>
      <c r="G166" s="95" t="n"/>
      <c r="H166" s="95" t="n"/>
      <c r="I166" s="96" t="n"/>
    </row>
    <row r="167">
      <c r="A167" s="94" t="n"/>
      <c r="B167" s="95" t="n"/>
      <c r="C167" s="95" t="n"/>
      <c r="D167" s="95" t="n"/>
      <c r="E167" s="95" t="n"/>
      <c r="F167" s="95" t="n"/>
      <c r="G167" s="95" t="n"/>
      <c r="H167" s="95" t="n"/>
      <c r="I167" s="96" t="n"/>
      <c r="J167" s="95" t="n"/>
      <c r="K167" s="95" t="n"/>
      <c r="L167" s="95" t="n"/>
      <c r="M167" s="95" t="n"/>
      <c r="N167" s="95" t="n"/>
    </row>
    <row r="168">
      <c r="A168" s="94" t="n"/>
      <c r="B168" s="95" t="n"/>
      <c r="C168" s="95" t="n"/>
      <c r="D168" s="95" t="n"/>
      <c r="E168" s="95" t="n"/>
      <c r="F168" s="95" t="n"/>
      <c r="G168" s="95" t="n"/>
      <c r="H168" s="95" t="n"/>
      <c r="I168" s="96" t="n"/>
      <c r="J168" s="95" t="n"/>
      <c r="K168" s="95" t="n"/>
      <c r="L168" s="95" t="n"/>
      <c r="M168" s="95" t="n"/>
      <c r="N168" s="95" t="n"/>
    </row>
    <row r="169">
      <c r="A169" s="94" t="n"/>
      <c r="B169" s="95" t="n"/>
      <c r="C169" s="95" t="n"/>
      <c r="D169" s="95" t="n"/>
      <c r="E169" s="95" t="n"/>
      <c r="F169" s="95" t="n"/>
      <c r="G169" s="95" t="n"/>
      <c r="H169" s="95" t="n"/>
      <c r="I169" s="96" t="n"/>
      <c r="J169" s="95" t="n"/>
      <c r="K169" s="95" t="n"/>
      <c r="L169" s="95" t="n"/>
      <c r="M169" s="95" t="n"/>
      <c r="N169" s="95" t="n"/>
    </row>
    <row r="170">
      <c r="A170" s="94" t="n"/>
      <c r="B170" s="95" t="n"/>
      <c r="C170" s="95" t="n"/>
      <c r="D170" s="95" t="n"/>
      <c r="E170" s="95" t="n"/>
      <c r="F170" s="95" t="n"/>
      <c r="G170" s="95" t="n"/>
      <c r="H170" s="95" t="n"/>
      <c r="I170" s="96" t="n"/>
      <c r="J170" s="95" t="n"/>
      <c r="K170" s="95" t="n"/>
      <c r="L170" s="95" t="n"/>
      <c r="M170" s="95" t="n"/>
      <c r="N170" s="95" t="n"/>
    </row>
    <row r="171">
      <c r="A171" s="94" t="n"/>
      <c r="B171" s="95" t="n"/>
      <c r="C171" s="95" t="n"/>
      <c r="D171" s="95" t="n"/>
      <c r="E171" s="95" t="n"/>
      <c r="F171" s="95" t="n"/>
      <c r="G171" s="95" t="n"/>
      <c r="H171" s="95" t="n"/>
      <c r="I171" s="96" t="n"/>
      <c r="J171" s="95" t="n"/>
      <c r="K171" s="95" t="n"/>
      <c r="L171" s="95" t="n"/>
      <c r="M171" s="95" t="n"/>
      <c r="N171" s="95" t="n"/>
    </row>
    <row r="172">
      <c r="A172" s="94" t="n"/>
      <c r="B172" s="95" t="n"/>
      <c r="C172" s="95" t="n"/>
      <c r="D172" s="95" t="n"/>
      <c r="E172" s="95" t="n"/>
      <c r="F172" s="95" t="n"/>
      <c r="G172" s="95" t="n"/>
      <c r="H172" s="95" t="n"/>
      <c r="I172" s="96" t="n"/>
      <c r="J172" s="95" t="n"/>
      <c r="K172" s="95" t="n"/>
      <c r="L172" s="95" t="n"/>
      <c r="M172" s="95" t="n"/>
      <c r="N172" s="95" t="n"/>
    </row>
    <row r="173">
      <c r="A173" s="94" t="n"/>
      <c r="B173" s="95" t="n"/>
      <c r="C173" s="95" t="n"/>
      <c r="D173" s="95" t="n"/>
      <c r="E173" s="95" t="n"/>
      <c r="F173" s="95" t="n"/>
      <c r="G173" s="95" t="n"/>
      <c r="H173" s="95" t="n"/>
      <c r="I173" s="96" t="n"/>
      <c r="J173" s="95" t="n"/>
      <c r="K173" s="95" t="n"/>
      <c r="L173" s="95" t="n"/>
      <c r="M173" s="95" t="n"/>
      <c r="N173" s="95" t="n"/>
    </row>
    <row r="174">
      <c r="A174" s="94" t="n"/>
      <c r="B174" s="95" t="n"/>
      <c r="C174" s="95" t="n"/>
      <c r="D174" s="95" t="n"/>
      <c r="E174" s="95" t="n"/>
      <c r="F174" s="95" t="n"/>
      <c r="G174" s="95" t="n"/>
      <c r="H174" s="95" t="n"/>
      <c r="I174" s="96" t="n"/>
      <c r="J174" s="95" t="n"/>
      <c r="K174" s="95" t="n"/>
      <c r="L174" s="95" t="n"/>
      <c r="M174" s="95" t="n"/>
      <c r="N174" s="95" t="n"/>
    </row>
    <row r="175">
      <c r="A175" s="94" t="n"/>
      <c r="B175" s="95" t="n"/>
      <c r="C175" s="95" t="n"/>
      <c r="D175" s="95" t="n"/>
      <c r="E175" s="95" t="n"/>
      <c r="F175" s="95" t="n"/>
      <c r="G175" s="95" t="n"/>
      <c r="H175" s="95" t="n"/>
      <c r="I175" s="96" t="n"/>
      <c r="J175" s="95" t="n"/>
      <c r="K175" s="95" t="n"/>
      <c r="L175" s="95" t="n"/>
      <c r="M175" s="95" t="n"/>
      <c r="N175" s="95" t="n"/>
    </row>
    <row r="176">
      <c r="A176" s="94" t="n"/>
      <c r="B176" s="95" t="n"/>
      <c r="C176" s="95" t="n"/>
      <c r="D176" s="95" t="n"/>
      <c r="E176" s="95" t="n"/>
      <c r="F176" s="95" t="n"/>
      <c r="G176" s="95" t="n"/>
      <c r="H176" s="95" t="n"/>
      <c r="I176" s="96" t="n"/>
      <c r="J176" s="95" t="n"/>
      <c r="K176" s="95" t="n"/>
      <c r="L176" s="95" t="n"/>
      <c r="M176" s="95" t="n"/>
      <c r="N176" s="95" t="n"/>
    </row>
    <row r="177">
      <c r="A177" s="94" t="n"/>
      <c r="B177" s="95" t="n"/>
      <c r="C177" s="95" t="n"/>
      <c r="D177" s="95" t="n"/>
      <c r="E177" s="95" t="n"/>
      <c r="F177" s="95" t="n"/>
      <c r="G177" s="95" t="n"/>
      <c r="H177" s="95" t="n"/>
      <c r="I177" s="96" t="n"/>
      <c r="J177" s="95" t="n"/>
      <c r="K177" s="95" t="n"/>
      <c r="L177" s="95" t="n"/>
      <c r="M177" s="95" t="n"/>
      <c r="N177" s="95" t="n"/>
    </row>
    <row r="178">
      <c r="A178" s="94" t="n"/>
      <c r="B178" s="95" t="n"/>
      <c r="C178" s="95" t="n"/>
      <c r="D178" s="95" t="n"/>
      <c r="E178" s="95" t="n"/>
      <c r="F178" s="95" t="n"/>
      <c r="G178" s="95" t="n"/>
      <c r="H178" s="95" t="n"/>
      <c r="I178" s="96" t="n"/>
      <c r="J178" s="95" t="n"/>
      <c r="K178" s="95" t="n"/>
      <c r="L178" s="95" t="n"/>
      <c r="M178" s="95" t="n"/>
      <c r="N178" s="95" t="n"/>
    </row>
    <row r="179">
      <c r="A179" s="94" t="n"/>
      <c r="B179" s="95" t="n"/>
      <c r="C179" s="95" t="n"/>
      <c r="D179" s="95" t="n"/>
      <c r="E179" s="95" t="n"/>
      <c r="F179" s="95" t="n"/>
      <c r="G179" s="95" t="n"/>
      <c r="H179" s="95" t="n"/>
      <c r="I179" s="96" t="n"/>
      <c r="J179" s="95" t="n"/>
      <c r="K179" s="95" t="n"/>
      <c r="L179" s="95" t="n"/>
      <c r="M179" s="95" t="n"/>
      <c r="N179" s="95" t="n"/>
    </row>
    <row r="180">
      <c r="A180" s="94" t="n"/>
      <c r="B180" s="95" t="n"/>
      <c r="C180" s="95" t="n"/>
      <c r="D180" s="95" t="n"/>
      <c r="E180" s="95" t="n"/>
      <c r="F180" s="95" t="n"/>
      <c r="G180" s="95" t="n"/>
      <c r="H180" s="95" t="n"/>
      <c r="I180" s="96" t="n"/>
      <c r="J180" s="95" t="n"/>
      <c r="K180" s="95" t="n"/>
      <c r="L180" s="95" t="n"/>
      <c r="M180" s="95" t="n"/>
      <c r="N180" s="95" t="n"/>
    </row>
    <row r="181">
      <c r="A181" s="94" t="n"/>
      <c r="B181" s="95" t="n"/>
      <c r="C181" s="95" t="n"/>
      <c r="D181" s="95" t="n"/>
      <c r="E181" s="95" t="n"/>
      <c r="F181" s="95" t="n"/>
      <c r="G181" s="95" t="n"/>
      <c r="H181" s="95" t="n"/>
      <c r="I181" s="96" t="n"/>
      <c r="J181" s="95" t="n"/>
      <c r="K181" s="95" t="n"/>
      <c r="L181" s="95" t="n"/>
      <c r="M181" s="95" t="n"/>
      <c r="N181" s="95" t="n"/>
    </row>
    <row r="182">
      <c r="A182" s="94" t="n"/>
      <c r="B182" s="95" t="n"/>
      <c r="C182" s="95" t="n"/>
      <c r="D182" s="95" t="n"/>
      <c r="E182" s="95" t="n"/>
      <c r="F182" s="95" t="n"/>
      <c r="G182" s="95" t="n"/>
      <c r="H182" s="95" t="n"/>
      <c r="I182" s="96" t="n"/>
      <c r="J182" s="95" t="n"/>
      <c r="K182" s="95" t="n"/>
      <c r="L182" s="95" t="n"/>
      <c r="M182" s="95" t="n"/>
      <c r="N182" s="95" t="n"/>
    </row>
    <row r="183">
      <c r="A183" s="94" t="n"/>
      <c r="B183" s="95" t="n"/>
      <c r="C183" s="95" t="n"/>
      <c r="D183" s="95" t="n"/>
      <c r="E183" s="95" t="n"/>
      <c r="F183" s="95" t="n"/>
      <c r="G183" s="95" t="n"/>
      <c r="H183" s="95" t="n"/>
      <c r="I183" s="96" t="n"/>
      <c r="J183" s="95" t="n"/>
      <c r="K183" s="95" t="n"/>
      <c r="L183" s="95" t="n"/>
      <c r="M183" s="95" t="n"/>
      <c r="N183" s="95" t="n"/>
    </row>
    <row r="184">
      <c r="A184" s="94" t="n"/>
      <c r="B184" s="95" t="n"/>
      <c r="C184" s="95" t="n"/>
      <c r="D184" s="95" t="n"/>
      <c r="E184" s="95" t="n"/>
      <c r="F184" s="95" t="n"/>
      <c r="G184" s="95" t="n"/>
      <c r="H184" s="95" t="n"/>
      <c r="I184" s="96" t="n"/>
      <c r="J184" s="95" t="n"/>
      <c r="K184" s="95" t="n"/>
      <c r="L184" s="95" t="n"/>
      <c r="M184" s="95" t="n"/>
      <c r="N184" s="95" t="n"/>
    </row>
    <row r="185">
      <c r="A185" s="94" t="n"/>
      <c r="B185" s="95" t="n"/>
      <c r="C185" s="95" t="n"/>
      <c r="D185" s="95" t="n"/>
      <c r="E185" s="95" t="n"/>
      <c r="F185" s="95" t="n"/>
      <c r="G185" s="95" t="n"/>
      <c r="H185" s="95" t="n"/>
      <c r="I185" s="96" t="n"/>
      <c r="J185" s="95" t="n"/>
      <c r="K185" s="95" t="n"/>
      <c r="L185" s="95" t="n"/>
      <c r="M185" s="95" t="n"/>
      <c r="N185" s="95" t="n"/>
    </row>
    <row r="186">
      <c r="A186" s="94" t="n"/>
      <c r="B186" s="95" t="n"/>
      <c r="C186" s="95" t="n"/>
      <c r="D186" s="95" t="n"/>
      <c r="E186" s="95" t="n"/>
      <c r="F186" s="95" t="n"/>
      <c r="G186" s="95" t="n"/>
      <c r="H186" s="95" t="n"/>
      <c r="I186" s="96" t="n"/>
      <c r="J186" s="95" t="n"/>
      <c r="K186" s="95" t="n"/>
      <c r="L186" s="95" t="n"/>
      <c r="M186" s="95" t="n"/>
      <c r="N186" s="95" t="n"/>
    </row>
    <row r="187">
      <c r="A187" s="94" t="n"/>
      <c r="B187" s="95" t="n"/>
      <c r="C187" s="95" t="n"/>
      <c r="D187" s="95" t="n"/>
      <c r="E187" s="95" t="n"/>
      <c r="F187" s="95" t="n"/>
      <c r="G187" s="95" t="n"/>
      <c r="H187" s="95" t="n"/>
      <c r="I187" s="96" t="n"/>
      <c r="J187" s="95" t="n"/>
      <c r="K187" s="95" t="n"/>
      <c r="L187" s="95" t="n"/>
      <c r="M187" s="95" t="n"/>
      <c r="N187" s="95" t="n"/>
    </row>
    <row r="188">
      <c r="A188" s="94" t="n"/>
      <c r="B188" s="95" t="n"/>
      <c r="C188" s="95" t="n"/>
      <c r="D188" s="95" t="n"/>
      <c r="E188" s="95" t="n"/>
      <c r="F188" s="95" t="n"/>
      <c r="G188" s="95" t="n"/>
      <c r="H188" s="95" t="n"/>
      <c r="I188" s="96" t="n"/>
      <c r="J188" s="95" t="n"/>
      <c r="K188" s="95" t="n"/>
      <c r="L188" s="95" t="n"/>
      <c r="M188" s="95" t="n"/>
      <c r="N188" s="95" t="n"/>
    </row>
    <row r="189">
      <c r="A189" s="94" t="n"/>
      <c r="B189" s="95" t="n"/>
      <c r="C189" s="95" t="n"/>
      <c r="D189" s="95" t="n"/>
      <c r="E189" s="95" t="n"/>
      <c r="F189" s="95" t="n"/>
      <c r="G189" s="95" t="n"/>
      <c r="H189" s="95" t="n"/>
      <c r="I189" s="96" t="n"/>
      <c r="J189" s="95" t="n"/>
      <c r="K189" s="95" t="n"/>
      <c r="L189" s="95" t="n"/>
      <c r="M189" s="95" t="n"/>
      <c r="N189" s="95" t="n"/>
    </row>
    <row r="190">
      <c r="A190" s="94" t="n"/>
      <c r="B190" s="95" t="n"/>
      <c r="C190" s="95" t="n"/>
      <c r="D190" s="95" t="n"/>
      <c r="E190" s="95" t="n"/>
      <c r="F190" s="95" t="n"/>
      <c r="G190" s="95" t="n"/>
      <c r="H190" s="95" t="n"/>
      <c r="I190" s="96" t="n"/>
      <c r="J190" s="95" t="n"/>
      <c r="K190" s="95" t="n"/>
      <c r="L190" s="95" t="n"/>
      <c r="M190" s="95" t="n"/>
      <c r="N190" s="95" t="n"/>
    </row>
    <row r="191">
      <c r="A191" s="94" t="n"/>
      <c r="B191" s="95" t="n"/>
      <c r="C191" s="95" t="n"/>
      <c r="D191" s="95" t="n"/>
      <c r="E191" s="95" t="n"/>
      <c r="F191" s="95" t="n"/>
      <c r="G191" s="95" t="n"/>
      <c r="H191" s="95" t="n"/>
      <c r="I191" s="96" t="n"/>
      <c r="J191" s="95" t="n"/>
      <c r="K191" s="95" t="n"/>
      <c r="L191" s="95" t="n"/>
      <c r="M191" s="95" t="n"/>
      <c r="N191" s="95" t="n"/>
    </row>
    <row r="192">
      <c r="A192" s="94" t="n"/>
      <c r="B192" s="95" t="n"/>
      <c r="C192" s="95" t="n"/>
      <c r="D192" s="95" t="n"/>
      <c r="E192" s="95" t="n"/>
      <c r="F192" s="95" t="n"/>
      <c r="G192" s="95" t="n"/>
      <c r="H192" s="95" t="n"/>
      <c r="I192" s="96" t="n"/>
      <c r="J192" s="95" t="n"/>
      <c r="K192" s="95" t="n"/>
      <c r="L192" s="95" t="n"/>
      <c r="M192" s="95" t="n"/>
      <c r="N192" s="95" t="n"/>
    </row>
    <row r="193">
      <c r="A193" s="94" t="n"/>
      <c r="B193" s="95" t="n"/>
      <c r="C193" s="95" t="n"/>
      <c r="D193" s="95" t="n"/>
      <c r="E193" s="95" t="n"/>
      <c r="F193" s="95" t="n"/>
      <c r="G193" s="95" t="n"/>
      <c r="H193" s="95" t="n"/>
      <c r="I193" s="96" t="n"/>
      <c r="J193" s="95" t="n"/>
      <c r="K193" s="95" t="n"/>
      <c r="L193" s="95" t="n"/>
      <c r="M193" s="95" t="n"/>
      <c r="N193" s="95" t="n"/>
    </row>
    <row r="194" ht="16" customHeight="1">
      <c r="A194" s="94" t="n"/>
      <c r="B194" s="95" t="n"/>
      <c r="C194" s="95" t="n"/>
      <c r="D194" s="95" t="n"/>
      <c r="E194" s="95" t="n"/>
      <c r="F194" s="95" t="n"/>
      <c r="G194" s="95" t="n"/>
      <c r="H194" s="95" t="n"/>
      <c r="I194" s="96" t="n"/>
      <c r="J194" s="95" t="n"/>
      <c r="K194" s="95" t="n"/>
      <c r="L194" s="95" t="n"/>
      <c r="M194" s="95" t="n"/>
      <c r="N194" s="95" t="n"/>
    </row>
    <row r="195">
      <c r="A195" s="94" t="n"/>
      <c r="B195" s="95" t="n"/>
      <c r="C195" s="95" t="n"/>
      <c r="D195" s="95" t="n"/>
      <c r="E195" s="95" t="n"/>
      <c r="F195" s="95" t="n"/>
      <c r="G195" s="95" t="n"/>
      <c r="H195" s="95" t="n"/>
      <c r="I195" s="96" t="n"/>
    </row>
    <row r="196">
      <c r="A196" s="94" t="n"/>
      <c r="B196" s="95" t="n"/>
      <c r="C196" s="95" t="n"/>
      <c r="D196" s="95" t="n"/>
      <c r="E196" s="95" t="n"/>
      <c r="F196" s="95" t="n"/>
      <c r="G196" s="95" t="n"/>
      <c r="H196" s="95" t="n"/>
      <c r="I196" s="96" t="n"/>
    </row>
    <row r="197">
      <c r="A197" s="94" t="n"/>
      <c r="B197" s="95" t="n"/>
      <c r="C197" s="95" t="n"/>
      <c r="D197" s="95" t="n"/>
      <c r="E197" s="95" t="n"/>
      <c r="F197" s="95" t="n"/>
      <c r="G197" s="95" t="n"/>
      <c r="H197" s="95" t="n"/>
      <c r="I197" s="96" t="n"/>
    </row>
    <row r="198">
      <c r="A198" s="95" t="n"/>
      <c r="B198" s="95" t="n"/>
      <c r="C198" s="95" t="n"/>
      <c r="D198" s="95" t="n"/>
      <c r="E198" s="95" t="n"/>
      <c r="F198" s="95" t="n"/>
      <c r="G198" s="95" t="n"/>
      <c r="H198" s="95" t="n"/>
      <c r="I198" s="95" t="n"/>
      <c r="J198" s="95" t="n"/>
      <c r="K198" s="95" t="n"/>
      <c r="L198" s="95" t="n"/>
    </row>
    <row r="199" ht="19" customHeight="1" thickBot="1">
      <c r="A199" s="99" t="n"/>
      <c r="B199" s="99" t="n"/>
      <c r="C199" s="99" t="n"/>
      <c r="D199" s="99" t="n"/>
      <c r="E199" s="99" t="n"/>
      <c r="F199" s="99" t="n"/>
      <c r="G199" s="99" t="n"/>
      <c r="H199" s="99" t="n"/>
      <c r="I199" s="99" t="n"/>
      <c r="J199" s="95" t="n"/>
      <c r="K199" s="95" t="n"/>
      <c r="L199" s="95" t="n"/>
    </row>
    <row r="200">
      <c r="A200" s="95" t="n"/>
      <c r="B200" s="95" t="n"/>
      <c r="C200" s="95" t="n"/>
      <c r="D200" s="95" t="n"/>
      <c r="E200" s="95" t="n"/>
      <c r="F200" s="95" t="n"/>
      <c r="G200" s="95" t="n"/>
      <c r="H200" s="95" t="n"/>
      <c r="I200" s="95" t="n"/>
      <c r="J200" s="95" t="n"/>
      <c r="K200" s="95" t="n"/>
      <c r="L200" s="95" t="n"/>
    </row>
    <row r="201">
      <c r="A201" s="95" t="n"/>
      <c r="B201" s="95" t="n"/>
      <c r="C201" s="95" t="n"/>
      <c r="D201" s="95" t="n"/>
      <c r="E201" s="95" t="n"/>
      <c r="F201" s="95" t="n"/>
      <c r="G201" s="95" t="n"/>
      <c r="H201" s="95" t="n"/>
      <c r="I201" s="95" t="n"/>
      <c r="J201" s="95" t="n"/>
      <c r="K201" s="95" t="n"/>
      <c r="L201" s="95" t="n"/>
    </row>
    <row r="202">
      <c r="A202" s="95" t="n"/>
      <c r="B202" s="95" t="n"/>
      <c r="C202" s="95" t="n"/>
      <c r="D202" s="95" t="n"/>
      <c r="E202" s="95" t="n"/>
      <c r="F202" s="95" t="n"/>
      <c r="G202" s="95" t="n"/>
      <c r="H202" s="95" t="n"/>
      <c r="I202" s="95" t="n"/>
      <c r="J202" s="95" t="n"/>
      <c r="K202" s="95" t="n"/>
      <c r="L202" s="95" t="n"/>
    </row>
    <row r="203">
      <c r="A203" s="95" t="n"/>
      <c r="B203" s="95" t="n"/>
      <c r="C203" s="95" t="n"/>
      <c r="D203" s="95" t="n"/>
      <c r="E203" s="95" t="n"/>
      <c r="F203" s="95" t="n"/>
      <c r="G203" s="95" t="n"/>
      <c r="H203" s="95" t="n"/>
      <c r="I203" s="95" t="n"/>
      <c r="J203" s="95" t="n"/>
      <c r="K203" s="95" t="n"/>
      <c r="L203" s="95" t="n"/>
    </row>
    <row r="204">
      <c r="A204" s="95" t="n"/>
      <c r="B204" s="95" t="n"/>
      <c r="C204" s="95" t="n"/>
      <c r="D204" s="95" t="n"/>
      <c r="E204" s="95" t="n"/>
      <c r="F204" s="95" t="n"/>
      <c r="G204" s="95" t="n"/>
      <c r="H204" s="95" t="n"/>
      <c r="I204" s="95" t="n"/>
      <c r="J204" s="95" t="n"/>
      <c r="K204" s="95" t="n"/>
      <c r="L204" s="95" t="n"/>
    </row>
    <row r="205">
      <c r="A205" s="94" t="n"/>
      <c r="B205" s="95" t="n"/>
      <c r="C205" s="95" t="n"/>
      <c r="D205" s="95" t="n"/>
      <c r="E205" s="95" t="n"/>
      <c r="F205" s="95" t="n"/>
      <c r="G205" s="95" t="n"/>
      <c r="H205" s="95" t="n"/>
      <c r="I205" s="95" t="n"/>
      <c r="J205" s="95" t="n"/>
      <c r="K205" s="95" t="n"/>
      <c r="L205" s="95" t="n"/>
    </row>
    <row r="206">
      <c r="A206" s="94" t="n"/>
      <c r="B206" s="95" t="n"/>
      <c r="C206" s="95" t="n"/>
      <c r="D206" s="95" t="n"/>
      <c r="E206" s="95" t="n"/>
      <c r="F206" s="95" t="n"/>
      <c r="G206" s="95" t="n"/>
      <c r="H206" s="95" t="n"/>
      <c r="I206" s="95" t="n"/>
      <c r="J206" s="95" t="n"/>
      <c r="K206" s="95" t="n"/>
      <c r="L206" s="95" t="n"/>
    </row>
    <row r="207">
      <c r="A207" s="94" t="n"/>
      <c r="B207" s="95" t="n"/>
      <c r="C207" s="95" t="n"/>
      <c r="D207" s="95" t="n"/>
      <c r="E207" s="95" t="n"/>
      <c r="F207" s="95" t="n"/>
      <c r="G207" s="95" t="n"/>
      <c r="H207" s="95" t="n"/>
      <c r="I207" s="95" t="n"/>
      <c r="J207" s="95" t="n"/>
      <c r="K207" s="95" t="n"/>
      <c r="L207" s="95" t="n"/>
    </row>
    <row r="208">
      <c r="A208" s="94" t="n"/>
      <c r="B208" s="95" t="n"/>
      <c r="C208" s="95" t="n"/>
      <c r="D208" s="95" t="n"/>
      <c r="E208" s="95" t="n"/>
      <c r="F208" s="95" t="n"/>
      <c r="G208" s="95" t="n"/>
      <c r="H208" s="95" t="n"/>
      <c r="I208" s="95" t="n"/>
      <c r="J208" s="95" t="n"/>
      <c r="K208" s="95" t="n"/>
      <c r="L208" s="95" t="n"/>
    </row>
    <row r="209">
      <c r="A209" s="94" t="n"/>
      <c r="B209" s="95" t="n"/>
      <c r="C209" s="95" t="n"/>
      <c r="D209" s="95" t="n"/>
      <c r="E209" s="95" t="n"/>
      <c r="F209" s="95" t="n"/>
      <c r="G209" s="95" t="n"/>
      <c r="H209" s="95" t="n"/>
      <c r="I209" s="95" t="n"/>
      <c r="J209" s="95" t="n"/>
      <c r="K209" s="95" t="n"/>
      <c r="L209" s="95" t="n"/>
    </row>
    <row r="210">
      <c r="A210" s="94" t="n"/>
      <c r="B210" s="95" t="n"/>
      <c r="C210" s="95" t="n"/>
      <c r="D210" s="95" t="n"/>
      <c r="E210" s="95" t="n"/>
      <c r="F210" s="95" t="n"/>
      <c r="G210" s="95" t="n"/>
      <c r="H210" s="95" t="n"/>
      <c r="I210" s="95" t="n"/>
      <c r="J210" s="95" t="n"/>
      <c r="K210" s="95" t="n"/>
      <c r="L210" s="95" t="n"/>
    </row>
    <row r="211">
      <c r="A211" s="94" t="n"/>
      <c r="B211" s="95" t="n"/>
      <c r="C211" s="95" t="n"/>
      <c r="D211" s="95" t="n"/>
      <c r="E211" s="95" t="n"/>
      <c r="F211" s="95" t="n"/>
      <c r="G211" s="95" t="n"/>
      <c r="H211" s="95" t="n"/>
      <c r="I211" s="95" t="n"/>
      <c r="J211" s="95" t="n"/>
      <c r="K211" s="95" t="n"/>
      <c r="L211" s="95" t="n"/>
    </row>
    <row r="212">
      <c r="A212" s="94" t="n"/>
      <c r="B212" s="95" t="n"/>
      <c r="C212" s="95" t="n"/>
      <c r="D212" s="95" t="n"/>
      <c r="E212" s="95" t="n"/>
      <c r="F212" s="95" t="n"/>
      <c r="G212" s="95" t="n"/>
      <c r="H212" s="95" t="n"/>
      <c r="I212" s="95" t="n"/>
      <c r="J212" s="95" t="n"/>
      <c r="K212" s="95" t="n"/>
      <c r="L212" s="95" t="n"/>
    </row>
    <row r="213">
      <c r="A213" s="94" t="n"/>
      <c r="B213" s="95" t="n"/>
      <c r="C213" s="95" t="n"/>
      <c r="D213" s="95" t="n"/>
      <c r="E213" s="95" t="n"/>
      <c r="F213" s="95" t="n"/>
      <c r="G213" s="95" t="n"/>
      <c r="H213" s="95" t="n"/>
      <c r="I213" s="95" t="n"/>
      <c r="J213" s="95" t="n"/>
      <c r="K213" s="95" t="n"/>
      <c r="L213" s="95" t="n"/>
    </row>
    <row r="214">
      <c r="A214" s="94" t="n"/>
      <c r="B214" s="95" t="n"/>
      <c r="C214" s="95" t="n"/>
      <c r="D214" s="95" t="n"/>
      <c r="E214" s="95" t="n"/>
      <c r="F214" s="95" t="n"/>
      <c r="G214" s="95" t="n"/>
      <c r="H214" s="95" t="n"/>
      <c r="I214" s="95" t="n"/>
      <c r="J214" s="95" t="n"/>
      <c r="K214" s="95" t="n"/>
      <c r="L214" s="95" t="n"/>
    </row>
    <row r="215">
      <c r="A215" s="94" t="n"/>
      <c r="B215" s="95" t="n"/>
      <c r="C215" s="95" t="n"/>
      <c r="D215" s="95" t="n"/>
      <c r="E215" s="95" t="n"/>
      <c r="F215" s="95" t="n"/>
      <c r="G215" s="95" t="n"/>
      <c r="H215" s="95" t="n"/>
      <c r="I215" s="95" t="n"/>
      <c r="J215" s="95" t="n"/>
      <c r="K215" s="95" t="n"/>
      <c r="L215" s="95" t="n"/>
    </row>
    <row r="216">
      <c r="G216" s="95" t="n"/>
      <c r="H216" s="95" t="n"/>
      <c r="I216" s="95" t="n"/>
      <c r="J216" s="95" t="n"/>
      <c r="K216" s="95" t="n"/>
      <c r="L216" s="95" t="n"/>
    </row>
    <row r="217">
      <c r="G217" s="95" t="n"/>
      <c r="H217" s="95" t="n"/>
      <c r="I217" s="95" t="n"/>
      <c r="J217" s="95" t="n"/>
      <c r="K217" s="95" t="n"/>
      <c r="L217" s="95" t="n"/>
    </row>
    <row r="218">
      <c r="G218" s="95" t="n"/>
      <c r="H218" s="95" t="n"/>
      <c r="I218" s="95" t="n"/>
      <c r="J218" s="95" t="n"/>
      <c r="K218" s="95" t="n"/>
      <c r="L218" s="95" t="n"/>
    </row>
  </sheetData>
  <mergeCells count="41">
    <mergeCell ref="D13:F13"/>
    <mergeCell ref="G13:I13"/>
    <mergeCell ref="A46:I46"/>
    <mergeCell ref="B47:I47"/>
    <mergeCell ref="B8:D8"/>
    <mergeCell ref="D41:I41"/>
    <mergeCell ref="A44:I45"/>
    <mergeCell ref="A12:I12"/>
    <mergeCell ref="C53:I53"/>
    <mergeCell ref="B39:C39"/>
    <mergeCell ref="A57:I57"/>
    <mergeCell ref="B48:I48"/>
    <mergeCell ref="A5:I5"/>
    <mergeCell ref="B9:D9"/>
    <mergeCell ref="B6:D6"/>
    <mergeCell ref="A62:I62"/>
    <mergeCell ref="D39:I39"/>
    <mergeCell ref="A52:I52"/>
    <mergeCell ref="A43:I43"/>
    <mergeCell ref="D42:I42"/>
    <mergeCell ref="A13:C13"/>
    <mergeCell ref="A63:I63"/>
    <mergeCell ref="A10:I10"/>
    <mergeCell ref="A1:I4"/>
    <mergeCell ref="A42:B42"/>
    <mergeCell ref="C54:I54"/>
    <mergeCell ref="A58:I58"/>
    <mergeCell ref="B40:C40"/>
    <mergeCell ref="B7:D7"/>
    <mergeCell ref="B49:I49"/>
    <mergeCell ref="C55:I55"/>
    <mergeCell ref="A64:I64"/>
    <mergeCell ref="A59:I59"/>
    <mergeCell ref="A11:I11"/>
    <mergeCell ref="A60:I60"/>
    <mergeCell ref="C56:I56"/>
    <mergeCell ref="B51:I51"/>
    <mergeCell ref="D40:I40"/>
    <mergeCell ref="A61:I61"/>
    <mergeCell ref="B41:C41"/>
    <mergeCell ref="B50:I50"/>
  </mergeCells>
  <printOptions horizontalCentered="1"/>
  <pageMargins left="0.2362204724409449" right="0.2362204724409449" top="0.7480314960629921" bottom="0.7480314960629921" header="0.3149606299212598" footer="0.3149606299212598"/>
  <pageSetup orientation="portrait" paperSize="8" scale="48" fitToHeight="0"/>
  <rowBreaks count="1" manualBreakCount="1">
    <brk id="100" min="0" max="8"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Daniel Griffiths</dc:creator>
  <dcterms:created xsi:type="dcterms:W3CDTF">2025-10-04T03:02:41Z</dcterms:created>
  <dcterms:modified xsi:type="dcterms:W3CDTF">2025-11-19T15:52:54Z</dcterms:modified>
  <cp:lastModifiedBy>Daniel Griffiths</cp:lastModifiedBy>
  <cp:lastPrinted>2025-11-14T05:06:14Z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0x01010054D974174226C149948D7A6780F4D3DD</vt:lpwstr>
  </property>
  <property name="MediaServiceImageTags" fmtid="{D5CDD505-2E9C-101B-9397-08002B2CF9AE}" pid="3">
    <vt:lpwstr/>
  </property>
</Properties>
</file>