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180" windowHeight="16140" tabRatio="905" firstSheet="28" activeTab="31" autoFilterDateGrouping="1"/>
  </bookViews>
  <sheets>
    <sheet name="069" sheetId="1" state="visible" r:id="rId1"/>
    <sheet name="070" sheetId="2" state="visible" r:id="rId2"/>
    <sheet name="071" sheetId="3" state="visible" r:id="rId3"/>
    <sheet name="072" sheetId="4" state="visible" r:id="rId4"/>
    <sheet name="073" sheetId="5" state="visible" r:id="rId5"/>
    <sheet name="074" sheetId="6" state="visible" r:id="rId6"/>
    <sheet name="075" sheetId="7" state="visible" r:id="rId7"/>
    <sheet name="076" sheetId="8" state="visible" r:id="rId8"/>
    <sheet name="077" sheetId="9" state="visible" r:id="rId9"/>
    <sheet name="078" sheetId="10" state="visible" r:id="rId10"/>
    <sheet name="079" sheetId="11" state="visible" r:id="rId11"/>
    <sheet name="080" sheetId="12" state="visible" r:id="rId12"/>
    <sheet name="081" sheetId="13" state="visible" r:id="rId13"/>
    <sheet name="082" sheetId="14" state="visible" r:id="rId14"/>
    <sheet name="083" sheetId="15" state="visible" r:id="rId15"/>
    <sheet name="084 " sheetId="16" state="visible" r:id="rId16"/>
    <sheet name="085" sheetId="17" state="visible" r:id="rId17"/>
    <sheet name="086" sheetId="18" state="visible" r:id="rId18"/>
    <sheet name="087" sheetId="19" state="visible" r:id="rId19"/>
    <sheet name="088" sheetId="20" state="visible" r:id="rId20"/>
    <sheet name="089" sheetId="21" state="visible" r:id="rId21"/>
    <sheet name="090" sheetId="22" state="visible" r:id="rId22"/>
    <sheet name="091" sheetId="23" state="visible" r:id="rId23"/>
    <sheet name="092" sheetId="24" state="visible" r:id="rId24"/>
    <sheet name="093" sheetId="25" state="visible" r:id="rId25"/>
    <sheet name="094" sheetId="26" state="visible" r:id="rId26"/>
    <sheet name="095" sheetId="27" state="visible" r:id="rId27"/>
    <sheet name="096" sheetId="28" state="visible" r:id="rId28"/>
    <sheet name="097" sheetId="29" state="visible" r:id="rId29"/>
    <sheet name="098" sheetId="30" state="visible" r:id="rId30"/>
    <sheet name="099" sheetId="31" state="visible" r:id="rId31"/>
    <sheet name="100" sheetId="32" state="visible" r:id="rId32"/>
  </sheets>
  <definedNames>
    <definedName name="_xlnm.Print_Area" localSheetId="0">'069'!$A$1:$I$151</definedName>
    <definedName name="_xlnm.Print_Area" localSheetId="1">'070'!$A$1:$I$153</definedName>
    <definedName name="_xlnm.Print_Area" localSheetId="2">'071'!$A$1:$I$154</definedName>
    <definedName name="_xlnm.Print_Area" localSheetId="3">'072'!$A$1:$I$152</definedName>
    <definedName name="_xlnm.Print_Area" localSheetId="4">'073'!$A$1:$I$151</definedName>
    <definedName name="_xlnm.Print_Area" localSheetId="8">'077'!$A$1:$I$149</definedName>
    <definedName name="_xlnm.Print_Area" localSheetId="9">'078'!$A$1:$I$145</definedName>
    <definedName name="_xlnm.Print_Area" localSheetId="10">'079'!$A$1:$I$151</definedName>
    <definedName name="_xlnm.Print_Area" localSheetId="11">'080'!$A$1:$I$148</definedName>
    <definedName name="_xlnm.Print_Area" localSheetId="12">'081'!$A$1:$I$147</definedName>
    <definedName name="_xlnm.Print_Area" localSheetId="13">'082'!$A$1:$I$72</definedName>
    <definedName name="_xlnm.Print_Area" localSheetId="14">'083'!$A$1:$I$72</definedName>
    <definedName name="_xlnm.Print_Area" localSheetId="15">'084 '!$A$1:$I$152</definedName>
    <definedName name="_xlnm.Print_Area" localSheetId="16">'085'!$A$1:$I$150</definedName>
    <definedName name="_xlnm.Print_Area" localSheetId="17">'086'!$A$1:$I$147</definedName>
    <definedName name="_xlnm.Print_Area" localSheetId="18">'087'!$A$1:$I$150</definedName>
    <definedName name="_xlnm.Print_Area" localSheetId="19">'088'!$A$1:$I$151</definedName>
    <definedName name="_xlnm.Print_Area" localSheetId="20">'089'!$A$1:$I$125</definedName>
    <definedName name="_xlnm.Print_Area" localSheetId="21">'090'!$A$1:$I$174</definedName>
    <definedName name="_xlnm.Print_Area" localSheetId="22">'091'!$A$1:$I$148</definedName>
    <definedName name="_xlnm.Print_Area" localSheetId="23">'092'!$A$1:$I$146</definedName>
    <definedName name="_xlnm.Print_Area" localSheetId="24">'093'!$A$1:$I$147</definedName>
    <definedName name="_xlnm.Print_Area" localSheetId="25">'094'!$A$1:$I$149</definedName>
    <definedName name="_xlnm.Print_Area" localSheetId="26">'095'!$A$1:$I$148</definedName>
    <definedName name="_xlnm.Print_Area" localSheetId="27">'096'!$A$1:$I$149</definedName>
    <definedName name="_xlnm.Print_Area" localSheetId="28">'097'!$A$1:$I$148</definedName>
    <definedName name="_xlnm.Print_Area" localSheetId="29">'098'!$A$1:$I$149</definedName>
    <definedName name="_xlnm.Print_Area" localSheetId="30">'099'!$A$1:$I$149</definedName>
    <definedName name="_xlnm.Print_Area" localSheetId="31">'100'!$A$1:$I$149</definedName>
  </definedNames>
  <calcPr calcId="191028" fullCalcOnLoad="1"/>
</workbook>
</file>

<file path=xl/styles.xml><?xml version="1.0" encoding="utf-8"?>
<styleSheet xmlns="http://schemas.openxmlformats.org/spreadsheetml/2006/main">
  <numFmts count="1">
    <numFmt numFmtId="164" formatCode="dddd"/>
  </numFmts>
  <fonts count="26">
    <font>
      <name val="Aptos Narrow"/>
      <family val="2"/>
      <color theme="1"/>
      <sz val="11"/>
      <scheme val="minor"/>
    </font>
    <font>
      <name val="Arial"/>
      <family val="2"/>
      <b val="1"/>
      <color theme="0"/>
      <sz val="16"/>
    </font>
    <font>
      <name val="Arial"/>
      <family val="2"/>
      <b val="1"/>
      <color theme="1"/>
      <sz val="16"/>
    </font>
    <font>
      <name val="Arial"/>
      <family val="2"/>
      <b val="1"/>
      <color theme="1"/>
      <sz val="26"/>
    </font>
    <font>
      <name val="Arial"/>
      <family val="2"/>
      <sz val="16"/>
    </font>
    <font>
      <name val="Arial"/>
      <family val="2"/>
      <sz val="18"/>
    </font>
    <font>
      <name val="Arial"/>
      <family val="2"/>
      <sz val="14"/>
    </font>
    <font>
      <name val="Arial"/>
      <family val="2"/>
      <color theme="1"/>
      <sz val="12"/>
    </font>
    <font>
      <name val="Arial"/>
      <family val="2"/>
      <b val="1"/>
      <color theme="1"/>
      <sz val="18"/>
    </font>
    <font>
      <name val="Arial"/>
      <family val="2"/>
      <b val="1"/>
      <color theme="0"/>
      <sz val="20"/>
    </font>
    <font>
      <name val="Arial"/>
      <family val="2"/>
      <color theme="1"/>
      <sz val="18"/>
    </font>
    <font>
      <name val="Arial"/>
      <family val="2"/>
      <b val="1"/>
      <sz val="18"/>
    </font>
    <font>
      <name val="Aptos Narrow"/>
      <family val="2"/>
      <color theme="1"/>
      <sz val="18"/>
      <scheme val="minor"/>
    </font>
    <font>
      <name val="Arial"/>
      <color rgb="FF000000"/>
      <sz val="18"/>
    </font>
    <font>
      <name val="Arial"/>
      <family val="2"/>
      <color rgb="FF000000"/>
      <sz val="18"/>
    </font>
    <font>
      <name val="Arial"/>
      <color theme="1"/>
      <sz val="12"/>
    </font>
    <font>
      <name val="Arial"/>
      <b val="1"/>
      <color theme="1"/>
      <sz val="26"/>
    </font>
    <font>
      <name val="Arial"/>
      <b val="1"/>
      <color theme="0"/>
      <sz val="20"/>
    </font>
    <font>
      <name val="Arial"/>
      <b val="1"/>
      <color theme="1"/>
      <sz val="18"/>
    </font>
    <font>
      <name val="Arial"/>
      <color theme="1"/>
      <sz val="18"/>
    </font>
    <font>
      <name val="Arial"/>
      <sz val="18"/>
    </font>
    <font>
      <name val="Arial"/>
      <b val="1"/>
      <color theme="1"/>
      <sz val="16"/>
    </font>
    <font>
      <name val="Arial"/>
      <b val="1"/>
      <color theme="0"/>
      <sz val="16"/>
    </font>
    <font>
      <name val="Arial"/>
      <sz val="16"/>
    </font>
    <font>
      <name val="Arial"/>
      <b val="1"/>
      <sz val="18"/>
    </font>
    <font>
      <name val="Arial"/>
      <sz val="14"/>
    </font>
  </fonts>
  <fills count="7">
    <fill>
      <patternFill/>
    </fill>
    <fill>
      <patternFill patternType="gray125"/>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80FD"/>
        <bgColor indexed="64"/>
      </patternFill>
    </fill>
    <fill>
      <patternFill patternType="solid">
        <fgColor theme="0"/>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1">
    <xf numFmtId="0" fontId="0" fillId="0" borderId="0"/>
  </cellStyleXfs>
  <cellXfs count="288">
    <xf numFmtId="0" fontId="0" fillId="0" borderId="0" pivotButton="0" quotePrefix="0" xfId="0"/>
    <xf numFmtId="0" fontId="2" fillId="5" borderId="7" applyAlignment="1" pivotButton="0" quotePrefix="0" xfId="0">
      <alignment horizontal="center" vertical="center"/>
    </xf>
    <xf numFmtId="0" fontId="2" fillId="5" borderId="8" applyAlignment="1" pivotButton="0" quotePrefix="0" xfId="0">
      <alignment horizontal="center" vertical="center"/>
    </xf>
    <xf numFmtId="0" fontId="0" fillId="0" borderId="0" applyAlignment="1" pivotButton="0" quotePrefix="0" xfId="0">
      <alignment vertical="center"/>
    </xf>
    <xf numFmtId="0" fontId="7" fillId="0" borderId="0" applyAlignment="1" pivotButton="0" quotePrefix="0" xfId="0">
      <alignment vertical="center"/>
    </xf>
    <xf numFmtId="0" fontId="1" fillId="5" borderId="16" applyAlignment="1" pivotButton="0" quotePrefix="0" xfId="0">
      <alignment horizontal="left" vertical="center"/>
    </xf>
    <xf numFmtId="0" fontId="1" fillId="5" borderId="12" applyAlignment="1" pivotButton="0" quotePrefix="0" xfId="0">
      <alignment horizontal="left" vertical="center"/>
    </xf>
    <xf numFmtId="0" fontId="1" fillId="5" borderId="17" applyAlignment="1" pivotButton="0" quotePrefix="0" xfId="0">
      <alignment horizontal="left" vertical="center"/>
    </xf>
    <xf numFmtId="0" fontId="6" fillId="0" borderId="22" applyAlignment="1" pivotButton="0" quotePrefix="0" xfId="0">
      <alignment vertical="center" wrapText="1"/>
    </xf>
    <xf numFmtId="0" fontId="8" fillId="0" borderId="9" applyAlignment="1" pivotButton="0" quotePrefix="0" xfId="0">
      <alignment horizontal="left" vertical="center"/>
    </xf>
    <xf numFmtId="0" fontId="9" fillId="5" borderId="6" applyAlignment="1" pivotButton="0" quotePrefix="0" xfId="0">
      <alignment horizontal="left" vertical="center"/>
    </xf>
    <xf numFmtId="0" fontId="10" fillId="0" borderId="9" applyAlignment="1" pivotButton="0" quotePrefix="0" xfId="0">
      <alignment vertical="center"/>
    </xf>
    <xf numFmtId="0" fontId="8" fillId="0" borderId="10" applyAlignment="1" pivotButton="0" quotePrefix="0" xfId="0">
      <alignment horizontal="center" vertical="center"/>
    </xf>
    <xf numFmtId="0" fontId="8" fillId="0" borderId="9" applyAlignment="1" pivotButton="0" quotePrefix="0" xfId="0">
      <alignment horizontal="right" vertical="center"/>
    </xf>
    <xf numFmtId="0" fontId="8" fillId="0" borderId="20" applyAlignment="1" pivotButton="0" quotePrefix="0" xfId="0">
      <alignment horizontal="right" vertical="center"/>
    </xf>
    <xf numFmtId="0" fontId="8" fillId="0" borderId="24" applyAlignment="1" pivotButton="0" quotePrefix="0" xfId="0">
      <alignment horizontal="center" vertical="center"/>
    </xf>
    <xf numFmtId="0" fontId="8" fillId="0" borderId="27" applyAlignment="1" pivotButton="0" quotePrefix="0" xfId="0">
      <alignment horizontal="right" vertical="center"/>
    </xf>
    <xf numFmtId="0" fontId="8" fillId="0" borderId="28" applyAlignment="1" pivotButton="0" quotePrefix="0" xfId="0">
      <alignment horizontal="center" vertical="center"/>
    </xf>
    <xf numFmtId="0" fontId="8" fillId="0" borderId="9" applyAlignment="1" pivotButton="0" quotePrefix="0" xfId="0">
      <alignment vertical="center" wrapText="1"/>
    </xf>
    <xf numFmtId="0" fontId="8" fillId="0" borderId="9" applyAlignment="1" pivotButton="0" quotePrefix="0" xfId="0">
      <alignment vertical="center"/>
    </xf>
    <xf numFmtId="0" fontId="11" fillId="0" borderId="10" applyAlignment="1" pivotButton="0" quotePrefix="0" xfId="0">
      <alignment horizontal="left" vertical="center" wrapText="1"/>
    </xf>
    <xf numFmtId="0" fontId="8" fillId="0" borderId="20" applyAlignment="1" pivotButton="0" quotePrefix="0" xfId="0">
      <alignment vertical="center"/>
    </xf>
    <xf numFmtId="0" fontId="8" fillId="0" borderId="9" applyAlignment="1" pivotButton="0" quotePrefix="0" xfId="0">
      <alignment horizontal="center" vertical="center"/>
    </xf>
    <xf numFmtId="0" fontId="8" fillId="0" borderId="10" applyAlignment="1" pivotButton="0" quotePrefix="0" xfId="0">
      <alignment horizontal="center" vertical="center" wrapText="1"/>
    </xf>
    <xf numFmtId="0" fontId="8" fillId="0" borderId="11" applyAlignment="1" pivotButton="0" quotePrefix="0" xfId="0">
      <alignment horizontal="center" vertical="center" wrapText="1"/>
    </xf>
    <xf numFmtId="0" fontId="10" fillId="0" borderId="9" applyAlignment="1" pivotButton="0" quotePrefix="0" xfId="0">
      <alignment horizontal="center" vertical="center"/>
    </xf>
    <xf numFmtId="0" fontId="10" fillId="0" borderId="10" applyAlignment="1" pivotButton="0" quotePrefix="0" xfId="0">
      <alignment horizontal="center" vertical="center"/>
    </xf>
    <xf numFmtId="0" fontId="5" fillId="0" borderId="10" applyAlignment="1" pivotButton="0" quotePrefix="0" xfId="0">
      <alignment horizontal="center" vertical="center"/>
    </xf>
    <xf numFmtId="0" fontId="5" fillId="0" borderId="11" applyAlignment="1" pivotButton="0" quotePrefix="0" xfId="0">
      <alignment horizontal="center" vertical="center"/>
    </xf>
    <xf numFmtId="0" fontId="5" fillId="0" borderId="9" applyAlignment="1" pivotButton="0" quotePrefix="0" xfId="0">
      <alignment horizontal="center" vertical="center"/>
    </xf>
    <xf numFmtId="0" fontId="5" fillId="6" borderId="10" applyAlignment="1" pivotButton="0" quotePrefix="0" xfId="0">
      <alignment horizontal="center" vertical="center"/>
    </xf>
    <xf numFmtId="0" fontId="12" fillId="0" borderId="10" applyAlignment="1" pivotButton="0" quotePrefix="0" xfId="0">
      <alignment vertical="center"/>
    </xf>
    <xf numFmtId="0" fontId="12" fillId="0" borderId="11" applyAlignment="1" pivotButton="0" quotePrefix="0" xfId="0">
      <alignment vertical="center"/>
    </xf>
    <xf numFmtId="0" fontId="5" fillId="2" borderId="9" applyAlignment="1" pivotButton="0" quotePrefix="0" xfId="0">
      <alignment horizontal="center" vertical="center"/>
    </xf>
    <xf numFmtId="0" fontId="5" fillId="3" borderId="9" applyAlignment="1" pivotButton="0" quotePrefix="0" xfId="0">
      <alignment horizontal="center" vertical="center"/>
    </xf>
    <xf numFmtId="0" fontId="5" fillId="4" borderId="9" applyAlignment="1" pivotButton="0" quotePrefix="0" xfId="0">
      <alignment horizontal="center" vertical="center"/>
    </xf>
    <xf numFmtId="0" fontId="8" fillId="0" borderId="19" applyAlignment="1" pivotButton="0" quotePrefix="0" xfId="0">
      <alignment horizontal="left" vertical="center"/>
    </xf>
    <xf numFmtId="0" fontId="8" fillId="0" borderId="18" applyAlignment="1" pivotButton="0" quotePrefix="0" xfId="0">
      <alignment horizontal="center" vertical="center"/>
    </xf>
    <xf numFmtId="0" fontId="8" fillId="0" borderId="11" applyAlignment="1" pivotButton="0" quotePrefix="0" xfId="0">
      <alignment horizontal="center" vertical="center"/>
    </xf>
    <xf numFmtId="0" fontId="8" fillId="6" borderId="10" applyAlignment="1" pivotButton="0" quotePrefix="0" xfId="0">
      <alignment horizontal="center" vertical="center" wrapText="1"/>
    </xf>
    <xf numFmtId="0" fontId="10" fillId="0" borderId="10" applyAlignment="1" pivotButton="0" quotePrefix="0" xfId="0">
      <alignment horizontal="center" vertical="center" wrapText="1"/>
    </xf>
    <xf numFmtId="0" fontId="10" fillId="0" borderId="10" applyAlignment="1" pivotButton="0" quotePrefix="0" xfId="0">
      <alignment vertical="center"/>
    </xf>
    <xf numFmtId="0" fontId="10" fillId="0" borderId="19" applyAlignment="1" pivotButton="0" quotePrefix="0" xfId="0">
      <alignment horizontal="center" vertical="center"/>
    </xf>
    <xf numFmtId="0" fontId="10" fillId="0" borderId="10" applyAlignment="1" pivotButton="0" quotePrefix="0" xfId="0">
      <alignment horizontal="left" vertical="center"/>
    </xf>
    <xf numFmtId="0" fontId="10" fillId="0" borderId="19" applyAlignment="1" pivotButton="0" quotePrefix="0" xfId="0">
      <alignment horizontal="left" vertical="center"/>
    </xf>
    <xf numFmtId="0" fontId="8" fillId="0" borderId="10" applyAlignment="1" pivotButton="0" quotePrefix="0" xfId="0">
      <alignment horizontal="left" vertical="center"/>
    </xf>
    <xf numFmtId="0" fontId="8" fillId="0" borderId="10" applyAlignment="1" pivotButton="0" quotePrefix="0" xfId="0">
      <alignment vertical="center"/>
    </xf>
    <xf numFmtId="0" fontId="10" fillId="6" borderId="10" applyAlignment="1" pivotButton="0" quotePrefix="0" xfId="0">
      <alignment horizontal="center" vertical="center"/>
    </xf>
    <xf numFmtId="0" fontId="8" fillId="0" borderId="11" applyAlignment="1" pivotButton="0" quotePrefix="0" xfId="0">
      <alignment horizontal="left" vertical="center"/>
    </xf>
    <xf numFmtId="0" fontId="8" fillId="0" borderId="4" applyAlignment="1" pivotButton="0" quotePrefix="0" xfId="0">
      <alignment vertical="center"/>
    </xf>
    <xf numFmtId="0" fontId="10" fillId="0" borderId="0" applyAlignment="1" pivotButton="0" quotePrefix="0" xfId="0">
      <alignment horizontal="left" vertical="center"/>
    </xf>
    <xf numFmtId="0" fontId="10" fillId="0" borderId="0" applyAlignment="1" pivotButton="0" quotePrefix="0" xfId="0">
      <alignment horizontal="center" vertical="center"/>
    </xf>
    <xf numFmtId="14" fontId="10" fillId="0" borderId="0" applyAlignment="1" pivotButton="0" quotePrefix="0" xfId="0">
      <alignment horizontal="right" vertical="center"/>
    </xf>
    <xf numFmtId="14" fontId="10" fillId="0" borderId="5" applyAlignment="1" pivotButton="0" quotePrefix="0" xfId="0">
      <alignment horizontal="right" vertical="center"/>
    </xf>
    <xf numFmtId="0" fontId="10" fillId="0" borderId="0" applyAlignment="1" pivotButton="0" quotePrefix="0" xfId="0">
      <alignment horizontal="right" vertical="center"/>
    </xf>
    <xf numFmtId="164" fontId="10" fillId="0" borderId="5" applyAlignment="1" pivotButton="0" quotePrefix="0" xfId="0">
      <alignment horizontal="right" vertical="center"/>
    </xf>
    <xf numFmtId="20" fontId="10" fillId="0" borderId="5" applyAlignment="1" pivotButton="0" quotePrefix="0" xfId="0">
      <alignment horizontal="right" vertical="center"/>
    </xf>
    <xf numFmtId="0" fontId="10" fillId="0" borderId="7" applyAlignment="1" pivotButton="0" quotePrefix="1" xfId="0">
      <alignment horizontal="left" vertical="center"/>
    </xf>
    <xf numFmtId="0" fontId="10" fillId="0" borderId="7" applyAlignment="1" pivotButton="0" quotePrefix="0" xfId="0">
      <alignment horizontal="center" vertical="center"/>
    </xf>
    <xf numFmtId="0" fontId="0" fillId="0" borderId="21" applyAlignment="1" pivotButton="0" quotePrefix="0" xfId="0">
      <alignment vertical="center"/>
    </xf>
    <xf numFmtId="0" fontId="0" fillId="0" borderId="22" applyAlignment="1" pivotButton="0" quotePrefix="0" xfId="0">
      <alignment vertical="center"/>
    </xf>
    <xf numFmtId="0" fontId="0" fillId="0" borderId="23" applyAlignment="1" pivotButton="0" quotePrefix="0" xfId="0">
      <alignment vertical="center"/>
    </xf>
    <xf numFmtId="0" fontId="8" fillId="0" borderId="12" applyAlignment="1" pivotButton="0" quotePrefix="0" xfId="0">
      <alignment horizontal="left" vertical="center"/>
    </xf>
    <xf numFmtId="0" fontId="8" fillId="0" borderId="17" applyAlignment="1" pivotButton="0" quotePrefix="0" xfId="0">
      <alignment horizontal="left" vertical="center"/>
    </xf>
    <xf numFmtId="0" fontId="0" fillId="0" borderId="4" applyAlignment="1" pivotButton="0" quotePrefix="0" xfId="0">
      <alignment vertical="center"/>
    </xf>
    <xf numFmtId="0" fontId="0" fillId="0" borderId="5" applyAlignment="1" pivotButton="0" quotePrefix="0" xfId="0">
      <alignment vertical="center"/>
    </xf>
    <xf numFmtId="0" fontId="10" fillId="0" borderId="16" applyAlignment="1" pivotButton="0" quotePrefix="0" xfId="0">
      <alignment horizontal="left" vertical="center"/>
    </xf>
    <xf numFmtId="0" fontId="4" fillId="0" borderId="13" applyAlignment="1" pivotButton="0" quotePrefix="0" xfId="0">
      <alignment horizontal="left" vertical="center"/>
    </xf>
    <xf numFmtId="0" fontId="4" fillId="0" borderId="14" applyAlignment="1" pivotButton="0" quotePrefix="0" xfId="0">
      <alignment horizontal="left" vertical="center"/>
    </xf>
    <xf numFmtId="0" fontId="4" fillId="0" borderId="15" applyAlignment="1" pivotButton="0" quotePrefix="0" xfId="0">
      <alignment horizontal="left" vertical="center"/>
    </xf>
    <xf numFmtId="0" fontId="5" fillId="6" borderId="1" applyAlignment="1" pivotButton="0" quotePrefix="0" xfId="0">
      <alignment vertical="center" wrapText="1"/>
    </xf>
    <xf numFmtId="0" fontId="5" fillId="6" borderId="2" applyAlignment="1" pivotButton="0" quotePrefix="0" xfId="0">
      <alignment vertical="center" wrapText="1"/>
    </xf>
    <xf numFmtId="0" fontId="5" fillId="6" borderId="3" applyAlignment="1" pivotButton="0" quotePrefix="0" xfId="0">
      <alignment vertical="center" wrapText="1"/>
    </xf>
    <xf numFmtId="0" fontId="5" fillId="6" borderId="4" applyAlignment="1" pivotButton="0" quotePrefix="0" xfId="0">
      <alignment vertical="center" wrapText="1"/>
    </xf>
    <xf numFmtId="0" fontId="5" fillId="6" borderId="0" applyAlignment="1" pivotButton="0" quotePrefix="0" xfId="0">
      <alignment vertical="center" wrapText="1"/>
    </xf>
    <xf numFmtId="0" fontId="5" fillId="6" borderId="5" applyAlignment="1" pivotButton="0" quotePrefix="0" xfId="0">
      <alignment vertical="center" wrapText="1"/>
    </xf>
    <xf numFmtId="0" fontId="5" fillId="6" borderId="21" applyAlignment="1" pivotButton="0" quotePrefix="0" xfId="0">
      <alignment vertical="center" wrapText="1"/>
    </xf>
    <xf numFmtId="0" fontId="5" fillId="6" borderId="22" applyAlignment="1" pivotButton="0" quotePrefix="0" xfId="0">
      <alignment vertical="center" wrapText="1"/>
    </xf>
    <xf numFmtId="0" fontId="5" fillId="6" borderId="23" applyAlignment="1" pivotButton="0" quotePrefix="0" xfId="0">
      <alignment vertical="center" wrapText="1"/>
    </xf>
    <xf numFmtId="0" fontId="13" fillId="0" borderId="12" applyAlignment="1" pivotButton="0" quotePrefix="0" xfId="0">
      <alignment horizontal="left" vertical="center"/>
    </xf>
    <xf numFmtId="0" fontId="14" fillId="0" borderId="12" applyAlignment="1" pivotButton="0" quotePrefix="0" xfId="0">
      <alignment horizontal="left" vertical="center"/>
    </xf>
    <xf numFmtId="0" fontId="15" fillId="0" borderId="0" applyAlignment="1" pivotButton="0" quotePrefix="0" xfId="0">
      <alignment vertical="center"/>
    </xf>
    <xf numFmtId="0" fontId="18" fillId="0" borderId="4" applyAlignment="1" pivotButton="0" quotePrefix="0" xfId="0">
      <alignment vertical="center"/>
    </xf>
    <xf numFmtId="0" fontId="19" fillId="0" borderId="0" applyAlignment="1" pivotButton="0" quotePrefix="0" xfId="0">
      <alignment horizontal="left" vertical="center"/>
    </xf>
    <xf numFmtId="0" fontId="19" fillId="0" borderId="0" applyAlignment="1" pivotButton="0" quotePrefix="0" xfId="0">
      <alignment horizontal="center" vertical="center"/>
    </xf>
    <xf numFmtId="14" fontId="19" fillId="0" borderId="0" applyAlignment="1" pivotButton="0" quotePrefix="0" xfId="0">
      <alignment horizontal="right" vertical="center"/>
    </xf>
    <xf numFmtId="14" fontId="19" fillId="0" borderId="5" applyAlignment="1" pivotButton="0" quotePrefix="0" xfId="0">
      <alignment horizontal="right" vertical="center"/>
    </xf>
    <xf numFmtId="0" fontId="19" fillId="0" borderId="0" applyAlignment="1" pivotButton="0" quotePrefix="0" xfId="0">
      <alignment horizontal="right" vertical="center"/>
    </xf>
    <xf numFmtId="164" fontId="19" fillId="0" borderId="5" applyAlignment="1" pivotButton="0" quotePrefix="0" xfId="0">
      <alignment horizontal="right" vertical="center"/>
    </xf>
    <xf numFmtId="20" fontId="19" fillId="0" borderId="5" applyAlignment="1" pivotButton="0" quotePrefix="0" xfId="0">
      <alignment horizontal="right" vertical="center"/>
    </xf>
    <xf numFmtId="0" fontId="19" fillId="0" borderId="7" applyAlignment="1" pivotButton="0" quotePrefix="0" xfId="0">
      <alignment horizontal="left" vertical="center"/>
    </xf>
    <xf numFmtId="0" fontId="19" fillId="0" borderId="7" applyAlignment="1" pivotButton="0" quotePrefix="0" xfId="0">
      <alignment horizontal="center" vertical="center"/>
    </xf>
    <xf numFmtId="0" fontId="18" fillId="0" borderId="9" applyAlignment="1" pivotButton="0" quotePrefix="0" xfId="0">
      <alignment horizontal="center" vertical="center"/>
    </xf>
    <xf numFmtId="0" fontId="18" fillId="0" borderId="10" applyAlignment="1" pivotButton="0" quotePrefix="0" xfId="0">
      <alignment horizontal="center" vertical="center"/>
    </xf>
    <xf numFmtId="0" fontId="18" fillId="6" borderId="10" applyAlignment="1" pivotButton="0" quotePrefix="0" xfId="0">
      <alignment horizontal="center" vertical="center" wrapText="1"/>
    </xf>
    <xf numFmtId="0" fontId="18" fillId="0" borderId="11" applyAlignment="1" pivotButton="0" quotePrefix="0" xfId="0">
      <alignment horizontal="center" vertical="center"/>
    </xf>
    <xf numFmtId="0" fontId="19" fillId="0" borderId="9" applyAlignment="1" pivotButton="0" quotePrefix="0" xfId="0">
      <alignment horizontal="center" vertical="center"/>
    </xf>
    <xf numFmtId="0" fontId="19" fillId="0" borderId="10" applyAlignment="1" pivotButton="0" quotePrefix="0" xfId="0">
      <alignment horizontal="center" vertical="center"/>
    </xf>
    <xf numFmtId="0" fontId="19" fillId="0" borderId="10" applyAlignment="1" pivotButton="0" quotePrefix="0" xfId="0">
      <alignment horizontal="center" vertical="center" wrapText="1"/>
    </xf>
    <xf numFmtId="0" fontId="19" fillId="0" borderId="10" applyAlignment="1" pivotButton="0" quotePrefix="0" xfId="0">
      <alignment vertical="center"/>
    </xf>
    <xf numFmtId="0" fontId="19" fillId="0" borderId="19" applyAlignment="1" pivotButton="0" quotePrefix="0" xfId="0">
      <alignment horizontal="center" vertical="center"/>
    </xf>
    <xf numFmtId="0" fontId="20" fillId="0" borderId="11" applyAlignment="1" pivotButton="0" quotePrefix="0" xfId="0">
      <alignment horizontal="center" vertical="center"/>
    </xf>
    <xf numFmtId="0" fontId="20" fillId="0" borderId="10" applyAlignment="1" pivotButton="0" quotePrefix="0" xfId="0">
      <alignment horizontal="center" vertical="center"/>
    </xf>
    <xf numFmtId="0" fontId="19" fillId="0" borderId="10" applyAlignment="1" pivotButton="0" quotePrefix="0" xfId="0">
      <alignment horizontal="left" vertical="center"/>
    </xf>
    <xf numFmtId="0" fontId="18" fillId="0" borderId="9" applyAlignment="1" pivotButton="0" quotePrefix="0" xfId="0">
      <alignment horizontal="left" vertical="center"/>
    </xf>
    <xf numFmtId="0" fontId="18" fillId="0" borderId="10" applyAlignment="1" pivotButton="0" quotePrefix="0" xfId="0">
      <alignment horizontal="left" vertical="center"/>
    </xf>
    <xf numFmtId="0" fontId="18" fillId="0" borderId="19" applyAlignment="1" pivotButton="0" quotePrefix="0" xfId="0">
      <alignment horizontal="left" vertical="center"/>
    </xf>
    <xf numFmtId="0" fontId="18" fillId="0" borderId="10" applyAlignment="1" pivotButton="0" quotePrefix="0" xfId="0">
      <alignment vertical="center"/>
    </xf>
    <xf numFmtId="0" fontId="19" fillId="6" borderId="10" applyAlignment="1" pivotButton="0" quotePrefix="0" xfId="0">
      <alignment horizontal="center" vertical="center"/>
    </xf>
    <xf numFmtId="0" fontId="18" fillId="0" borderId="11" applyAlignment="1" pivotButton="0" quotePrefix="0" xfId="0">
      <alignment horizontal="left" vertical="center"/>
    </xf>
    <xf numFmtId="0" fontId="17" fillId="5" borderId="6" applyAlignment="1" pivotButton="0" quotePrefix="0" xfId="0">
      <alignment horizontal="left" vertical="center"/>
    </xf>
    <xf numFmtId="0" fontId="21" fillId="5" borderId="7" applyAlignment="1" pivotButton="0" quotePrefix="0" xfId="0">
      <alignment horizontal="center" vertical="center"/>
    </xf>
    <xf numFmtId="0" fontId="21" fillId="5" borderId="8" applyAlignment="1" pivotButton="0" quotePrefix="0" xfId="0">
      <alignment horizontal="center" vertical="center"/>
    </xf>
    <xf numFmtId="0" fontId="18" fillId="0" borderId="10" applyAlignment="1" pivotButton="0" quotePrefix="0" xfId="0">
      <alignment horizontal="center" vertical="center" wrapText="1"/>
    </xf>
    <xf numFmtId="0" fontId="18" fillId="0" borderId="11" applyAlignment="1" pivotButton="0" quotePrefix="0" xfId="0">
      <alignment horizontal="center" vertical="center" wrapText="1"/>
    </xf>
    <xf numFmtId="0" fontId="20" fillId="0" borderId="9" applyAlignment="1" pivotButton="0" quotePrefix="0" xfId="0">
      <alignment horizontal="center" vertical="center"/>
    </xf>
    <xf numFmtId="0" fontId="20" fillId="6" borderId="10" applyAlignment="1" pivotButton="0" quotePrefix="0" xfId="0">
      <alignment horizontal="center" vertical="center"/>
    </xf>
    <xf numFmtId="0" fontId="20" fillId="2" borderId="9" applyAlignment="1" pivotButton="0" quotePrefix="0" xfId="0">
      <alignment horizontal="center" vertical="center"/>
    </xf>
    <xf numFmtId="0" fontId="20" fillId="3" borderId="9" applyAlignment="1" pivotButton="0" quotePrefix="0" xfId="0">
      <alignment horizontal="center" vertical="center"/>
    </xf>
    <xf numFmtId="0" fontId="20" fillId="4" borderId="9" applyAlignment="1" pivotButton="0" quotePrefix="0" xfId="0">
      <alignment horizontal="center" vertical="center"/>
    </xf>
    <xf numFmtId="0" fontId="18" fillId="0" borderId="18" applyAlignment="1" pivotButton="0" quotePrefix="0" xfId="0">
      <alignment horizontal="center" vertical="center"/>
    </xf>
    <xf numFmtId="0" fontId="22" fillId="5" borderId="16" applyAlignment="1" pivotButton="0" quotePrefix="0" xfId="0">
      <alignment horizontal="left" vertical="center"/>
    </xf>
    <xf numFmtId="0" fontId="22" fillId="5" borderId="12" applyAlignment="1" pivotButton="0" quotePrefix="0" xfId="0">
      <alignment horizontal="left" vertical="center"/>
    </xf>
    <xf numFmtId="0" fontId="22" fillId="5" borderId="17" applyAlignment="1" pivotButton="0" quotePrefix="0" xfId="0">
      <alignment horizontal="left" vertical="center"/>
    </xf>
    <xf numFmtId="0" fontId="18" fillId="0" borderId="9" applyAlignment="1" pivotButton="0" quotePrefix="0" xfId="0">
      <alignment vertical="center" wrapText="1"/>
    </xf>
    <xf numFmtId="0" fontId="18" fillId="0" borderId="9" applyAlignment="1" pivotButton="0" quotePrefix="0" xfId="0">
      <alignment vertical="center"/>
    </xf>
    <xf numFmtId="0" fontId="24" fillId="0" borderId="10" applyAlignment="1" pivotButton="0" quotePrefix="0" xfId="0">
      <alignment horizontal="left" vertical="center" wrapText="1"/>
    </xf>
    <xf numFmtId="0" fontId="18" fillId="0" borderId="20" applyAlignment="1" pivotButton="0" quotePrefix="0" xfId="0">
      <alignment vertical="center"/>
    </xf>
    <xf numFmtId="0" fontId="19" fillId="0" borderId="9" applyAlignment="1" pivotButton="0" quotePrefix="0" xfId="0">
      <alignment vertical="center"/>
    </xf>
    <xf numFmtId="0" fontId="18" fillId="0" borderId="9" applyAlignment="1" pivotButton="0" quotePrefix="0" xfId="0">
      <alignment horizontal="right" vertical="center"/>
    </xf>
    <xf numFmtId="0" fontId="18" fillId="0" borderId="20" applyAlignment="1" pivotButton="0" quotePrefix="0" xfId="0">
      <alignment horizontal="right" vertical="center"/>
    </xf>
    <xf numFmtId="0" fontId="18" fillId="0" borderId="24" applyAlignment="1" pivotButton="0" quotePrefix="0" xfId="0">
      <alignment horizontal="center" vertical="center"/>
    </xf>
    <xf numFmtId="0" fontId="18" fillId="0" borderId="27" applyAlignment="1" pivotButton="0" quotePrefix="0" xfId="0">
      <alignment horizontal="right" vertical="center"/>
    </xf>
    <xf numFmtId="0" fontId="18" fillId="0" borderId="28" applyAlignment="1" pivotButton="0" quotePrefix="0" xfId="0">
      <alignment horizontal="center" vertical="center"/>
    </xf>
    <xf numFmtId="0" fontId="19" fillId="0" borderId="16" applyAlignment="1" pivotButton="0" quotePrefix="0" xfId="0">
      <alignment horizontal="left" vertical="center"/>
    </xf>
    <xf numFmtId="0" fontId="18" fillId="0" borderId="12" applyAlignment="1" pivotButton="0" quotePrefix="0" xfId="0">
      <alignment horizontal="left" vertical="center"/>
    </xf>
    <xf numFmtId="0" fontId="18" fillId="0" borderId="17" applyAlignment="1" pivotButton="0" quotePrefix="0" xfId="0">
      <alignment horizontal="left" vertical="center"/>
    </xf>
    <xf numFmtId="0" fontId="20" fillId="6" borderId="1" applyAlignment="1" pivotButton="0" quotePrefix="0" xfId="0">
      <alignment vertical="center" wrapText="1"/>
    </xf>
    <xf numFmtId="0" fontId="20" fillId="6" borderId="2" applyAlignment="1" pivotButton="0" quotePrefix="0" xfId="0">
      <alignment vertical="center" wrapText="1"/>
    </xf>
    <xf numFmtId="0" fontId="20" fillId="6" borderId="3" applyAlignment="1" pivotButton="0" quotePrefix="0" xfId="0">
      <alignment vertical="center" wrapText="1"/>
    </xf>
    <xf numFmtId="0" fontId="20" fillId="6" borderId="4" applyAlignment="1" pivotButton="0" quotePrefix="0" xfId="0">
      <alignment vertical="center" wrapText="1"/>
    </xf>
    <xf numFmtId="0" fontId="20" fillId="6" borderId="0" applyAlignment="1" pivotButton="0" quotePrefix="0" xfId="0">
      <alignment vertical="center" wrapText="1"/>
    </xf>
    <xf numFmtId="0" fontId="20" fillId="6" borderId="5" applyAlignment="1" pivotButton="0" quotePrefix="0" xfId="0">
      <alignment vertical="center" wrapText="1"/>
    </xf>
    <xf numFmtId="0" fontId="20" fillId="6" borderId="21" applyAlignment="1" pivotButton="0" quotePrefix="0" xfId="0">
      <alignment vertical="center" wrapText="1"/>
    </xf>
    <xf numFmtId="0" fontId="20" fillId="6" borderId="22" applyAlignment="1" pivotButton="0" quotePrefix="0" xfId="0">
      <alignment vertical="center" wrapText="1"/>
    </xf>
    <xf numFmtId="0" fontId="20" fillId="6" borderId="23" applyAlignment="1" pivotButton="0" quotePrefix="0" xfId="0">
      <alignment vertical="center" wrapText="1"/>
    </xf>
    <xf numFmtId="0" fontId="25" fillId="0" borderId="22" applyAlignment="1" pivotButton="0" quotePrefix="0" xfId="0">
      <alignment vertical="center" wrapText="1"/>
    </xf>
    <xf numFmtId="0" fontId="19" fillId="0" borderId="18" applyAlignment="1" pivotButton="0" quotePrefix="0" xfId="0">
      <alignment horizontal="left" vertical="center"/>
    </xf>
    <xf numFmtId="0" fontId="18" fillId="0" borderId="14" applyAlignment="1" pivotButton="0" quotePrefix="0" xfId="0">
      <alignment horizontal="left" vertical="center"/>
    </xf>
    <xf numFmtId="0" fontId="19" fillId="0" borderId="14" applyAlignment="1" pivotButton="0" quotePrefix="0" xfId="0">
      <alignment horizontal="left" vertical="center"/>
    </xf>
    <xf numFmtId="0" fontId="20" fillId="0" borderId="19" applyAlignment="1" pivotButton="0" quotePrefix="0" xfId="0">
      <alignment horizontal="center" vertical="center"/>
    </xf>
    <xf numFmtId="0" fontId="13" fillId="0" borderId="10" applyAlignment="1" pivotButton="0" quotePrefix="0" xfId="0">
      <alignment vertical="center"/>
    </xf>
    <xf numFmtId="0" fontId="13" fillId="0" borderId="19" applyAlignment="1" pivotButton="0" quotePrefix="0" xfId="0">
      <alignment horizontal="left" vertical="center"/>
    </xf>
    <xf numFmtId="0" fontId="10" fillId="0" borderId="12" applyAlignment="1" pivotButton="0" quotePrefix="0" xfId="0">
      <alignment horizontal="left" vertical="center"/>
    </xf>
    <xf numFmtId="0" fontId="13" fillId="0" borderId="14" applyAlignment="1" pivotButton="0" quotePrefix="0" xfId="0">
      <alignment horizontal="left" vertical="center"/>
    </xf>
    <xf numFmtId="0" fontId="19" fillId="0" borderId="40" applyAlignment="1" pivotButton="0" quotePrefix="0" xfId="0">
      <alignment horizontal="left" vertical="center"/>
    </xf>
    <xf numFmtId="0" fontId="18" fillId="0" borderId="7" applyAlignment="1" pivotButton="0" quotePrefix="0" xfId="0">
      <alignment horizontal="left" vertical="center"/>
    </xf>
    <xf numFmtId="0" fontId="0" fillId="0" borderId="7" applyAlignment="1" pivotButton="0" quotePrefix="0" xfId="0">
      <alignment vertical="center"/>
    </xf>
    <xf numFmtId="0" fontId="18" fillId="0" borderId="41" applyAlignment="1" pivotButton="0" quotePrefix="0" xfId="0">
      <alignment horizontal="left" vertical="center"/>
    </xf>
    <xf numFmtId="0" fontId="10" fillId="0" borderId="7" applyAlignment="1" pivotButton="0" quotePrefix="0" xfId="0">
      <alignment horizontal="left" vertical="center"/>
    </xf>
    <xf numFmtId="0" fontId="10" fillId="0" borderId="7" applyAlignment="1" pivotButton="0" quotePrefix="1" xfId="0">
      <alignment horizontal="left" vertical="center"/>
    </xf>
    <xf numFmtId="0" fontId="3" fillId="0"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0" applyAlignment="1" pivotButton="0" quotePrefix="0" xfId="0">
      <alignment horizontal="center" vertical="center"/>
    </xf>
    <xf numFmtId="0" fontId="3" fillId="0" borderId="5" applyAlignment="1" pivotButton="0" quotePrefix="0" xfId="0">
      <alignment horizontal="center" vertical="center"/>
    </xf>
    <xf numFmtId="0" fontId="3" fillId="0" borderId="6" applyAlignment="1" pivotButton="0" quotePrefix="0" xfId="0">
      <alignment horizontal="center" vertical="center"/>
    </xf>
    <xf numFmtId="0" fontId="3" fillId="0" borderId="7" applyAlignment="1" pivotButton="0" quotePrefix="0" xfId="0">
      <alignment horizontal="center" vertical="center"/>
    </xf>
    <xf numFmtId="0" fontId="3" fillId="0" borderId="8" applyAlignment="1" pivotButton="0" quotePrefix="0" xfId="0">
      <alignment horizontal="center" vertical="center"/>
    </xf>
    <xf numFmtId="0" fontId="9" fillId="5" borderId="9" applyAlignment="1" pivotButton="0" quotePrefix="0" xfId="0">
      <alignment horizontal="left" vertical="center"/>
    </xf>
    <xf numFmtId="0" fontId="9" fillId="5" borderId="10" applyAlignment="1" pivotButton="0" quotePrefix="0" xfId="0">
      <alignment horizontal="left" vertical="center"/>
    </xf>
    <xf numFmtId="0" fontId="9" fillId="5" borderId="11" applyAlignment="1" pivotButton="0" quotePrefix="0" xfId="0">
      <alignment horizontal="left" vertical="center"/>
    </xf>
    <xf numFmtId="0" fontId="10" fillId="0" borderId="0" applyAlignment="1" pivotButton="0" quotePrefix="0" xfId="0">
      <alignment horizontal="left" vertical="center"/>
    </xf>
    <xf numFmtId="0" fontId="9" fillId="5" borderId="13" applyAlignment="1" pivotButton="0" quotePrefix="0" xfId="0">
      <alignment horizontal="left" vertical="center"/>
    </xf>
    <xf numFmtId="0" fontId="9" fillId="5" borderId="14" applyAlignment="1" pivotButton="0" quotePrefix="0" xfId="0">
      <alignment horizontal="left" vertical="center"/>
    </xf>
    <xf numFmtId="0" fontId="9" fillId="5" borderId="15" applyAlignment="1" pivotButton="0" quotePrefix="0" xfId="0">
      <alignment horizontal="left" vertical="center"/>
    </xf>
    <xf numFmtId="0" fontId="5" fillId="0" borderId="13" applyAlignment="1" pivotButton="0" quotePrefix="0" xfId="0">
      <alignment horizontal="left" vertical="center" wrapText="1"/>
    </xf>
    <xf numFmtId="0" fontId="5" fillId="0" borderId="14" applyAlignment="1" pivotButton="0" quotePrefix="0" xfId="0">
      <alignment horizontal="left" vertical="center" wrapText="1"/>
    </xf>
    <xf numFmtId="0" fontId="5" fillId="0" borderId="15" applyAlignment="1" pivotButton="0" quotePrefix="0" xfId="0">
      <alignment horizontal="left" vertical="center" wrapText="1"/>
    </xf>
    <xf numFmtId="0" fontId="9" fillId="5" borderId="16" applyAlignment="1" pivotButton="0" quotePrefix="0" xfId="0">
      <alignment horizontal="left" vertical="center"/>
    </xf>
    <xf numFmtId="0" fontId="9" fillId="5" borderId="12" applyAlignment="1" pivotButton="0" quotePrefix="0" xfId="0">
      <alignment horizontal="left" vertical="center"/>
    </xf>
    <xf numFmtId="0" fontId="9" fillId="5" borderId="17" applyAlignment="1" pivotButton="0" quotePrefix="0" xfId="0">
      <alignment horizontal="left" vertical="center"/>
    </xf>
    <xf numFmtId="0" fontId="8" fillId="0" borderId="9" applyAlignment="1" pivotButton="0" quotePrefix="0" xfId="0">
      <alignment horizontal="center" vertical="center"/>
    </xf>
    <xf numFmtId="0" fontId="8" fillId="0" borderId="10" applyAlignment="1" pivotButton="0" quotePrefix="0" xfId="0">
      <alignment horizontal="center" vertical="center"/>
    </xf>
    <xf numFmtId="0" fontId="8" fillId="0" borderId="11" applyAlignment="1" pivotButton="0" quotePrefix="0" xfId="0">
      <alignment horizontal="center" vertical="center"/>
    </xf>
    <xf numFmtId="0" fontId="5" fillId="0" borderId="10" applyAlignment="1" pivotButton="0" quotePrefix="0" xfId="0">
      <alignment horizontal="left" vertical="center"/>
    </xf>
    <xf numFmtId="0" fontId="10" fillId="0" borderId="18" applyAlignment="1" pivotButton="0" quotePrefix="0" xfId="0">
      <alignment horizontal="left" vertical="center"/>
    </xf>
    <xf numFmtId="0" fontId="10" fillId="0" borderId="14" applyAlignment="1" pivotButton="0" quotePrefix="0" xfId="0">
      <alignment horizontal="left" vertical="center"/>
    </xf>
    <xf numFmtId="0" fontId="10" fillId="0" borderId="15" applyAlignment="1" pivotButton="0" quotePrefix="0" xfId="0">
      <alignment horizontal="left" vertical="center"/>
    </xf>
    <xf numFmtId="0" fontId="8" fillId="0" borderId="18" applyAlignment="1" pivotButton="0" quotePrefix="0" xfId="0">
      <alignment horizontal="left" vertical="center"/>
    </xf>
    <xf numFmtId="0" fontId="8" fillId="0" borderId="14" applyAlignment="1" pivotButton="0" quotePrefix="0" xfId="0">
      <alignment horizontal="left" vertical="center"/>
    </xf>
    <xf numFmtId="0" fontId="8" fillId="0" borderId="15" applyAlignment="1" pivotButton="0" quotePrefix="0" xfId="0">
      <alignment horizontal="left" vertical="center"/>
    </xf>
    <xf numFmtId="0" fontId="8" fillId="0" borderId="13" applyAlignment="1" pivotButton="0" quotePrefix="0" xfId="0">
      <alignment horizontal="left" vertical="center"/>
    </xf>
    <xf numFmtId="0" fontId="8" fillId="0" borderId="19" applyAlignment="1" pivotButton="0" quotePrefix="0" xfId="0">
      <alignment horizontal="left" vertical="center"/>
    </xf>
    <xf numFmtId="0" fontId="8" fillId="0" borderId="18" applyAlignment="1" pivotButton="0" quotePrefix="0" xfId="0">
      <alignment horizontal="center" vertical="center"/>
    </xf>
    <xf numFmtId="0" fontId="8" fillId="0" borderId="14" applyAlignment="1" pivotButton="0" quotePrefix="0" xfId="0">
      <alignment horizontal="center" vertical="center"/>
    </xf>
    <xf numFmtId="0" fontId="8" fillId="0" borderId="15" applyAlignment="1" pivotButton="0" quotePrefix="0" xfId="0">
      <alignment horizontal="center" vertical="center"/>
    </xf>
    <xf numFmtId="0" fontId="4" fillId="0" borderId="16" applyAlignment="1" pivotButton="0" quotePrefix="0" xfId="0">
      <alignment horizontal="left" vertical="center" wrapText="1"/>
    </xf>
    <xf numFmtId="0" fontId="4" fillId="0" borderId="12" applyAlignment="1" pivotButton="0" quotePrefix="0" xfId="0">
      <alignment horizontal="left" vertical="center"/>
    </xf>
    <xf numFmtId="0" fontId="4" fillId="0" borderId="17" applyAlignment="1" pivotButton="0" quotePrefix="0" xfId="0">
      <alignment horizontal="left" vertical="center"/>
    </xf>
    <xf numFmtId="0" fontId="4" fillId="0" borderId="4" applyAlignment="1" pivotButton="0" quotePrefix="0" xfId="0">
      <alignment horizontal="left" vertical="center" wrapText="1"/>
    </xf>
    <xf numFmtId="0" fontId="4" fillId="0" borderId="0" applyAlignment="1" pivotButton="0" quotePrefix="0" xfId="0">
      <alignment horizontal="left" vertical="center"/>
    </xf>
    <xf numFmtId="0" fontId="4" fillId="0" borderId="5" applyAlignment="1" pivotButton="0" quotePrefix="0" xfId="0">
      <alignment horizontal="left" vertical="center"/>
    </xf>
    <xf numFmtId="0" fontId="4" fillId="0" borderId="4" applyAlignment="1" pivotButton="0" quotePrefix="0" xfId="0">
      <alignment horizontal="left" vertical="center"/>
    </xf>
    <xf numFmtId="0" fontId="4" fillId="0" borderId="21" applyAlignment="1" pivotButton="0" quotePrefix="0" xfId="0">
      <alignment horizontal="left" vertical="center"/>
    </xf>
    <xf numFmtId="0" fontId="4" fillId="0" borderId="22" applyAlignment="1" pivotButton="0" quotePrefix="0" xfId="0">
      <alignment horizontal="left" vertical="center"/>
    </xf>
    <xf numFmtId="0" fontId="4" fillId="0" borderId="23" applyAlignment="1" pivotButton="0" quotePrefix="0" xfId="0">
      <alignment horizontal="left" vertical="center"/>
    </xf>
    <xf numFmtId="0" fontId="9" fillId="5" borderId="31" applyAlignment="1" pivotButton="0" quotePrefix="0" xfId="0">
      <alignment horizontal="left" vertical="center"/>
    </xf>
    <xf numFmtId="0" fontId="9" fillId="5" borderId="32" applyAlignment="1" pivotButton="0" quotePrefix="0" xfId="0">
      <alignment horizontal="left" vertical="center"/>
    </xf>
    <xf numFmtId="0" fontId="9" fillId="5" borderId="33" applyAlignment="1" pivotButton="0" quotePrefix="0" xfId="0">
      <alignment horizontal="left" vertical="center"/>
    </xf>
    <xf numFmtId="0" fontId="5" fillId="0" borderId="10" applyAlignment="1" pivotButton="0" quotePrefix="0" xfId="0">
      <alignment horizontal="left" vertical="center" wrapText="1"/>
    </xf>
    <xf numFmtId="0" fontId="5" fillId="0" borderId="11" applyAlignment="1" pivotButton="0" quotePrefix="0" xfId="0">
      <alignment horizontal="left" vertical="center" wrapText="1"/>
    </xf>
    <xf numFmtId="0" fontId="5" fillId="0" borderId="18" applyAlignment="1" pivotButton="0" quotePrefix="0" xfId="0">
      <alignment horizontal="left" vertical="center" wrapText="1"/>
    </xf>
    <xf numFmtId="0" fontId="5" fillId="0" borderId="11" applyAlignment="1" pivotButton="0" quotePrefix="0" xfId="0">
      <alignment horizontal="left" vertical="center"/>
    </xf>
    <xf numFmtId="0" fontId="5" fillId="0" borderId="30" applyAlignment="1" pivotButton="0" quotePrefix="0" xfId="0">
      <alignment horizontal="left" vertical="center" wrapText="1"/>
    </xf>
    <xf numFmtId="0" fontId="5" fillId="0" borderId="12" applyAlignment="1" pivotButton="0" quotePrefix="0" xfId="0">
      <alignment horizontal="left" vertical="center" wrapText="1"/>
    </xf>
    <xf numFmtId="0" fontId="5" fillId="0" borderId="17" applyAlignment="1" pivotButton="0" quotePrefix="0" xfId="0">
      <alignment horizontal="left" vertical="center" wrapText="1"/>
    </xf>
    <xf numFmtId="0" fontId="6" fillId="0" borderId="4"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5" applyAlignment="1" pivotButton="0" quotePrefix="0" xfId="0">
      <alignment horizontal="center" vertical="center" wrapText="1"/>
    </xf>
    <xf numFmtId="0" fontId="10" fillId="0" borderId="30" applyAlignment="1" pivotButton="0" quotePrefix="0" xfId="0">
      <alignment horizontal="left" vertical="center"/>
    </xf>
    <xf numFmtId="0" fontId="10" fillId="0" borderId="12" applyAlignment="1" pivotButton="0" quotePrefix="0" xfId="0">
      <alignment horizontal="left" vertical="center"/>
    </xf>
    <xf numFmtId="0" fontId="10" fillId="0" borderId="17" applyAlignment="1" pivotButton="0" quotePrefix="0" xfId="0">
      <alignment horizontal="left" vertical="center"/>
    </xf>
    <xf numFmtId="0" fontId="10" fillId="0" borderId="29" applyAlignment="1" pivotButton="0" quotePrefix="0" xfId="0">
      <alignment horizontal="left" vertical="center"/>
    </xf>
    <xf numFmtId="0" fontId="10" fillId="0" borderId="25" applyAlignment="1" pivotButton="0" quotePrefix="0" xfId="0">
      <alignment horizontal="left" vertical="center"/>
    </xf>
    <xf numFmtId="0" fontId="10" fillId="0" borderId="26" applyAlignment="1" pivotButton="0" quotePrefix="0" xfId="0">
      <alignment horizontal="left" vertical="center"/>
    </xf>
    <xf numFmtId="0" fontId="4" fillId="0" borderId="13" applyAlignment="1" pivotButton="0" quotePrefix="0" xfId="0">
      <alignment horizontal="left" vertical="center"/>
    </xf>
    <xf numFmtId="0" fontId="4" fillId="0" borderId="14" applyAlignment="1" pivotButton="0" quotePrefix="0" xfId="0">
      <alignment horizontal="left" vertical="center"/>
    </xf>
    <xf numFmtId="0" fontId="4" fillId="0" borderId="15" applyAlignment="1" pivotButton="0" quotePrefix="0" xfId="0">
      <alignment horizontal="left" vertical="center"/>
    </xf>
    <xf numFmtId="0" fontId="9" fillId="5" borderId="34" applyAlignment="1" pivotButton="0" quotePrefix="0" xfId="0">
      <alignment horizontal="left" vertical="center"/>
    </xf>
    <xf numFmtId="0" fontId="9" fillId="5" borderId="35" applyAlignment="1" pivotButton="0" quotePrefix="0" xfId="0">
      <alignment horizontal="left" vertical="center"/>
    </xf>
    <xf numFmtId="0" fontId="0" fillId="0" borderId="0" applyAlignment="1" pivotButton="0" quotePrefix="0" xfId="0">
      <alignment vertical="center"/>
    </xf>
    <xf numFmtId="0" fontId="10" fillId="0" borderId="11" applyAlignment="1" pivotButton="0" quotePrefix="0" xfId="0">
      <alignment horizontal="left" vertical="center"/>
    </xf>
    <xf numFmtId="0" fontId="10" fillId="0" borderId="36" applyAlignment="1" pivotButton="0" quotePrefix="0" xfId="0">
      <alignment horizontal="left" vertical="center"/>
    </xf>
    <xf numFmtId="0" fontId="10" fillId="0" borderId="37" applyAlignment="1" pivotButton="0" quotePrefix="0" xfId="0">
      <alignment horizontal="left" vertical="center"/>
    </xf>
    <xf numFmtId="0" fontId="9" fillId="5" borderId="38" applyAlignment="1" pivotButton="0" quotePrefix="0" xfId="0">
      <alignment horizontal="left" vertical="center"/>
    </xf>
    <xf numFmtId="0" fontId="4" fillId="0" borderId="34" applyAlignment="1" pivotButton="0" quotePrefix="0" xfId="0">
      <alignment horizontal="left" vertical="center"/>
    </xf>
    <xf numFmtId="0" fontId="8" fillId="0" borderId="11" applyAlignment="1" pivotButton="0" quotePrefix="0" xfId="0">
      <alignment horizontal="left" vertical="center"/>
    </xf>
    <xf numFmtId="0" fontId="8" fillId="0" borderId="9" applyAlignment="1" pivotButton="0" quotePrefix="0" xfId="0">
      <alignment horizontal="left" vertical="center"/>
    </xf>
    <xf numFmtId="0" fontId="4" fillId="0" borderId="39" applyAlignment="1" pivotButton="0" quotePrefix="0" xfId="0">
      <alignment horizontal="left" vertical="center" wrapText="1"/>
    </xf>
    <xf numFmtId="0" fontId="5" fillId="0" borderId="36" applyAlignment="1" pivotButton="0" quotePrefix="0" xfId="0">
      <alignment horizontal="left" vertical="center" wrapText="1"/>
    </xf>
    <xf numFmtId="0" fontId="5" fillId="6" borderId="34" applyAlignment="1" pivotButton="0" quotePrefix="0" xfId="0">
      <alignment horizontal="left" vertical="center" wrapText="1"/>
    </xf>
    <xf numFmtId="0" fontId="3" fillId="0" borderId="38" applyAlignment="1" pivotButton="0" quotePrefix="0" xfId="0">
      <alignment horizontal="center" vertical="center" wrapText="1"/>
    </xf>
    <xf numFmtId="0" fontId="23" fillId="0" borderId="39" applyAlignment="1" pivotButton="0" quotePrefix="0" xfId="0">
      <alignment horizontal="left" vertical="center" wrapText="1"/>
    </xf>
    <xf numFmtId="0" fontId="17" fillId="5" borderId="34" applyAlignment="1" pivotButton="0" quotePrefix="0" xfId="0">
      <alignment horizontal="left" vertical="center"/>
    </xf>
    <xf numFmtId="0" fontId="17" fillId="5" borderId="35" applyAlignment="1" pivotButton="0" quotePrefix="0" xfId="0">
      <alignment horizontal="left" vertical="center"/>
    </xf>
    <xf numFmtId="0" fontId="25" fillId="0" borderId="4" applyAlignment="1" pivotButton="0" quotePrefix="0" xfId="0">
      <alignment horizontal="center" vertical="center" wrapText="1"/>
    </xf>
    <xf numFmtId="0" fontId="25" fillId="0" borderId="5" applyAlignment="1" pivotButton="0" quotePrefix="0" xfId="0">
      <alignment horizontal="center" vertical="center" wrapText="1"/>
    </xf>
    <xf numFmtId="0" fontId="19" fillId="0" borderId="11" applyAlignment="1" pivotButton="0" quotePrefix="0" xfId="0">
      <alignment horizontal="left" vertical="center"/>
    </xf>
    <xf numFmtId="0" fontId="19" fillId="0" borderId="36" applyAlignment="1" pivotButton="0" quotePrefix="0" xfId="0">
      <alignment horizontal="left" vertical="center"/>
    </xf>
    <xf numFmtId="0" fontId="19" fillId="0" borderId="37" applyAlignment="1" pivotButton="0" quotePrefix="0" xfId="0">
      <alignment horizontal="left" vertical="center"/>
    </xf>
    <xf numFmtId="0" fontId="17" fillId="5" borderId="38" applyAlignment="1" pivotButton="0" quotePrefix="0" xfId="0">
      <alignment horizontal="left" vertical="center"/>
    </xf>
    <xf numFmtId="0" fontId="23" fillId="0" borderId="34" applyAlignment="1" pivotButton="0" quotePrefix="0" xfId="0">
      <alignment horizontal="left" vertical="center"/>
    </xf>
    <xf numFmtId="0" fontId="18" fillId="0" borderId="11" applyAlignment="1" pivotButton="0" quotePrefix="0" xfId="0">
      <alignment horizontal="left" vertical="center"/>
    </xf>
    <xf numFmtId="0" fontId="18" fillId="0" borderId="9" applyAlignment="1" pivotButton="0" quotePrefix="0" xfId="0">
      <alignment horizontal="left" vertical="center"/>
    </xf>
    <xf numFmtId="0" fontId="18" fillId="0" borderId="11" applyAlignment="1" pivotButton="0" quotePrefix="0" xfId="0">
      <alignment horizontal="center" vertical="center"/>
    </xf>
    <xf numFmtId="0" fontId="20" fillId="0" borderId="10" applyAlignment="1" pivotButton="0" quotePrefix="0" xfId="0">
      <alignment horizontal="left" vertical="center" wrapText="1"/>
    </xf>
    <xf numFmtId="0" fontId="20" fillId="0" borderId="11" applyAlignment="1" pivotButton="0" quotePrefix="0" xfId="0">
      <alignment horizontal="left" vertical="center" wrapText="1"/>
    </xf>
    <xf numFmtId="0" fontId="20" fillId="0" borderId="36" applyAlignment="1" pivotButton="0" quotePrefix="0" xfId="0">
      <alignment horizontal="left" vertical="center" wrapText="1"/>
    </xf>
    <xf numFmtId="0" fontId="20" fillId="0" borderId="10" applyAlignment="1" pivotButton="0" quotePrefix="0" xfId="0">
      <alignment horizontal="left" vertical="center"/>
    </xf>
    <xf numFmtId="0" fontId="20" fillId="6" borderId="34" applyAlignment="1" pivotButton="0" quotePrefix="0" xfId="0">
      <alignment horizontal="left" vertical="center" wrapText="1"/>
    </xf>
    <xf numFmtId="0" fontId="18" fillId="0" borderId="9" applyAlignment="1" pivotButton="0" quotePrefix="0" xfId="0">
      <alignment horizontal="center" vertical="center"/>
    </xf>
    <xf numFmtId="0" fontId="18" fillId="0" borderId="10" applyAlignment="1" pivotButton="0" quotePrefix="0" xfId="0">
      <alignment horizontal="center" vertical="center"/>
    </xf>
    <xf numFmtId="0" fontId="19" fillId="0" borderId="7" applyAlignment="1" pivotButton="0" quotePrefix="0" xfId="0">
      <alignment horizontal="left" vertical="center"/>
    </xf>
    <xf numFmtId="0" fontId="16" fillId="0" borderId="38" applyAlignment="1" pivotButton="0" quotePrefix="0" xfId="0">
      <alignment horizontal="center" vertical="center" wrapText="1"/>
    </xf>
    <xf numFmtId="0" fontId="17" fillId="5" borderId="9" applyAlignment="1" pivotButton="0" quotePrefix="0" xfId="0">
      <alignment horizontal="left" vertical="center"/>
    </xf>
    <xf numFmtId="0" fontId="19" fillId="0" borderId="0" applyAlignment="1" pivotButton="0" quotePrefix="0" xfId="0">
      <alignment horizontal="left" vertic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9" pivotButton="0" quotePrefix="0" xfId="0"/>
    <xf numFmtId="0" fontId="0" fillId="0" borderId="15" pivotButton="0" quotePrefix="0" xfId="0"/>
    <xf numFmtId="0" fontId="0" fillId="0" borderId="12" pivotButton="0" quotePrefix="0" xfId="0"/>
    <xf numFmtId="0" fontId="0" fillId="0" borderId="17"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32" pivotButton="0" quotePrefix="0" xfId="0"/>
    <xf numFmtId="0" fontId="0" fillId="0" borderId="33" pivotButton="0" quotePrefix="0" xfId="0"/>
    <xf numFmtId="0" fontId="0" fillId="0" borderId="25" pivotButton="0" quotePrefix="0" xfId="0"/>
    <xf numFmtId="0" fontId="0" fillId="0" borderId="26" pivotButton="0" quotePrefix="0" xfId="0"/>
    <xf numFmtId="0" fontId="5" fillId="0" borderId="34"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S210"/>
  <sheetViews>
    <sheetView view="pageBreakPreview" zoomScale="40" zoomScaleNormal="100" zoomScaleSheetLayoutView="40" workbookViewId="0">
      <selection activeCell="D41" sqref="D41"/>
    </sheetView>
  </sheetViews>
  <sheetFormatPr baseColWidth="8" defaultColWidth="9.140625" defaultRowHeight="14.45"/>
  <cols>
    <col width="62.140625" bestFit="1" customWidth="1" style="232" min="1" max="1"/>
    <col width="41.42578125" bestFit="1" customWidth="1" style="232" min="2" max="2"/>
    <col width="16" customWidth="1" style="232" min="3" max="3"/>
    <col width="28.710937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6384"/>
  </cols>
  <sheetData>
    <row r="1">
      <c r="A1" s="243"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170" t="inlineStr">
        <is>
          <t>TCD DAILY FIELD REPORT</t>
        </is>
      </c>
      <c r="B5" s="275" t="n"/>
      <c r="C5" s="275" t="n"/>
      <c r="D5" s="275" t="n"/>
      <c r="E5" s="275" t="n"/>
      <c r="F5" s="275" t="n"/>
      <c r="G5" s="275" t="n"/>
      <c r="H5" s="275" t="n"/>
      <c r="I5" s="276" t="n"/>
    </row>
    <row r="6" ht="23.1" customHeight="1">
      <c r="A6" s="49" t="inlineStr">
        <is>
          <t>Project Name:</t>
        </is>
      </c>
      <c r="B6" s="173" t="inlineStr">
        <is>
          <t>Batavia Station Square</t>
        </is>
      </c>
      <c r="E6" s="173" t="n"/>
      <c r="F6" s="51" t="n"/>
      <c r="G6" s="51" t="n"/>
      <c r="H6" s="52" t="inlineStr">
        <is>
          <t>Date:</t>
        </is>
      </c>
      <c r="I6" s="53" t="n">
        <v>45870</v>
      </c>
    </row>
    <row r="7" ht="23.1" customHeight="1">
      <c r="A7" s="49" t="inlineStr">
        <is>
          <t>Project Location:</t>
        </is>
      </c>
      <c r="B7" s="173" t="inlineStr">
        <is>
          <t>Geraldton</t>
        </is>
      </c>
      <c r="E7" s="173" t="n"/>
      <c r="F7" s="51" t="n"/>
      <c r="G7" s="51" t="n"/>
      <c r="H7" s="54" t="inlineStr">
        <is>
          <t>Day:</t>
        </is>
      </c>
      <c r="I7" s="55">
        <f>I6</f>
        <v/>
      </c>
    </row>
    <row r="8" ht="23.1" customHeight="1">
      <c r="A8" s="49" t="inlineStr">
        <is>
          <t>Project Number:</t>
        </is>
      </c>
      <c r="B8" s="173" t="inlineStr">
        <is>
          <t>TCD-1816</t>
        </is>
      </c>
      <c r="E8" s="173" t="n"/>
      <c r="F8" s="51" t="n"/>
      <c r="G8" s="51" t="n"/>
      <c r="H8" s="54" t="inlineStr">
        <is>
          <t>Start:</t>
        </is>
      </c>
      <c r="I8" s="56" t="n">
        <v>0.2916666666666667</v>
      </c>
    </row>
    <row r="9" ht="23.1" customHeight="1">
      <c r="A9" s="49" t="inlineStr">
        <is>
          <t>Report Number:</t>
        </is>
      </c>
      <c r="B9" s="159" t="n">
        <v>69</v>
      </c>
      <c r="C9" s="273" t="n"/>
      <c r="D9" s="273" t="n"/>
      <c r="E9" s="160" t="n"/>
      <c r="F9" s="58" t="n"/>
      <c r="G9" s="58" t="n"/>
      <c r="H9" s="54" t="inlineStr">
        <is>
          <t>Finish:</t>
        </is>
      </c>
      <c r="I9" s="56" t="n">
        <v>0.7083333333333334</v>
      </c>
    </row>
    <row r="10" ht="24.95" customHeight="1">
      <c r="A10" s="230" t="inlineStr">
        <is>
          <t>WEATHER &amp; GROUND CONDITIONS</t>
        </is>
      </c>
      <c r="B10" s="275" t="n"/>
      <c r="C10" s="275" t="n"/>
      <c r="D10" s="275" t="n"/>
      <c r="E10" s="275" t="n"/>
      <c r="F10" s="275" t="n"/>
      <c r="G10" s="275" t="n"/>
      <c r="H10" s="275" t="n"/>
      <c r="I10" s="277" t="n"/>
    </row>
    <row r="11" ht="22.5" customHeight="1">
      <c r="A11" s="287" t="inlineStr">
        <is>
          <t xml:space="preserve">Temperature: 22 degrees    Wind 52km/h NNE  Precip: 0 mm </t>
        </is>
      </c>
      <c r="B11" s="275" t="n"/>
      <c r="C11" s="275" t="n"/>
      <c r="D11" s="275" t="n"/>
      <c r="E11" s="275" t="n"/>
      <c r="F11" s="275" t="n"/>
      <c r="G11" s="275" t="n"/>
      <c r="H11" s="275" t="n"/>
      <c r="I11" s="277" t="n"/>
    </row>
    <row r="12" ht="24.95" customHeight="1">
      <c r="A12" s="231" t="inlineStr">
        <is>
          <t>PERSONNEL</t>
        </is>
      </c>
      <c r="B12" s="278" t="n"/>
      <c r="C12" s="278" t="n"/>
      <c r="D12" s="278" t="n"/>
      <c r="E12" s="278" t="n"/>
      <c r="F12" s="278" t="n"/>
      <c r="G12" s="278" t="n"/>
      <c r="H12" s="278" t="n"/>
      <c r="I12" s="279" t="n"/>
    </row>
    <row r="13" ht="23.1" customHeight="1">
      <c r="A13" s="183" t="inlineStr">
        <is>
          <t>TCD Indirects</t>
        </is>
      </c>
      <c r="B13" s="275" t="n"/>
      <c r="C13" s="276" t="n"/>
      <c r="D13" s="184" t="inlineStr">
        <is>
          <t>TCD Directs</t>
        </is>
      </c>
      <c r="E13" s="275" t="n"/>
      <c r="F13" s="276" t="n"/>
      <c r="G13" s="184" t="inlineStr">
        <is>
          <t>Subcontractors</t>
        </is>
      </c>
      <c r="H13" s="275" t="n"/>
      <c r="I13" s="276" t="n"/>
    </row>
    <row r="14" ht="23.1" customHeight="1">
      <c r="A14" s="183" t="inlineStr">
        <is>
          <t xml:space="preserve"> Name</t>
        </is>
      </c>
      <c r="B14" s="184" t="inlineStr">
        <is>
          <t>Position</t>
        </is>
      </c>
      <c r="C14" s="39" t="inlineStr">
        <is>
          <t>Hours</t>
        </is>
      </c>
      <c r="D14" s="184" t="inlineStr">
        <is>
          <t xml:space="preserve"> Name</t>
        </is>
      </c>
      <c r="E14" s="184" t="inlineStr">
        <is>
          <t>Position</t>
        </is>
      </c>
      <c r="F14" s="39" t="inlineStr">
        <is>
          <t>Hours</t>
        </is>
      </c>
      <c r="G14" s="184" t="inlineStr">
        <is>
          <t xml:space="preserve"> Name</t>
        </is>
      </c>
      <c r="H14" s="184" t="inlineStr">
        <is>
          <t>Position</t>
        </is>
      </c>
      <c r="I14" s="185" t="inlineStr">
        <is>
          <t>Hours</t>
        </is>
      </c>
    </row>
    <row r="15" ht="22.5" customHeight="1">
      <c r="A15" s="25" t="inlineStr">
        <is>
          <t>WATKINS, Steve</t>
        </is>
      </c>
      <c r="B15" s="26" t="inlineStr">
        <is>
          <t>Civil Manager</t>
        </is>
      </c>
      <c r="C15" s="40" t="n"/>
      <c r="D15" s="41" t="n"/>
      <c r="E15" s="41" t="n"/>
      <c r="F15" s="26" t="n"/>
      <c r="G15" s="42" t="inlineStr">
        <is>
          <t>Khegan Brockman</t>
        </is>
      </c>
      <c r="H15" s="26" t="inlineStr">
        <is>
          <t>Labourer</t>
        </is>
      </c>
      <c r="I15" s="28" t="n">
        <v>10</v>
      </c>
    </row>
    <row r="16" ht="22.5" customHeight="1">
      <c r="A16" s="25" t="inlineStr">
        <is>
          <t>GRIFFITHS, Daniel</t>
        </is>
      </c>
      <c r="B16" s="26" t="inlineStr">
        <is>
          <t>Project Manager</t>
        </is>
      </c>
      <c r="C16" s="27" t="n">
        <v>10</v>
      </c>
      <c r="D16" s="43" t="n"/>
      <c r="E16" s="43" t="n"/>
      <c r="F16" s="26" t="n"/>
      <c r="G16" s="42" t="inlineStr">
        <is>
          <t>Laurent Levy</t>
        </is>
      </c>
      <c r="H16" s="26" t="inlineStr">
        <is>
          <t>Operator</t>
        </is>
      </c>
      <c r="I16" s="28" t="n"/>
    </row>
    <row r="17" ht="22.5" customHeight="1">
      <c r="A17" s="25" t="inlineStr">
        <is>
          <t>O"SHEA, John</t>
        </is>
      </c>
      <c r="B17" s="26" t="inlineStr">
        <is>
          <t>Senior Project Engineer</t>
        </is>
      </c>
      <c r="C17" s="27" t="n">
        <v>10</v>
      </c>
      <c r="D17" s="43" t="n"/>
      <c r="E17" s="43" t="n"/>
      <c r="F17" s="26" t="n"/>
      <c r="G17" s="42" t="inlineStr">
        <is>
          <t>Daniel McAuffile</t>
        </is>
      </c>
      <c r="H17" s="26" t="inlineStr">
        <is>
          <t>Operator</t>
        </is>
      </c>
      <c r="I17" s="28" t="n">
        <v>10</v>
      </c>
    </row>
    <row r="18" ht="22.5" customHeight="1">
      <c r="A18" s="25" t="inlineStr">
        <is>
          <t>GRIFFITHS, Ashley</t>
        </is>
      </c>
      <c r="B18" s="26" t="inlineStr">
        <is>
          <t>Supervisor</t>
        </is>
      </c>
      <c r="C18" s="27" t="n"/>
      <c r="D18" s="41" t="n"/>
      <c r="E18" s="41" t="n"/>
      <c r="F18" s="26" t="n"/>
      <c r="G18" s="42" t="inlineStr">
        <is>
          <t>O'Brian, Jamie</t>
        </is>
      </c>
      <c r="H18" s="26" t="inlineStr">
        <is>
          <t>Operator</t>
        </is>
      </c>
      <c r="I18" s="28" t="n">
        <v>10</v>
      </c>
    </row>
    <row r="19" ht="22.5" customHeight="1">
      <c r="A19" s="25" t="inlineStr">
        <is>
          <t>LOW, June</t>
        </is>
      </c>
      <c r="B19" s="26" t="inlineStr">
        <is>
          <t>HSET</t>
        </is>
      </c>
      <c r="C19" s="27" t="n"/>
      <c r="D19" s="41" t="n"/>
      <c r="E19" s="41" t="n"/>
      <c r="F19" s="26" t="n"/>
      <c r="G19" s="42" t="inlineStr">
        <is>
          <t>Simpson, Josh</t>
        </is>
      </c>
      <c r="H19" s="26" t="inlineStr">
        <is>
          <t>Operator</t>
        </is>
      </c>
      <c r="I19" s="28" t="n">
        <v>10</v>
      </c>
    </row>
    <row r="20" ht="22.5" customHeight="1">
      <c r="A20" s="25" t="inlineStr">
        <is>
          <t>SKINNER, Jamie</t>
        </is>
      </c>
      <c r="B20" s="26" t="inlineStr">
        <is>
          <t>Supervisor</t>
        </is>
      </c>
      <c r="C20" s="27" t="n">
        <v>10</v>
      </c>
      <c r="D20" s="41" t="n"/>
      <c r="E20" s="41" t="n"/>
      <c r="F20" s="26" t="n"/>
      <c r="G20" s="42" t="inlineStr">
        <is>
          <t>Buecz, Jayden</t>
        </is>
      </c>
      <c r="H20" s="26" t="inlineStr">
        <is>
          <t>Driller</t>
        </is>
      </c>
      <c r="I20" s="28" t="n">
        <v>8</v>
      </c>
    </row>
    <row r="21" ht="22.5" customHeight="1">
      <c r="A21" s="25" t="n"/>
      <c r="B21" s="26" t="n"/>
      <c r="C21" s="27" t="n"/>
      <c r="D21" s="41" t="n"/>
      <c r="E21" s="41" t="n"/>
      <c r="F21" s="26" t="n"/>
      <c r="G21" s="42" t="inlineStr">
        <is>
          <t>Anderson, Peter</t>
        </is>
      </c>
      <c r="H21" s="26" t="inlineStr">
        <is>
          <t>Driller</t>
        </is>
      </c>
      <c r="I21" s="28" t="n">
        <v>8</v>
      </c>
    </row>
    <row r="22" ht="22.5" customHeight="1">
      <c r="A22" s="25" t="n"/>
      <c r="B22" s="26" t="n"/>
      <c r="C22" s="27" t="n"/>
      <c r="D22" s="41" t="n"/>
      <c r="E22" s="41" t="n"/>
      <c r="F22" s="26" t="n"/>
      <c r="G22" s="42" t="inlineStr">
        <is>
          <t>Chester, Matt</t>
        </is>
      </c>
      <c r="H22" s="26" t="inlineStr">
        <is>
          <t>Gas Fitter</t>
        </is>
      </c>
      <c r="I22" s="28" t="n"/>
    </row>
    <row r="23" ht="22.5" customHeight="1">
      <c r="A23" s="25" t="n"/>
      <c r="B23" s="26" t="n"/>
      <c r="C23" s="27" t="n"/>
      <c r="D23" s="41" t="n"/>
      <c r="E23" s="41" t="n"/>
      <c r="F23" s="26" t="n"/>
      <c r="G23" s="42" t="inlineStr">
        <is>
          <t>Mounsey, Matt</t>
        </is>
      </c>
      <c r="H23" s="26" t="inlineStr">
        <is>
          <t>Gas Fitter</t>
        </is>
      </c>
      <c r="I23" s="28" t="n">
        <v>8</v>
      </c>
    </row>
    <row r="24" ht="22.5" customHeight="1">
      <c r="A24" s="25" t="n"/>
      <c r="B24" s="26" t="n"/>
      <c r="C24" s="27" t="n"/>
      <c r="D24" s="41" t="n"/>
      <c r="E24" s="41" t="n"/>
      <c r="F24" s="26" t="n"/>
      <c r="G24" s="42" t="inlineStr">
        <is>
          <t>Herring, Levin</t>
        </is>
      </c>
      <c r="H24" s="26" t="inlineStr">
        <is>
          <t>Gas Fitter</t>
        </is>
      </c>
      <c r="I24" s="28" t="n"/>
    </row>
    <row r="25" ht="22.5" customHeight="1">
      <c r="A25" s="25" t="n"/>
      <c r="B25" s="26" t="n"/>
      <c r="C25" s="27" t="n"/>
      <c r="D25" s="41" t="n"/>
      <c r="E25" s="41" t="n"/>
      <c r="F25" s="26" t="n"/>
      <c r="G25" s="44" t="n"/>
      <c r="H25" s="26" t="n"/>
      <c r="I25" s="28" t="n"/>
    </row>
    <row r="26" ht="23.1" customHeight="1">
      <c r="A26" s="239" t="inlineStr">
        <is>
          <t xml:space="preserve">Total Indirect Personnel onsite: </t>
        </is>
      </c>
      <c r="B26" s="45">
        <f>COUNTIF(C15:C25,"&gt;0")</f>
        <v/>
      </c>
      <c r="C26" s="41" t="n"/>
      <c r="D26" s="41" t="n"/>
      <c r="E26" s="41" t="n"/>
      <c r="F26" s="26" t="n"/>
      <c r="G26" s="194" t="inlineStr">
        <is>
          <t>Total Subcontractor on-site:</t>
        </is>
      </c>
      <c r="H26" s="46">
        <f>COUNTIF(I15:I25,"&gt;0")</f>
        <v/>
      </c>
      <c r="I26" s="28" t="n"/>
    </row>
    <row r="27" ht="23.1" customHeight="1">
      <c r="A27" s="239" t="inlineStr">
        <is>
          <t xml:space="preserve">Total Indirect Personnel hours: </t>
        </is>
      </c>
      <c r="B27" s="45">
        <f>SUM(C15:C25)</f>
        <v/>
      </c>
      <c r="C27" s="27" t="n"/>
      <c r="D27" s="41" t="n"/>
      <c r="E27" s="41" t="n"/>
      <c r="F27" s="26" t="n"/>
      <c r="G27" s="194" t="inlineStr">
        <is>
          <t>Total Subcontractor hours:</t>
        </is>
      </c>
      <c r="H27" s="46">
        <f>SUM(I15:I25)</f>
        <v/>
      </c>
      <c r="I27" s="28" t="n"/>
    </row>
    <row r="28" ht="23.1" customHeight="1">
      <c r="A28" s="239" t="inlineStr">
        <is>
          <t xml:space="preserve">Total Direct Personnel onsite:  </t>
        </is>
      </c>
      <c r="B28" s="45">
        <f>COUNTIF(F15:F29,"&gt;0")</f>
        <v/>
      </c>
      <c r="C28" s="45" t="n"/>
      <c r="D28" s="41" t="n"/>
      <c r="E28" s="41" t="n"/>
      <c r="F28" s="47" t="n"/>
      <c r="G28" s="194" t="n"/>
      <c r="H28" s="46" t="n"/>
      <c r="I28" s="238" t="n"/>
    </row>
    <row r="29" ht="23.1" customHeight="1">
      <c r="A29" s="239" t="inlineStr">
        <is>
          <t xml:space="preserve">Total Direct Personnel hours: </t>
        </is>
      </c>
      <c r="B29" s="45">
        <f>SUM(F15:F29)</f>
        <v/>
      </c>
      <c r="C29" s="45" t="n"/>
      <c r="D29" s="45" t="n"/>
      <c r="E29" s="45" t="n"/>
      <c r="F29" s="45" t="n"/>
      <c r="G29" s="45" t="n"/>
      <c r="H29" s="45" t="n"/>
      <c r="I29" s="238" t="n"/>
    </row>
    <row r="30" ht="24.95" customHeight="1">
      <c r="A30" s="10" t="inlineStr">
        <is>
          <t>PLANT &amp; EQUIPMENT</t>
        </is>
      </c>
      <c r="B30" s="1" t="n"/>
      <c r="C30" s="1" t="n"/>
      <c r="D30" s="1" t="n"/>
      <c r="E30" s="1" t="n"/>
      <c r="F30" s="1" t="n"/>
      <c r="G30" s="1" t="n"/>
      <c r="H30" s="1" t="n"/>
      <c r="I30" s="2" t="n"/>
    </row>
    <row r="31" ht="23.1" customHeight="1">
      <c r="A31" s="183" t="inlineStr">
        <is>
          <t>Plant</t>
        </is>
      </c>
      <c r="B31" s="184" t="inlineStr">
        <is>
          <t>ID</t>
        </is>
      </c>
      <c r="C31" s="184" t="inlineStr">
        <is>
          <t>Hours</t>
        </is>
      </c>
      <c r="D31" s="184" t="inlineStr">
        <is>
          <t xml:space="preserve"> Vehicles</t>
        </is>
      </c>
      <c r="E31" s="184" t="inlineStr">
        <is>
          <t>ID</t>
        </is>
      </c>
      <c r="F31" s="184" t="inlineStr">
        <is>
          <t>QTY</t>
        </is>
      </c>
      <c r="G31" s="23" t="inlineStr">
        <is>
          <t>Site Facilities</t>
        </is>
      </c>
      <c r="H31" s="23" t="inlineStr">
        <is>
          <t>ID</t>
        </is>
      </c>
      <c r="I31" s="24" t="inlineStr">
        <is>
          <t>Qty</t>
        </is>
      </c>
    </row>
    <row r="32" ht="22.5" customHeight="1">
      <c r="A32" s="25" t="inlineStr">
        <is>
          <t>Komatsu WA320</t>
        </is>
      </c>
      <c r="B32" s="26" t="inlineStr">
        <is>
          <t>FWL18</t>
        </is>
      </c>
      <c r="C32" s="26" t="n"/>
      <c r="D32" s="27" t="inlineStr">
        <is>
          <t>Hilux</t>
        </is>
      </c>
      <c r="E32" s="27" t="inlineStr">
        <is>
          <t>DLV90</t>
        </is>
      </c>
      <c r="F32" s="27" t="n">
        <v>1</v>
      </c>
      <c r="G32" s="27" t="inlineStr">
        <is>
          <t>Office 40ft</t>
        </is>
      </c>
      <c r="H32" s="27" t="n">
        <v>9255540</v>
      </c>
      <c r="I32" s="28" t="n">
        <v>1</v>
      </c>
    </row>
    <row r="33" ht="22.5" customHeight="1">
      <c r="A33" s="25" t="inlineStr">
        <is>
          <t>Wacker Neuson DPU</t>
        </is>
      </c>
      <c r="B33" s="26" t="inlineStr">
        <is>
          <t>DPC15</t>
        </is>
      </c>
      <c r="C33" s="26" t="n"/>
      <c r="D33" s="27" t="inlineStr">
        <is>
          <t>6 Wheel Tipper</t>
        </is>
      </c>
      <c r="E33" s="27" t="inlineStr">
        <is>
          <t>AMG04</t>
        </is>
      </c>
      <c r="F33" s="27" t="n"/>
      <c r="G33" s="27" t="inlineStr">
        <is>
          <t>Sea Container 20ft</t>
        </is>
      </c>
      <c r="H33" s="26" t="n">
        <v>951200</v>
      </c>
      <c r="I33" s="28" t="n">
        <v>1</v>
      </c>
    </row>
    <row r="34" ht="22.5" customHeight="1">
      <c r="A34" s="29" t="inlineStr">
        <is>
          <t>Positrak</t>
        </is>
      </c>
      <c r="B34" s="27" t="inlineStr">
        <is>
          <t>AMG 025</t>
        </is>
      </c>
      <c r="C34" s="26" t="n">
        <v>10</v>
      </c>
      <c r="D34" s="27" t="n"/>
      <c r="E34" s="26" t="n"/>
      <c r="F34" s="27" t="n"/>
      <c r="G34" s="27" t="inlineStr">
        <is>
          <t>Site Sentry Tower</t>
        </is>
      </c>
      <c r="H34" s="27" t="n"/>
      <c r="I34" s="28" t="n">
        <v>2</v>
      </c>
    </row>
    <row r="35" ht="22.5" customHeight="1">
      <c r="A35" s="29" t="inlineStr">
        <is>
          <t>Watercart</t>
        </is>
      </c>
      <c r="B35" s="27" t="inlineStr">
        <is>
          <t>WC04</t>
        </is>
      </c>
      <c r="C35" s="26" t="n"/>
      <c r="D35" s="27" t="n"/>
      <c r="E35" s="27" t="n"/>
      <c r="F35" s="27" t="n"/>
      <c r="G35" s="27" t="inlineStr">
        <is>
          <t>Skip Bin</t>
        </is>
      </c>
      <c r="H35" s="27" t="n"/>
      <c r="I35" s="28" t="n">
        <v>1</v>
      </c>
    </row>
    <row r="36" ht="22.5" customHeight="1">
      <c r="A36" s="29" t="inlineStr">
        <is>
          <t>8T Excavator</t>
        </is>
      </c>
      <c r="B36" s="30" t="inlineStr">
        <is>
          <t>AMG 014</t>
        </is>
      </c>
      <c r="C36" s="26" t="n">
        <v>10</v>
      </c>
      <c r="D36" s="27" t="n"/>
      <c r="E36" s="27" t="n"/>
      <c r="F36" s="27" t="n"/>
      <c r="G36" s="27" t="inlineStr">
        <is>
          <t>Hydrocarbon Bund</t>
        </is>
      </c>
      <c r="H36" s="27" t="n"/>
      <c r="I36" s="28" t="n">
        <v>1</v>
      </c>
    </row>
    <row r="37" ht="22.5" customHeight="1">
      <c r="A37" s="27" t="inlineStr">
        <is>
          <t>6 Wheel Tipper</t>
        </is>
      </c>
      <c r="B37" s="27" t="inlineStr">
        <is>
          <t>AMG 008</t>
        </is>
      </c>
      <c r="C37" s="27" t="n"/>
      <c r="D37" s="27" t="n"/>
      <c r="E37" s="27" t="n"/>
      <c r="F37" s="27" t="n"/>
      <c r="G37" s="27" t="inlineStr">
        <is>
          <t>Temp Fence</t>
        </is>
      </c>
      <c r="H37" s="26" t="n"/>
      <c r="I37" s="28" t="n">
        <v>1</v>
      </c>
    </row>
    <row r="38" ht="23.45" customHeight="1">
      <c r="A38" s="29" t="inlineStr">
        <is>
          <t>Padfoot/ Smooth Drum Roller</t>
        </is>
      </c>
      <c r="B38" s="27" t="inlineStr">
        <is>
          <t>RR 03</t>
        </is>
      </c>
      <c r="C38" s="26" t="n">
        <v>8</v>
      </c>
      <c r="D38" s="27" t="n"/>
      <c r="E38" s="27" t="n"/>
      <c r="F38" s="27" t="n"/>
      <c r="G38" s="31" t="n"/>
      <c r="H38" s="31" t="n"/>
      <c r="I38" s="32" t="n"/>
    </row>
    <row r="39" ht="23.45" customHeight="1">
      <c r="A39" s="29" t="inlineStr">
        <is>
          <t>Positrak SSL</t>
        </is>
      </c>
      <c r="B39" s="27" t="inlineStr">
        <is>
          <t>SSL08</t>
        </is>
      </c>
      <c r="C39" s="26" t="n">
        <v>5</v>
      </c>
      <c r="D39" s="27" t="n"/>
      <c r="E39" s="27" t="n"/>
      <c r="F39" s="27" t="n"/>
      <c r="G39" s="31" t="n"/>
      <c r="H39" s="31" t="n"/>
      <c r="I39" s="32" t="n"/>
    </row>
    <row r="40" ht="22.5" customHeight="1">
      <c r="A40" s="29" t="inlineStr">
        <is>
          <t>Grader</t>
        </is>
      </c>
      <c r="B40" s="27" t="inlineStr">
        <is>
          <t>SLS01</t>
        </is>
      </c>
      <c r="C40" s="26" t="n">
        <v>8</v>
      </c>
      <c r="D40" s="27" t="n"/>
      <c r="E40" s="27" t="n"/>
      <c r="F40" s="27" t="n"/>
      <c r="G40" s="27" t="n"/>
      <c r="H40" s="26" t="n"/>
      <c r="I40" s="28" t="n"/>
    </row>
    <row r="41" ht="22.5" customHeight="1">
      <c r="A41" s="29" t="inlineStr">
        <is>
          <t>5t Excavator</t>
        </is>
      </c>
      <c r="B41" s="27" t="inlineStr">
        <is>
          <t>AMG 007</t>
        </is>
      </c>
      <c r="C41" s="26" t="n"/>
      <c r="D41" s="27" t="n"/>
      <c r="E41" s="27" t="n"/>
      <c r="F41" s="27" t="n"/>
      <c r="G41" s="27" t="n"/>
      <c r="H41" s="26" t="n"/>
      <c r="I41" s="28" t="n"/>
    </row>
    <row r="42" ht="22.5" customHeight="1">
      <c r="A42" s="29" t="inlineStr">
        <is>
          <t>1.5 Excavator</t>
        </is>
      </c>
      <c r="B42" s="27" t="inlineStr">
        <is>
          <t>AMG 009</t>
        </is>
      </c>
      <c r="C42" s="26" t="n">
        <v>5</v>
      </c>
      <c r="D42" s="27" t="n"/>
      <c r="E42" s="27" t="n"/>
      <c r="F42" s="27" t="n"/>
      <c r="G42" s="27" t="n"/>
      <c r="H42" s="26" t="n"/>
      <c r="I42" s="28" t="n"/>
    </row>
    <row r="43" ht="22.5" customHeight="1">
      <c r="A43" s="29" t="inlineStr">
        <is>
          <t>5t Excavator</t>
        </is>
      </c>
      <c r="B43" s="27" t="inlineStr">
        <is>
          <t>AA 25</t>
        </is>
      </c>
      <c r="C43" s="26" t="n">
        <v>10</v>
      </c>
      <c r="D43" s="27" t="n"/>
      <c r="E43" s="27" t="n"/>
      <c r="F43" s="27" t="n"/>
      <c r="G43" s="27" t="n"/>
      <c r="H43" s="26" t="n"/>
      <c r="I43" s="28" t="n"/>
    </row>
    <row r="44" ht="23.45" customHeight="1">
      <c r="A44" s="29" t="n"/>
      <c r="B44" s="27" t="n"/>
      <c r="C44" s="26" t="n"/>
      <c r="D44" s="31" t="n"/>
      <c r="E44" s="31" t="n"/>
      <c r="F44" s="31" t="n"/>
      <c r="G44" s="31" t="n"/>
      <c r="H44" s="31" t="n"/>
      <c r="I44" s="32" t="n"/>
    </row>
    <row r="45" ht="18" customHeight="1">
      <c r="A45" s="33" t="n">
        <v>0</v>
      </c>
      <c r="B45" s="186" t="inlineStr">
        <is>
          <t xml:space="preserve">Repairs Required </t>
        </is>
      </c>
      <c r="C45" s="276" t="n"/>
      <c r="D45" s="233" t="inlineStr">
        <is>
          <t>N/A</t>
        </is>
      </c>
      <c r="E45" s="275" t="n"/>
      <c r="F45" s="275" t="n"/>
      <c r="G45" s="275" t="n"/>
      <c r="H45" s="275" t="n"/>
      <c r="I45" s="277" t="n"/>
    </row>
    <row r="46" ht="18" customHeight="1">
      <c r="A46" s="34" t="n">
        <v>0</v>
      </c>
      <c r="B46" s="186" t="inlineStr">
        <is>
          <t>Scheduled Service</t>
        </is>
      </c>
      <c r="C46" s="276" t="n"/>
      <c r="D46" s="233" t="inlineStr">
        <is>
          <t>N/A</t>
        </is>
      </c>
      <c r="E46" s="275" t="n"/>
      <c r="F46" s="275" t="n"/>
      <c r="G46" s="275" t="n"/>
      <c r="H46" s="275" t="n"/>
      <c r="I46" s="277" t="n"/>
    </row>
    <row r="47" ht="18" customHeight="1">
      <c r="A47" s="35" t="n">
        <v>0</v>
      </c>
      <c r="B47" s="186" t="inlineStr">
        <is>
          <t>Repairs required but operable</t>
        </is>
      </c>
      <c r="C47" s="276" t="n"/>
      <c r="D47" s="233" t="inlineStr">
        <is>
          <t>N/A</t>
        </is>
      </c>
      <c r="E47" s="275" t="n"/>
      <c r="F47" s="275" t="n"/>
      <c r="G47" s="275" t="n"/>
      <c r="H47" s="275" t="n"/>
      <c r="I47" s="277" t="n"/>
    </row>
    <row r="48" ht="23.1" customHeight="1">
      <c r="A48" s="239" t="inlineStr">
        <is>
          <t xml:space="preserve">Total Plant and Equipment Hours: </t>
        </is>
      </c>
      <c r="B48" s="276" t="n"/>
      <c r="C48" s="195">
        <f>SUM(C32:C44)</f>
        <v/>
      </c>
      <c r="D48" s="185" t="n"/>
      <c r="E48" s="275" t="n"/>
      <c r="F48" s="275" t="n"/>
      <c r="G48" s="275" t="n"/>
      <c r="H48" s="275" t="n"/>
      <c r="I48" s="277" t="n"/>
    </row>
    <row r="49" ht="24.95" customHeight="1">
      <c r="A49" s="230" t="inlineStr">
        <is>
          <t>DELAYS-OPPORTUNITY</t>
        </is>
      </c>
      <c r="B49" s="275" t="n"/>
      <c r="C49" s="275" t="n"/>
      <c r="D49" s="275" t="n"/>
      <c r="E49" s="275" t="n"/>
      <c r="F49" s="275" t="n"/>
      <c r="G49" s="275" t="n"/>
      <c r="H49" s="275" t="n"/>
      <c r="I49" s="277" t="n"/>
    </row>
    <row r="50" ht="20.1" customHeight="1">
      <c r="A50" s="5" t="n"/>
      <c r="B50" s="6" t="n"/>
      <c r="C50" s="6" t="n"/>
      <c r="D50" s="6" t="n"/>
      <c r="E50" s="6" t="n"/>
      <c r="F50" s="6" t="n"/>
      <c r="G50" s="6" t="n"/>
      <c r="H50" s="6" t="n"/>
      <c r="I50" s="7" t="n"/>
    </row>
    <row r="51">
      <c r="A51" s="240" t="n"/>
      <c r="B51" s="278" t="n"/>
      <c r="C51" s="278" t="n"/>
      <c r="D51" s="278" t="n"/>
      <c r="E51" s="278" t="n"/>
      <c r="F51" s="278" t="n"/>
      <c r="G51" s="278" t="n"/>
      <c r="H51" s="278" t="n"/>
      <c r="I51" s="279" t="n"/>
    </row>
    <row r="52">
      <c r="A52" s="270" t="n"/>
      <c r="I52" s="271" t="n"/>
    </row>
    <row r="53">
      <c r="A53" s="270" t="n"/>
      <c r="I53" s="271" t="n"/>
    </row>
    <row r="54" ht="13.5" customHeight="1" thickBot="1">
      <c r="A54" s="280" t="n"/>
      <c r="B54" s="281" t="n"/>
      <c r="C54" s="281" t="n"/>
      <c r="D54" s="281" t="n"/>
      <c r="E54" s="281" t="n"/>
      <c r="F54" s="281" t="n"/>
      <c r="G54" s="281" t="n"/>
      <c r="H54" s="281" t="n"/>
      <c r="I54" s="282" t="n"/>
    </row>
    <row r="55" ht="24.95" customHeight="1">
      <c r="A55" s="236" t="inlineStr">
        <is>
          <t>HSEQ MESSAGES</t>
        </is>
      </c>
      <c r="B55" s="283" t="n"/>
      <c r="C55" s="283" t="n"/>
      <c r="D55" s="283" t="n"/>
      <c r="E55" s="283" t="n"/>
      <c r="F55" s="283" t="n"/>
      <c r="G55" s="283" t="n"/>
      <c r="H55" s="283" t="n"/>
      <c r="I55" s="284" t="n"/>
    </row>
    <row r="56" ht="18" customHeight="1">
      <c r="A56" s="18" t="inlineStr">
        <is>
          <t>TCD - Monthly Safety Focus:</t>
        </is>
      </c>
      <c r="B56" s="211" t="inlineStr">
        <is>
          <t>Speaking up</t>
        </is>
      </c>
      <c r="C56" s="275" t="n"/>
      <c r="D56" s="275" t="n"/>
      <c r="E56" s="275" t="n"/>
      <c r="F56" s="275" t="n"/>
      <c r="G56" s="275" t="n"/>
      <c r="H56" s="275" t="n"/>
      <c r="I56" s="276" t="n"/>
    </row>
    <row r="57" ht="23.1" customHeight="1">
      <c r="A57" s="18" t="inlineStr">
        <is>
          <t>TCD - Daily Safety Focus:</t>
        </is>
      </c>
      <c r="B57" s="212" t="inlineStr">
        <is>
          <t>Plant on Plant Interaction</t>
        </is>
      </c>
      <c r="C57" s="275" t="n"/>
      <c r="D57" s="275" t="n"/>
      <c r="E57" s="275" t="n"/>
      <c r="F57" s="275" t="n"/>
      <c r="G57" s="275" t="n"/>
      <c r="H57" s="275" t="n"/>
      <c r="I57" s="277" t="n"/>
    </row>
    <row r="58" ht="18" customHeight="1">
      <c r="A58" s="19" t="inlineStr">
        <is>
          <t xml:space="preserve">Hazards Reported: </t>
        </is>
      </c>
      <c r="B58" s="20" t="inlineStr">
        <is>
          <t>Nil</t>
        </is>
      </c>
      <c r="C58" s="212" t="n"/>
      <c r="D58" s="275" t="n"/>
      <c r="E58" s="275" t="n"/>
      <c r="F58" s="275" t="n"/>
      <c r="G58" s="275" t="n"/>
      <c r="H58" s="275" t="n"/>
      <c r="I58" s="277" t="n"/>
    </row>
    <row r="59" ht="18" customHeight="1">
      <c r="A59" s="19" t="inlineStr">
        <is>
          <t>Incident Free Days</t>
        </is>
      </c>
      <c r="B59" s="20">
        <f>B9+2</f>
        <v/>
      </c>
      <c r="C59" s="211" t="n"/>
      <c r="D59" s="275" t="n"/>
      <c r="E59" s="275" t="n"/>
      <c r="F59" s="275" t="n"/>
      <c r="G59" s="275" t="n"/>
      <c r="H59" s="275" t="n"/>
      <c r="I59" s="276" t="n"/>
    </row>
    <row r="60" ht="18" customHeight="1">
      <c r="A60" s="21" t="inlineStr">
        <is>
          <t>Other Notes</t>
        </is>
      </c>
      <c r="B60" s="241" t="n"/>
      <c r="C60" s="278" t="n"/>
      <c r="D60" s="278" t="n"/>
      <c r="E60" s="278" t="n"/>
      <c r="F60" s="278" t="n"/>
      <c r="G60" s="278" t="n"/>
      <c r="H60" s="278" t="n"/>
      <c r="I60" s="279" t="n"/>
    </row>
    <row r="61" ht="20.25" customHeight="1">
      <c r="A61" s="230" t="inlineStr">
        <is>
          <t xml:space="preserve">INCIDENTS &amp; REPORTS </t>
        </is>
      </c>
      <c r="B61" s="275" t="n"/>
      <c r="C61" s="275" t="n"/>
      <c r="D61" s="275" t="n"/>
      <c r="E61" s="275" t="n"/>
      <c r="F61" s="275" t="n"/>
      <c r="G61" s="275" t="n"/>
      <c r="H61" s="275" t="n"/>
      <c r="I61" s="277" t="n"/>
    </row>
    <row r="62" ht="24.95" customHeight="1">
      <c r="A62" s="11" t="n"/>
      <c r="B62" s="184" t="inlineStr">
        <is>
          <t>QTY</t>
        </is>
      </c>
      <c r="C62" s="238" t="inlineStr">
        <is>
          <t>Comments</t>
        </is>
      </c>
      <c r="D62" s="275" t="n"/>
      <c r="E62" s="275" t="n"/>
      <c r="F62" s="275" t="n"/>
      <c r="G62" s="275" t="n"/>
      <c r="H62" s="275" t="n"/>
      <c r="I62" s="277" t="n"/>
    </row>
    <row r="63" ht="24.95" customHeight="1">
      <c r="A63" s="13" t="inlineStr">
        <is>
          <t>INCIDENT</t>
        </is>
      </c>
      <c r="B63" s="184" t="n">
        <v>0</v>
      </c>
      <c r="C63" s="233" t="inlineStr">
        <is>
          <t>NA</t>
        </is>
      </c>
      <c r="D63" s="275" t="n"/>
      <c r="E63" s="275" t="n"/>
      <c r="F63" s="275" t="n"/>
      <c r="G63" s="275" t="n"/>
      <c r="H63" s="275" t="n"/>
      <c r="I63" s="277" t="n"/>
    </row>
    <row r="64" ht="24.95" customHeight="1">
      <c r="A64" s="14" t="inlineStr">
        <is>
          <t>IR</t>
        </is>
      </c>
      <c r="B64" s="15" t="n">
        <v>0</v>
      </c>
      <c r="C64" s="234" t="inlineStr">
        <is>
          <t>NA</t>
        </is>
      </c>
      <c r="D64" s="278" t="n"/>
      <c r="E64" s="278" t="n"/>
      <c r="F64" s="278" t="n"/>
      <c r="G64" s="278" t="n"/>
      <c r="H64" s="278" t="n"/>
      <c r="I64" s="279" t="n"/>
    </row>
    <row r="65" ht="24.95" customHeight="1" thickBot="1">
      <c r="A65" s="16" t="inlineStr">
        <is>
          <t>NCR</t>
        </is>
      </c>
      <c r="B65" s="17" t="n">
        <v>0</v>
      </c>
      <c r="C65" s="235" t="inlineStr">
        <is>
          <t>NA</t>
        </is>
      </c>
      <c r="D65" s="285" t="n"/>
      <c r="E65" s="285" t="n"/>
      <c r="F65" s="285" t="n"/>
      <c r="G65" s="285" t="n"/>
      <c r="H65" s="285" t="n"/>
      <c r="I65" s="286" t="n"/>
    </row>
    <row r="66" ht="20.25" customHeight="1">
      <c r="A66" s="236" t="inlineStr">
        <is>
          <t>COMMUNICATIONS</t>
        </is>
      </c>
      <c r="B66" s="283" t="n"/>
      <c r="C66" s="283" t="n"/>
      <c r="D66" s="283" t="n"/>
      <c r="E66" s="283" t="n"/>
      <c r="F66" s="283" t="n"/>
      <c r="G66" s="283" t="n"/>
      <c r="H66" s="283" t="n"/>
      <c r="I66" s="284" t="n"/>
    </row>
    <row r="67" ht="24.95" customHeight="1">
      <c r="A67" s="237" t="inlineStr">
        <is>
          <t>TGS MB1119-05 Scheme D implemented</t>
        </is>
      </c>
      <c r="B67" s="275" t="n"/>
      <c r="C67" s="275" t="n"/>
      <c r="D67" s="275" t="n"/>
      <c r="E67" s="275" t="n"/>
      <c r="F67" s="275" t="n"/>
      <c r="G67" s="275" t="n"/>
      <c r="H67" s="275" t="n"/>
      <c r="I67" s="277" t="n"/>
    </row>
    <row r="68" ht="24.95" customHeight="1">
      <c r="A68" s="237" t="n"/>
      <c r="B68" s="275" t="n"/>
      <c r="C68" s="275" t="n"/>
      <c r="D68" s="275" t="n"/>
      <c r="E68" s="275" t="n"/>
      <c r="F68" s="275" t="n"/>
      <c r="G68" s="275" t="n"/>
      <c r="H68" s="275" t="n"/>
      <c r="I68" s="277" t="n"/>
    </row>
    <row r="69" ht="24.95" customHeight="1">
      <c r="A69" s="227" t="n"/>
      <c r="B69" s="228" t="n"/>
      <c r="C69" s="228" t="n"/>
      <c r="D69" s="228" t="n"/>
      <c r="E69" s="228" t="n"/>
      <c r="F69" s="228" t="n"/>
      <c r="G69" s="228" t="n"/>
      <c r="H69" s="228" t="n"/>
      <c r="I69" s="229" t="n"/>
    </row>
    <row r="70" ht="24.95" customHeight="1">
      <c r="A70" s="230" t="inlineStr">
        <is>
          <t>PRODUCTION (CONSTRUCTION STATUS &amp; PROGRESS)</t>
        </is>
      </c>
      <c r="B70" s="275" t="n"/>
      <c r="C70" s="275" t="n"/>
      <c r="D70" s="275" t="n"/>
      <c r="E70" s="275" t="n"/>
      <c r="F70" s="275" t="n"/>
      <c r="G70" s="275" t="n"/>
      <c r="H70" s="275" t="n"/>
      <c r="I70" s="277" t="n"/>
    </row>
    <row r="71" ht="24.95" customHeight="1">
      <c r="A71" s="66" t="inlineStr">
        <is>
          <t>Ongoing cutting of Drainage pits</t>
        </is>
      </c>
      <c r="B71" s="62" t="n"/>
      <c r="C71" s="62" t="n"/>
      <c r="D71" s="62" t="n"/>
      <c r="E71" s="62" t="n"/>
      <c r="F71" s="62" t="n"/>
      <c r="G71" s="62" t="n"/>
      <c r="H71" s="62" t="n"/>
      <c r="I71" s="63" t="n"/>
    </row>
    <row r="72" ht="24.95" customHeight="1">
      <c r="A72" s="66" t="inlineStr">
        <is>
          <t>Drillers onsite Baily Street</t>
        </is>
      </c>
      <c r="B72" s="62" t="n"/>
      <c r="C72" s="62" t="n"/>
      <c r="D72" s="62" t="n"/>
      <c r="E72" s="62" t="n"/>
      <c r="F72" s="62" t="n"/>
      <c r="G72" s="62" t="n"/>
      <c r="H72" s="62" t="n"/>
      <c r="I72" s="63" t="n"/>
    </row>
    <row r="73" ht="24.95" customHeight="1">
      <c r="A73" s="66" t="inlineStr">
        <is>
          <t>Poly Weld Irrigation and construct thrust blocks</t>
        </is>
      </c>
      <c r="B73" s="62" t="n"/>
      <c r="C73" s="62" t="n"/>
      <c r="D73" s="62" t="n"/>
      <c r="E73" s="62" t="n"/>
      <c r="F73" s="62" t="n"/>
      <c r="G73" s="62" t="n"/>
      <c r="H73" s="62" t="n"/>
      <c r="I73" s="63" t="n"/>
    </row>
    <row r="74" ht="24.95" customHeight="1">
      <c r="A74" s="66" t="inlineStr">
        <is>
          <t>Ongoing Subgrade Prep</t>
        </is>
      </c>
      <c r="B74" s="62" t="n"/>
      <c r="C74" s="62" t="n"/>
      <c r="D74" s="62" t="n"/>
      <c r="E74" s="62" t="n"/>
      <c r="F74" s="62" t="n"/>
      <c r="G74" s="62" t="n"/>
      <c r="H74" s="62" t="n"/>
      <c r="I74" s="63" t="n"/>
    </row>
    <row r="75" ht="25.5" customHeight="1" thickBot="1">
      <c r="A75" s="231" t="inlineStr">
        <is>
          <t>Photos</t>
        </is>
      </c>
      <c r="B75" s="278" t="n"/>
      <c r="C75" s="278" t="n"/>
      <c r="D75" s="278" t="n"/>
      <c r="E75" s="278" t="n"/>
      <c r="F75" s="278" t="n"/>
      <c r="G75" s="278" t="n"/>
      <c r="H75" s="278" t="n"/>
      <c r="I75" s="279" t="n"/>
    </row>
    <row r="76" ht="22.5" customHeight="1">
      <c r="A76" s="70" t="n"/>
      <c r="B76" s="71" t="n"/>
      <c r="C76" s="71" t="n"/>
      <c r="D76" s="71" t="n"/>
      <c r="E76" s="71" t="n"/>
      <c r="F76" s="71" t="n"/>
      <c r="G76" s="71" t="n"/>
      <c r="H76" s="71" t="n"/>
      <c r="I76" s="72" t="n"/>
    </row>
    <row r="77" ht="22.5" customHeight="1">
      <c r="A77" s="73" t="n"/>
      <c r="B77" s="74" t="n"/>
      <c r="C77" s="74" t="n"/>
      <c r="D77" s="74" t="n"/>
      <c r="E77" s="74" t="n"/>
      <c r="F77" s="74" t="n"/>
      <c r="G77" s="74" t="n"/>
      <c r="H77" s="74" t="n"/>
      <c r="I77" s="75" t="n"/>
    </row>
    <row r="78" ht="15" customHeight="1">
      <c r="A78" s="73" t="n"/>
      <c r="B78" s="74" t="n"/>
      <c r="C78" s="74" t="n"/>
      <c r="D78" s="74" t="n"/>
      <c r="E78" s="74" t="n"/>
      <c r="F78" s="74" t="n"/>
      <c r="G78" s="74" t="n"/>
      <c r="H78" s="74" t="n"/>
      <c r="I78" s="75" t="n"/>
    </row>
    <row r="79" ht="15" customHeight="1">
      <c r="A79" s="73" t="n"/>
      <c r="B79" s="74" t="n"/>
      <c r="C79" s="74" t="n"/>
      <c r="D79" s="74" t="n"/>
      <c r="E79" s="74" t="n"/>
      <c r="F79" s="74" t="n"/>
      <c r="G79" s="74" t="n"/>
      <c r="H79" s="74" t="n"/>
      <c r="I79" s="75" t="n"/>
    </row>
    <row r="80" ht="15" customHeight="1">
      <c r="A80" s="73" t="n"/>
      <c r="B80" s="74" t="n"/>
      <c r="C80" s="74" t="n"/>
      <c r="D80" s="74" t="n"/>
      <c r="E80" s="74" t="n"/>
      <c r="F80" s="74" t="n"/>
      <c r="G80" s="74" t="n"/>
      <c r="H80" s="74" t="n"/>
      <c r="I80" s="75" t="n"/>
    </row>
    <row r="81" ht="15" customHeight="1">
      <c r="A81" s="73" t="n"/>
      <c r="B81" s="74" t="n"/>
      <c r="C81" s="74" t="n"/>
      <c r="D81" s="74" t="n"/>
      <c r="E81" s="74" t="n"/>
      <c r="F81" s="74" t="n"/>
      <c r="G81" s="74" t="n"/>
      <c r="H81" s="74" t="n"/>
      <c r="I81" s="75" t="n"/>
    </row>
    <row r="82" ht="15" customHeight="1">
      <c r="A82" s="73" t="n"/>
      <c r="B82" s="74" t="n"/>
      <c r="C82" s="74" t="n"/>
      <c r="D82" s="74" t="n"/>
      <c r="E82" s="74" t="n"/>
      <c r="F82" s="74" t="n"/>
      <c r="G82" s="74" t="n"/>
      <c r="H82" s="74" t="n"/>
      <c r="I82" s="75" t="n"/>
    </row>
    <row r="83" ht="15" customHeight="1">
      <c r="A83" s="73" t="n"/>
      <c r="B83" s="74" t="n"/>
      <c r="C83" s="74" t="n"/>
      <c r="D83" s="74" t="n"/>
      <c r="E83" s="74" t="n"/>
      <c r="F83" s="74" t="n"/>
      <c r="G83" s="74" t="n"/>
      <c r="H83" s="74" t="n"/>
      <c r="I83" s="75" t="n"/>
    </row>
    <row r="84" ht="15" customHeight="1">
      <c r="A84" s="73" t="n"/>
      <c r="B84" s="74" t="n"/>
      <c r="C84" s="74" t="n"/>
      <c r="D84" s="74" t="n"/>
      <c r="E84" s="74" t="n"/>
      <c r="F84" s="74" t="n"/>
      <c r="G84" s="74" t="n"/>
      <c r="H84" s="74" t="n"/>
      <c r="I84" s="75" t="n"/>
    </row>
    <row r="85" ht="15" customHeight="1">
      <c r="A85" s="73" t="n"/>
      <c r="B85" s="74" t="n"/>
      <c r="C85" s="74" t="n"/>
      <c r="D85" s="74" t="n"/>
      <c r="E85" s="74" t="n"/>
      <c r="F85" s="74" t="n"/>
      <c r="G85" s="74" t="n"/>
      <c r="H85" s="74" t="n"/>
      <c r="I85" s="75" t="n"/>
    </row>
    <row r="86" ht="15" customHeight="1">
      <c r="A86" s="73" t="n"/>
      <c r="B86" s="74" t="n"/>
      <c r="C86" s="74" t="n"/>
      <c r="D86" s="74" t="n"/>
      <c r="E86" s="74" t="n"/>
      <c r="F86" s="74" t="n"/>
      <c r="G86" s="74" t="n"/>
      <c r="H86" s="74" t="n"/>
      <c r="I86" s="75" t="n"/>
    </row>
    <row r="87" ht="15" customHeight="1">
      <c r="A87" s="73" t="n"/>
      <c r="B87" s="74" t="n"/>
      <c r="C87" s="74" t="n"/>
      <c r="D87" s="74" t="n"/>
      <c r="E87" s="74" t="n"/>
      <c r="F87" s="74" t="n"/>
      <c r="G87" s="74" t="n"/>
      <c r="H87" s="74" t="n"/>
      <c r="I87" s="75" t="n"/>
    </row>
    <row r="88" ht="15" customHeight="1">
      <c r="A88" s="73" t="n"/>
      <c r="B88" s="74" t="n"/>
      <c r="C88" s="74" t="n"/>
      <c r="D88" s="74" t="n"/>
      <c r="E88" s="74" t="n"/>
      <c r="F88" s="74" t="n"/>
      <c r="G88" s="74" t="n"/>
      <c r="H88" s="74" t="n"/>
      <c r="I88" s="75" t="n"/>
    </row>
    <row r="89" ht="15" customHeight="1">
      <c r="A89" s="73" t="n"/>
      <c r="B89" s="74" t="n"/>
      <c r="C89" s="74" t="n"/>
      <c r="D89" s="74" t="n"/>
      <c r="E89" s="74" t="n"/>
      <c r="F89" s="74" t="n"/>
      <c r="G89" s="74" t="n"/>
      <c r="H89" s="74" t="n"/>
      <c r="I89" s="75" t="n"/>
    </row>
    <row r="90" ht="15" customHeight="1">
      <c r="A90" s="73" t="n"/>
      <c r="B90" s="74" t="n"/>
      <c r="C90" s="74" t="n"/>
      <c r="D90" s="74" t="n"/>
      <c r="E90" s="74" t="n"/>
      <c r="F90" s="74" t="n"/>
      <c r="G90" s="74" t="n"/>
      <c r="H90" s="74" t="n"/>
      <c r="I90" s="75" t="n"/>
    </row>
    <row r="91" ht="15" customHeight="1">
      <c r="A91" s="73" t="n"/>
      <c r="B91" s="74" t="n"/>
      <c r="C91" s="74" t="n"/>
      <c r="D91" s="74" t="n"/>
      <c r="E91" s="74" t="n"/>
      <c r="F91" s="74" t="n"/>
      <c r="G91" s="74" t="n"/>
      <c r="H91" s="74" t="n"/>
      <c r="I91" s="75" t="n"/>
    </row>
    <row r="92" ht="15" customHeight="1">
      <c r="A92" s="73" t="n"/>
      <c r="B92" s="74" t="n"/>
      <c r="C92" s="74" t="n"/>
      <c r="D92" s="74" t="n"/>
      <c r="E92" s="74" t="n"/>
      <c r="F92" s="74" t="n"/>
      <c r="G92" s="74" t="n"/>
      <c r="H92" s="74" t="n"/>
      <c r="I92" s="75" t="n"/>
    </row>
    <row r="93" ht="15" customHeight="1">
      <c r="A93" s="73" t="n"/>
      <c r="B93" s="74" t="n"/>
      <c r="C93" s="74" t="n"/>
      <c r="D93" s="74" t="n"/>
      <c r="E93" s="74" t="n"/>
      <c r="F93" s="74" t="n"/>
      <c r="G93" s="74" t="n"/>
      <c r="H93" s="74" t="n"/>
      <c r="I93" s="75" t="n"/>
    </row>
    <row r="94" ht="15" customHeight="1">
      <c r="A94" s="73" t="n"/>
      <c r="B94" s="74" t="n"/>
      <c r="C94" s="74" t="n"/>
      <c r="D94" s="74" t="n"/>
      <c r="E94" s="74" t="n"/>
      <c r="F94" s="74" t="n"/>
      <c r="G94" s="74" t="n"/>
      <c r="H94" s="74" t="n"/>
      <c r="I94" s="75" t="n"/>
    </row>
    <row r="95" ht="15" customHeight="1">
      <c r="A95" s="73" t="n"/>
      <c r="B95" s="74" t="n"/>
      <c r="C95" s="74" t="n"/>
      <c r="D95" s="74" t="n"/>
      <c r="E95" s="74" t="n"/>
      <c r="F95" s="74" t="n"/>
      <c r="G95" s="74" t="n"/>
      <c r="H95" s="74" t="n"/>
      <c r="I95" s="75" t="n"/>
    </row>
    <row r="96" ht="15" customHeight="1">
      <c r="A96" s="73" t="n"/>
      <c r="B96" s="74" t="n"/>
      <c r="C96" s="74" t="n"/>
      <c r="D96" s="74" t="n"/>
      <c r="E96" s="74" t="n"/>
      <c r="F96" s="74" t="n"/>
      <c r="G96" s="74" t="n"/>
      <c r="H96" s="74" t="n"/>
      <c r="I96" s="75" t="n"/>
    </row>
    <row r="97" ht="15" customHeight="1">
      <c r="A97" s="73" t="n"/>
      <c r="B97" s="74" t="n"/>
      <c r="C97" s="74" t="n"/>
      <c r="D97" s="74" t="n"/>
      <c r="E97" s="74" t="n"/>
      <c r="F97" s="74" t="n"/>
      <c r="G97" s="74" t="n"/>
      <c r="H97" s="74" t="n"/>
      <c r="I97" s="75" t="n"/>
    </row>
    <row r="98" ht="15" customHeight="1">
      <c r="A98" s="73" t="n"/>
      <c r="B98" s="74" t="n"/>
      <c r="C98" s="74" t="n"/>
      <c r="D98" s="74" t="n"/>
      <c r="E98" s="74" t="n"/>
      <c r="F98" s="74" t="n"/>
      <c r="H98" s="74" t="n"/>
      <c r="I98" s="75" t="n"/>
    </row>
    <row r="99" ht="24.95" customFormat="1" customHeight="1" s="4">
      <c r="A99" s="73" t="n"/>
      <c r="B99" s="74" t="n"/>
      <c r="C99" s="74" t="n"/>
      <c r="D99" s="74" t="n"/>
      <c r="E99" s="74" t="n"/>
      <c r="F99" s="74" t="n"/>
      <c r="G99" s="74" t="n"/>
      <c r="H99" s="74" t="n"/>
      <c r="I99" s="75" t="n"/>
    </row>
    <row r="100" ht="15" customHeight="1">
      <c r="A100" s="73" t="n"/>
      <c r="B100" s="74" t="n"/>
      <c r="C100" s="74" t="n"/>
      <c r="D100" s="74" t="n"/>
      <c r="E100" s="74" t="n"/>
      <c r="F100" s="74" t="n"/>
      <c r="G100" s="74" t="n"/>
      <c r="H100" s="74" t="n"/>
      <c r="I100" s="75" t="n"/>
    </row>
    <row r="101" ht="15" customHeight="1">
      <c r="A101" s="73" t="n"/>
      <c r="B101" s="74" t="n"/>
      <c r="C101" s="74" t="n"/>
      <c r="D101" s="74" t="n"/>
      <c r="E101" s="74" t="n"/>
      <c r="F101" s="74" t="n"/>
      <c r="G101" s="74" t="n"/>
      <c r="H101" s="74" t="n"/>
      <c r="I101" s="75" t="n"/>
    </row>
    <row r="102" ht="15" customHeight="1">
      <c r="A102" s="73" t="n"/>
      <c r="B102" s="74" t="n"/>
      <c r="C102" s="74" t="n"/>
      <c r="D102" s="74" t="n"/>
      <c r="E102" s="74" t="n"/>
      <c r="F102" s="74" t="n"/>
      <c r="G102" s="74" t="n"/>
      <c r="H102" s="74" t="n"/>
      <c r="I102" s="75" t="n"/>
    </row>
    <row r="103" ht="15" customHeight="1">
      <c r="A103" s="73" t="n"/>
      <c r="B103" s="74" t="n"/>
      <c r="C103" s="74" t="n"/>
      <c r="D103" s="74" t="n"/>
      <c r="E103" s="74" t="n"/>
      <c r="F103" s="74" t="n"/>
      <c r="G103" s="74" t="n"/>
      <c r="H103" s="74" t="n"/>
      <c r="I103" s="75" t="n"/>
    </row>
    <row r="104" ht="15" customHeight="1">
      <c r="A104" s="73" t="n"/>
      <c r="B104" s="74" t="n"/>
      <c r="C104" s="74" t="n"/>
      <c r="D104" s="74" t="n"/>
      <c r="E104" s="74" t="n"/>
      <c r="F104" s="74" t="n"/>
      <c r="G104" s="74" t="n"/>
      <c r="H104" s="74" t="n"/>
      <c r="I104" s="75" t="n"/>
    </row>
    <row r="105" ht="15" customHeight="1">
      <c r="A105" s="73" t="n"/>
      <c r="B105" s="74" t="n"/>
      <c r="C105" s="74" t="n"/>
      <c r="D105" s="74" t="n"/>
      <c r="E105" s="74" t="n"/>
      <c r="F105" s="74" t="n"/>
      <c r="G105" s="74" t="n"/>
      <c r="H105" s="74" t="n"/>
      <c r="I105" s="75" t="n"/>
    </row>
    <row r="106" ht="15" customHeight="1">
      <c r="A106" s="73" t="n"/>
      <c r="B106" s="74" t="n"/>
      <c r="C106" s="74" t="n"/>
      <c r="D106" s="74" t="n"/>
      <c r="E106" s="74" t="n"/>
      <c r="F106" s="74" t="n"/>
      <c r="G106" s="74" t="n"/>
      <c r="H106" s="74" t="n"/>
      <c r="I106" s="75" t="n"/>
    </row>
    <row r="107" ht="15" customHeight="1">
      <c r="A107" s="73" t="n"/>
      <c r="B107" s="74" t="n"/>
      <c r="C107" s="74" t="n"/>
      <c r="D107" s="74" t="n"/>
      <c r="E107" s="74" t="n"/>
      <c r="F107" s="74" t="n"/>
      <c r="G107" s="74" t="n"/>
      <c r="H107" s="74" t="n"/>
      <c r="I107" s="75" t="n"/>
    </row>
    <row r="108" ht="15" customHeight="1">
      <c r="A108" s="73" t="n"/>
      <c r="B108" s="74" t="n"/>
      <c r="C108" s="74" t="n"/>
      <c r="D108" s="74" t="n"/>
      <c r="E108" s="74" t="n"/>
      <c r="F108" s="74" t="n"/>
      <c r="G108" s="74" t="n"/>
      <c r="H108" s="74" t="n"/>
      <c r="I108" s="75" t="n"/>
    </row>
    <row r="109" ht="15" customHeight="1">
      <c r="A109" s="73" t="n"/>
      <c r="B109" s="74" t="n"/>
      <c r="C109" s="74" t="n"/>
      <c r="D109" s="74" t="n"/>
      <c r="E109" s="74" t="n"/>
      <c r="F109" s="74" t="n"/>
      <c r="G109" s="74" t="n"/>
      <c r="H109" s="74" t="n"/>
      <c r="I109" s="75" t="n"/>
    </row>
    <row r="110" ht="15" customHeight="1">
      <c r="A110" s="73" t="n"/>
      <c r="B110" s="74" t="n"/>
      <c r="C110" s="74" t="n"/>
      <c r="D110" s="74" t="n"/>
      <c r="E110" s="74" t="n"/>
      <c r="F110" s="74" t="n"/>
      <c r="G110" s="74" t="n"/>
      <c r="H110" s="74" t="n"/>
      <c r="I110" s="75" t="n"/>
    </row>
    <row r="111" ht="15" customHeight="1">
      <c r="A111" s="73" t="n"/>
      <c r="B111" s="74" t="n"/>
      <c r="C111" s="74" t="n"/>
      <c r="D111" s="74" t="n"/>
      <c r="E111" s="74" t="n"/>
      <c r="F111" s="74" t="n"/>
      <c r="G111" s="74" t="n"/>
      <c r="H111" s="74" t="n"/>
      <c r="I111" s="75" t="n"/>
    </row>
    <row r="112" ht="15" customHeight="1">
      <c r="A112" s="73" t="n"/>
      <c r="B112" s="74" t="n"/>
      <c r="C112" s="74" t="n"/>
      <c r="D112" s="74" t="n"/>
      <c r="E112" s="74" t="n"/>
      <c r="F112" s="74" t="n"/>
      <c r="G112" s="74" t="n"/>
      <c r="H112" s="74" t="n"/>
      <c r="I112" s="75" t="n"/>
    </row>
    <row r="113" ht="15" customHeight="1">
      <c r="A113" s="73" t="n"/>
      <c r="B113" s="74" t="n"/>
      <c r="C113" s="74" t="n"/>
      <c r="D113" s="74" t="n"/>
      <c r="E113" s="74" t="n"/>
      <c r="F113" s="74" t="n"/>
      <c r="G113" s="74" t="n"/>
      <c r="H113" s="74" t="n"/>
      <c r="I113" s="75" t="n"/>
    </row>
    <row r="114" ht="15" customHeight="1" thickBot="1">
      <c r="A114" s="76" t="n"/>
      <c r="B114" s="77" t="n"/>
      <c r="C114" s="77" t="n"/>
      <c r="D114" s="77" t="n"/>
      <c r="E114" s="77" t="n"/>
      <c r="F114" s="77" t="n"/>
      <c r="G114" s="77" t="n"/>
      <c r="H114" s="77" t="n"/>
      <c r="I114" s="78" t="n"/>
    </row>
    <row r="115" ht="15" customHeight="1">
      <c r="A115" s="73" t="n"/>
      <c r="B115" s="74" t="n"/>
      <c r="C115" s="74" t="n"/>
      <c r="D115" s="74" t="n"/>
      <c r="E115" s="74" t="n"/>
      <c r="F115" s="74" t="n"/>
      <c r="G115" s="74" t="n"/>
      <c r="H115" s="74" t="n"/>
      <c r="I115" s="75" t="n"/>
    </row>
    <row r="116" ht="15" customHeight="1">
      <c r="A116" s="73" t="n"/>
      <c r="B116" s="74" t="n"/>
      <c r="C116" s="74" t="n"/>
      <c r="D116" s="74" t="n"/>
      <c r="E116" s="74" t="n"/>
      <c r="F116" s="74" t="n"/>
      <c r="G116" s="74" t="n"/>
      <c r="H116" s="74" t="n"/>
      <c r="I116" s="75" t="n"/>
    </row>
    <row r="117" ht="15" customHeight="1">
      <c r="A117" s="73" t="n"/>
      <c r="B117" s="74" t="n"/>
      <c r="C117" s="74" t="n"/>
      <c r="D117" s="74" t="n"/>
      <c r="E117" s="74" t="n"/>
      <c r="F117" s="74" t="n"/>
      <c r="G117" s="74" t="n"/>
      <c r="H117" s="74" t="n"/>
      <c r="I117" s="75" t="n"/>
    </row>
    <row r="118" ht="15" customHeight="1">
      <c r="A118" s="73" t="n"/>
      <c r="B118" s="74" t="n"/>
      <c r="C118" s="74" t="n"/>
      <c r="D118" s="74" t="n"/>
      <c r="E118" s="74" t="n"/>
      <c r="F118" s="74" t="n"/>
      <c r="G118" s="74" t="n"/>
      <c r="H118" s="74" t="n"/>
      <c r="I118" s="75" t="n"/>
    </row>
    <row r="119" ht="15" customHeight="1">
      <c r="A119" s="73" t="n"/>
      <c r="B119" s="74" t="n"/>
      <c r="C119" s="74" t="n"/>
      <c r="D119" s="74" t="n"/>
      <c r="E119" s="74" t="n"/>
      <c r="F119" s="74" t="n"/>
      <c r="G119" s="74" t="n"/>
      <c r="H119" s="74" t="n"/>
      <c r="I119" s="75" t="n"/>
    </row>
    <row r="120" ht="15" customHeight="1">
      <c r="A120" s="73" t="n"/>
      <c r="B120" s="74" t="n"/>
      <c r="C120" s="74" t="n"/>
      <c r="D120" s="74" t="n"/>
      <c r="E120" s="74" t="n"/>
      <c r="F120" s="74" t="n"/>
      <c r="G120" s="74" t="n"/>
      <c r="H120" s="74" t="n"/>
      <c r="I120" s="75" t="n"/>
    </row>
    <row r="121" ht="15" customHeight="1">
      <c r="A121" s="73" t="n"/>
      <c r="B121" s="74" t="n"/>
      <c r="C121" s="74" t="n"/>
      <c r="D121" s="74" t="n"/>
      <c r="E121" s="74" t="n"/>
      <c r="F121" s="74" t="n"/>
      <c r="G121" s="74" t="n"/>
      <c r="H121" s="74" t="n"/>
      <c r="I121" s="75" t="n"/>
    </row>
    <row r="122" ht="15" customHeight="1">
      <c r="A122" s="73" t="n"/>
      <c r="B122" s="74" t="n"/>
      <c r="C122" s="74" t="n"/>
      <c r="D122" s="74" t="n"/>
      <c r="E122" s="74" t="n"/>
      <c r="F122" s="74" t="n"/>
      <c r="G122" s="74" t="n"/>
      <c r="H122" s="74" t="n"/>
      <c r="I122" s="75" t="n"/>
    </row>
    <row r="123" ht="24.95" customHeight="1">
      <c r="A123" s="73" t="n"/>
      <c r="B123" s="74" t="n"/>
      <c r="C123" s="74" t="n"/>
      <c r="D123" s="74" t="n"/>
      <c r="E123" s="74" t="n"/>
      <c r="F123" s="74" t="n"/>
      <c r="G123" s="74" t="n"/>
      <c r="H123" s="74" t="n"/>
      <c r="I123" s="75" t="n"/>
    </row>
    <row r="124" ht="15" customHeight="1">
      <c r="A124" s="73" t="n"/>
      <c r="B124" s="74" t="n"/>
      <c r="C124" s="74" t="n"/>
      <c r="D124" s="74" t="n"/>
      <c r="E124" s="74" t="n"/>
      <c r="F124" s="74" t="n"/>
      <c r="G124" s="74" t="n"/>
      <c r="H124" s="74" t="n"/>
      <c r="I124" s="75" t="n"/>
    </row>
    <row r="125" ht="15" customHeight="1">
      <c r="A125" s="73" t="n"/>
      <c r="B125" s="74" t="n"/>
      <c r="C125" s="74" t="n"/>
      <c r="D125" s="74" t="n"/>
      <c r="E125" s="74" t="n"/>
      <c r="F125" s="74" t="n"/>
      <c r="G125" s="74" t="n"/>
      <c r="H125" s="74" t="n"/>
      <c r="I125" s="75" t="n"/>
    </row>
    <row r="126" ht="27.95" customHeight="1">
      <c r="A126" s="73" t="n"/>
      <c r="B126" s="74" t="n"/>
      <c r="C126" s="74" t="n"/>
      <c r="D126" s="74" t="n"/>
      <c r="E126" s="74" t="n"/>
      <c r="F126" s="74" t="n"/>
      <c r="G126" s="74" t="n"/>
      <c r="H126" s="74" t="n"/>
      <c r="I126" s="75" t="n"/>
    </row>
    <row r="127" ht="15" customHeight="1">
      <c r="A127" s="73" t="n"/>
      <c r="B127" s="74" t="n"/>
      <c r="C127" s="74" t="n"/>
      <c r="D127" s="74" t="n"/>
      <c r="E127" s="74" t="n"/>
      <c r="F127" s="74" t="n"/>
      <c r="G127" s="74" t="n"/>
      <c r="H127" s="74" t="n"/>
      <c r="I127" s="75" t="n"/>
    </row>
    <row r="128" ht="15" customHeight="1">
      <c r="A128" s="73" t="n"/>
      <c r="B128" s="74" t="n"/>
      <c r="C128" s="74" t="n"/>
      <c r="D128" s="74" t="n"/>
      <c r="E128" s="74" t="n"/>
      <c r="F128" s="74" t="n"/>
      <c r="G128" s="74" t="n"/>
      <c r="H128" s="74" t="n"/>
      <c r="I128" s="75" t="n"/>
    </row>
    <row r="129" ht="15" customHeight="1">
      <c r="A129" s="73" t="n"/>
      <c r="B129" s="74" t="n"/>
      <c r="C129" s="74" t="n"/>
      <c r="D129" s="74" t="n"/>
      <c r="E129" s="74" t="n"/>
      <c r="F129" s="74" t="n"/>
      <c r="G129" s="74" t="n"/>
      <c r="H129" s="74" t="n"/>
      <c r="I129" s="75" t="n"/>
    </row>
    <row r="130" ht="15" customHeight="1">
      <c r="A130" s="73" t="n"/>
      <c r="B130" s="74" t="n"/>
      <c r="C130" s="74" t="n"/>
      <c r="D130" s="74" t="n"/>
      <c r="E130" s="74" t="n"/>
      <c r="F130" s="74" t="n"/>
      <c r="G130" s="74" t="n"/>
      <c r="H130" s="74" t="n"/>
      <c r="I130" s="75" t="n"/>
    </row>
    <row r="131" ht="15" customHeight="1">
      <c r="A131" s="73" t="n"/>
      <c r="B131" s="74" t="n"/>
      <c r="C131" s="74" t="n"/>
      <c r="D131" s="74" t="n"/>
      <c r="E131" s="74" t="n"/>
      <c r="F131" s="74" t="n"/>
      <c r="G131" s="74" t="n"/>
      <c r="H131" s="74" t="n"/>
      <c r="I131" s="75" t="n"/>
    </row>
    <row r="132" ht="15" customHeight="1">
      <c r="A132" s="73" t="n"/>
      <c r="B132" s="74" t="n"/>
      <c r="C132" s="74" t="n"/>
      <c r="D132" s="74" t="n"/>
      <c r="E132" s="74" t="n"/>
      <c r="F132" s="74" t="n"/>
      <c r="G132" s="74" t="n"/>
      <c r="H132" s="74" t="n"/>
      <c r="I132" s="75" t="n"/>
    </row>
    <row r="133" ht="15" customHeight="1">
      <c r="A133" s="73" t="n"/>
      <c r="B133" s="74" t="n"/>
      <c r="C133" s="74" t="n"/>
      <c r="D133" s="74" t="n"/>
      <c r="E133" s="74" t="n"/>
      <c r="F133" s="74" t="n"/>
      <c r="G133" s="74" t="n"/>
      <c r="H133" s="74" t="n"/>
      <c r="I133" s="75" t="n"/>
    </row>
    <row r="134" ht="15" customHeight="1">
      <c r="A134" s="73" t="n"/>
      <c r="B134" s="74" t="n"/>
      <c r="C134" s="74" t="n"/>
      <c r="D134" s="74" t="n"/>
      <c r="E134" s="74" t="n"/>
      <c r="F134" s="74" t="n"/>
      <c r="G134" s="74" t="n"/>
      <c r="H134" s="74" t="n"/>
      <c r="I134" s="75" t="n"/>
    </row>
    <row r="135" ht="15" customHeight="1">
      <c r="A135" s="73" t="n"/>
      <c r="B135" s="74" t="n"/>
      <c r="C135" s="74" t="n"/>
      <c r="D135" s="74" t="n"/>
      <c r="E135" s="74" t="n"/>
      <c r="F135" s="74" t="n"/>
      <c r="G135" s="74" t="n"/>
      <c r="H135" s="74" t="n"/>
      <c r="I135" s="75" t="n"/>
    </row>
    <row r="136" ht="15" customHeight="1">
      <c r="A136" s="73" t="n"/>
      <c r="B136" s="74" t="n"/>
      <c r="C136" s="74" t="n"/>
      <c r="D136" s="74" t="n"/>
      <c r="E136" s="74" t="n"/>
      <c r="F136" s="74" t="n"/>
      <c r="G136" s="74" t="n"/>
      <c r="H136" s="74" t="n"/>
      <c r="I136" s="75" t="n"/>
    </row>
    <row r="137" ht="15" customHeight="1">
      <c r="A137" s="73" t="n"/>
      <c r="B137" s="74" t="n"/>
      <c r="C137" s="74" t="n"/>
      <c r="D137" s="74" t="n"/>
      <c r="E137" s="74" t="n"/>
      <c r="F137" s="74" t="n"/>
      <c r="G137" s="74" t="n"/>
      <c r="H137" s="74" t="n"/>
      <c r="I137" s="75" t="n"/>
    </row>
    <row r="138" ht="15" customHeight="1">
      <c r="A138" s="73" t="n"/>
      <c r="B138" s="74" t="n"/>
      <c r="C138" s="74" t="n"/>
      <c r="D138" s="74" t="n"/>
      <c r="E138" s="74" t="n"/>
      <c r="F138" s="74" t="n"/>
      <c r="G138" s="74" t="n"/>
      <c r="H138" s="74" t="n"/>
      <c r="I138" s="75" t="n"/>
    </row>
    <row r="139" ht="15" customHeight="1" thickBot="1">
      <c r="A139" s="73" t="n"/>
      <c r="B139" s="74" t="n"/>
      <c r="C139" s="74" t="n"/>
      <c r="D139" s="74" t="n"/>
      <c r="E139" s="74" t="n"/>
      <c r="F139" s="74" t="n"/>
      <c r="G139" s="74" t="n"/>
      <c r="H139" s="74" t="n"/>
      <c r="I139" s="75" t="n"/>
      <c r="J139" s="8" t="n"/>
    </row>
    <row r="140" ht="15" customHeight="1">
      <c r="A140" s="73" t="n"/>
      <c r="B140" s="74" t="n"/>
      <c r="C140" s="74" t="n"/>
      <c r="D140" s="74" t="n"/>
      <c r="E140" s="74" t="n"/>
      <c r="F140" s="74" t="n"/>
      <c r="G140" s="74" t="n"/>
      <c r="H140" s="74" t="n"/>
      <c r="I140" s="75" t="n"/>
    </row>
    <row r="141" ht="15" customHeight="1">
      <c r="A141" s="73" t="n"/>
      <c r="B141" s="74" t="n"/>
      <c r="C141" s="74" t="n"/>
      <c r="D141" s="74" t="n"/>
      <c r="E141" s="74" t="n"/>
      <c r="F141" s="74" t="n"/>
      <c r="G141" s="74" t="n"/>
      <c r="H141" s="74" t="n"/>
      <c r="I141" s="75" t="n"/>
    </row>
    <row r="142" ht="15" customHeight="1">
      <c r="A142" s="73" t="n"/>
      <c r="B142" s="74" t="n"/>
      <c r="C142" s="74" t="n"/>
      <c r="D142" s="74" t="n"/>
      <c r="E142" s="74" t="n"/>
      <c r="F142" s="74" t="n"/>
      <c r="G142" s="74" t="n"/>
      <c r="H142" s="74" t="n"/>
      <c r="I142" s="75" t="n"/>
    </row>
    <row r="143" ht="15" customHeight="1">
      <c r="A143" s="73" t="n"/>
      <c r="B143" s="74" t="n"/>
      <c r="C143" s="74" t="n"/>
      <c r="D143" s="74" t="n"/>
      <c r="E143" s="74" t="n"/>
      <c r="F143" s="74" t="n"/>
      <c r="G143" s="74" t="n"/>
      <c r="H143" s="74" t="n"/>
      <c r="I143" s="75" t="n"/>
    </row>
    <row r="144" ht="15" customHeight="1">
      <c r="A144" s="73" t="n"/>
      <c r="B144" s="74" t="n"/>
      <c r="C144" s="74" t="n"/>
      <c r="D144" s="74" t="n"/>
      <c r="E144" s="74" t="n"/>
      <c r="F144" s="74" t="n"/>
      <c r="G144" s="74" t="n"/>
      <c r="H144" s="74" t="n"/>
      <c r="I144" s="75" t="n"/>
    </row>
    <row r="145" ht="15" customHeight="1">
      <c r="B145" s="74" t="n"/>
      <c r="C145" s="74" t="n"/>
      <c r="D145" s="74" t="n"/>
      <c r="E145" s="74" t="n"/>
      <c r="F145" s="74" t="n"/>
      <c r="G145" s="74" t="n"/>
      <c r="H145" s="74" t="n"/>
      <c r="I145" s="75" t="n"/>
    </row>
    <row r="146" ht="15.95" customHeight="1">
      <c r="A146" s="73" t="n"/>
      <c r="B146" s="74" t="n"/>
      <c r="C146" s="74" t="n"/>
      <c r="D146" s="74" t="n"/>
      <c r="E146" s="74" t="n"/>
      <c r="F146" s="74" t="n"/>
      <c r="G146" s="74" t="n"/>
      <c r="H146" s="74" t="n"/>
      <c r="I146" s="75" t="n"/>
    </row>
    <row r="147" ht="30.75" customHeight="1">
      <c r="A147" s="218" t="n"/>
      <c r="E147" s="220" t="n"/>
      <c r="I147" s="271"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A181" s="64" t="n"/>
      <c r="I181" s="65" t="n"/>
    </row>
    <row r="182">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c r="A200" s="64" t="n"/>
      <c r="I200" s="65" t="n"/>
    </row>
    <row r="201">
      <c r="A201" s="64" t="n"/>
      <c r="I201" s="65" t="n"/>
    </row>
    <row r="202">
      <c r="A202" s="64" t="n"/>
      <c r="I202" s="65" t="n"/>
    </row>
    <row r="203">
      <c r="A203" s="64" t="n"/>
      <c r="I203" s="65" t="n"/>
    </row>
    <row r="204">
      <c r="A204" s="64" t="n"/>
      <c r="I204" s="65" t="n"/>
    </row>
    <row r="205">
      <c r="A205" s="64" t="n"/>
      <c r="I205" s="65" t="n"/>
    </row>
    <row r="206">
      <c r="A206" s="64" t="n"/>
      <c r="I206" s="65" t="n"/>
    </row>
    <row r="207">
      <c r="A207" s="64" t="n"/>
      <c r="I207" s="65" t="n"/>
    </row>
    <row r="208">
      <c r="A208" s="64" t="n"/>
      <c r="I208" s="65" t="n"/>
    </row>
    <row r="209">
      <c r="A209" s="64" t="n"/>
      <c r="I209" s="65" t="n"/>
    </row>
    <row r="210">
      <c r="A210" s="64" t="n"/>
      <c r="I210" s="65" t="n"/>
    </row>
  </sheetData>
  <mergeCells count="40">
    <mergeCell ref="A48:B48"/>
    <mergeCell ref="B47:C47"/>
    <mergeCell ref="D13:F13"/>
    <mergeCell ref="G13:I13"/>
    <mergeCell ref="A75:I75"/>
    <mergeCell ref="B8:D8"/>
    <mergeCell ref="A66:I66"/>
    <mergeCell ref="A147:D147"/>
    <mergeCell ref="B46:C46"/>
    <mergeCell ref="D48:I48"/>
    <mergeCell ref="A55:I55"/>
    <mergeCell ref="A12:I12"/>
    <mergeCell ref="D47:I47"/>
    <mergeCell ref="B56:I56"/>
    <mergeCell ref="A5:I5"/>
    <mergeCell ref="E147:I147"/>
    <mergeCell ref="A51:I54"/>
    <mergeCell ref="B9:D9"/>
    <mergeCell ref="B60:I60"/>
    <mergeCell ref="C62:I62"/>
    <mergeCell ref="B57:I57"/>
    <mergeCell ref="B6:D6"/>
    <mergeCell ref="C58:I58"/>
    <mergeCell ref="A13:C13"/>
    <mergeCell ref="A68:I68"/>
    <mergeCell ref="A10:I10"/>
    <mergeCell ref="C64:I64"/>
    <mergeCell ref="A1:I4"/>
    <mergeCell ref="A67:I67"/>
    <mergeCell ref="B7:D7"/>
    <mergeCell ref="C65:I65"/>
    <mergeCell ref="C63:I63"/>
    <mergeCell ref="A49:I49"/>
    <mergeCell ref="A11:I11"/>
    <mergeCell ref="D46:I46"/>
    <mergeCell ref="C59:I59"/>
    <mergeCell ref="B45:C45"/>
    <mergeCell ref="A70:I70"/>
    <mergeCell ref="D45:I45"/>
    <mergeCell ref="A61:I61"/>
  </mergeCells>
  <printOptions horizontalCentered="1"/>
  <pageMargins left="0.2362204724409449" right="0.2362204724409449" top="0.7480314960629921" bottom="0.7480314960629921" header="0.3149606299212598" footer="0.3149606299212598"/>
  <pageSetup orientation="portrait" paperSize="9" scale="34" fitToHeight="0"/>
  <rowBreaks count="2" manualBreakCount="2">
    <brk id="74" min="0" max="8" man="1"/>
    <brk id="212" min="0" max="8" man="1"/>
  </rowBreaks>
</worksheet>
</file>

<file path=xl/worksheets/sheet2.xml><?xml version="1.0" encoding="utf-8"?>
<worksheet xmlns="http://schemas.openxmlformats.org/spreadsheetml/2006/main">
  <sheetPr>
    <outlinePr summaryBelow="1" summaryRight="1"/>
    <pageSetUpPr fitToPage="1"/>
  </sheetPr>
  <dimension ref="A1:S212"/>
  <sheetViews>
    <sheetView view="pageBreakPreview" topLeftCell="A14" zoomScale="40" zoomScaleNormal="100" zoomScaleSheetLayoutView="40" workbookViewId="0">
      <selection activeCell="D41" sqref="D41"/>
    </sheetView>
  </sheetViews>
  <sheetFormatPr baseColWidth="8" defaultColWidth="9.140625" defaultRowHeight="14.45"/>
  <cols>
    <col width="62.140625" bestFit="1" customWidth="1" style="232" min="1" max="1"/>
    <col width="41.42578125" bestFit="1" customWidth="1" style="232" min="2" max="2"/>
    <col width="16" customWidth="1" style="232" min="3" max="3"/>
    <col width="28.710937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6384"/>
  </cols>
  <sheetData>
    <row r="1">
      <c r="A1" s="243"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170" t="inlineStr">
        <is>
          <t>TCD DAILY FIELD REPORT</t>
        </is>
      </c>
      <c r="B5" s="275" t="n"/>
      <c r="C5" s="275" t="n"/>
      <c r="D5" s="275" t="n"/>
      <c r="E5" s="275" t="n"/>
      <c r="F5" s="275" t="n"/>
      <c r="G5" s="275" t="n"/>
      <c r="H5" s="275" t="n"/>
      <c r="I5" s="276" t="n"/>
    </row>
    <row r="6" ht="23.1" customHeight="1">
      <c r="A6" s="49" t="inlineStr">
        <is>
          <t>Project Name:</t>
        </is>
      </c>
      <c r="B6" s="173" t="inlineStr">
        <is>
          <t>Batavia Station Square</t>
        </is>
      </c>
      <c r="E6" s="173" t="n"/>
      <c r="F6" s="51" t="n"/>
      <c r="G6" s="51" t="n"/>
      <c r="H6" s="52" t="inlineStr">
        <is>
          <t>Date:</t>
        </is>
      </c>
      <c r="I6" s="53" t="n">
        <v>45873</v>
      </c>
    </row>
    <row r="7" ht="23.1" customHeight="1">
      <c r="A7" s="49" t="inlineStr">
        <is>
          <t>Project Location:</t>
        </is>
      </c>
      <c r="B7" s="173" t="inlineStr">
        <is>
          <t>Geraldton</t>
        </is>
      </c>
      <c r="E7" s="173" t="n"/>
      <c r="F7" s="51" t="n"/>
      <c r="G7" s="51" t="n"/>
      <c r="H7" s="54" t="inlineStr">
        <is>
          <t>Day:</t>
        </is>
      </c>
      <c r="I7" s="55">
        <f>I6</f>
        <v/>
      </c>
    </row>
    <row r="8" ht="23.1" customHeight="1">
      <c r="A8" s="49" t="inlineStr">
        <is>
          <t>Project Number:</t>
        </is>
      </c>
      <c r="B8" s="173" t="inlineStr">
        <is>
          <t>TCD-1816</t>
        </is>
      </c>
      <c r="E8" s="173" t="n"/>
      <c r="F8" s="51" t="n"/>
      <c r="G8" s="51" t="n"/>
      <c r="H8" s="54" t="inlineStr">
        <is>
          <t>Start:</t>
        </is>
      </c>
      <c r="I8" s="56" t="n">
        <v>0.2916666666666667</v>
      </c>
    </row>
    <row r="9" ht="23.1" customHeight="1">
      <c r="A9" s="49" t="inlineStr">
        <is>
          <t>Report Number:</t>
        </is>
      </c>
      <c r="B9" s="159" t="n">
        <v>70</v>
      </c>
      <c r="C9" s="273" t="n"/>
      <c r="D9" s="273" t="n"/>
      <c r="E9" s="160" t="n"/>
      <c r="F9" s="58" t="n"/>
      <c r="G9" s="58" t="n"/>
      <c r="H9" s="54" t="inlineStr">
        <is>
          <t>Finish:</t>
        </is>
      </c>
      <c r="I9" s="56" t="n">
        <v>0.7083333333333334</v>
      </c>
    </row>
    <row r="10" ht="24.95" customHeight="1">
      <c r="A10" s="230" t="inlineStr">
        <is>
          <t>WEATHER &amp; GROUND CONDITIONS</t>
        </is>
      </c>
      <c r="B10" s="275" t="n"/>
      <c r="C10" s="275" t="n"/>
      <c r="D10" s="275" t="n"/>
      <c r="E10" s="275" t="n"/>
      <c r="F10" s="275" t="n"/>
      <c r="G10" s="275" t="n"/>
      <c r="H10" s="275" t="n"/>
      <c r="I10" s="277" t="n"/>
    </row>
    <row r="11" ht="22.5" customHeight="1">
      <c r="A11" s="287" t="inlineStr">
        <is>
          <t xml:space="preserve">Temperature: 18 degrees    Wind 12 km/h WSW  Precip: 0.4mm (15.8mm over the weekend) </t>
        </is>
      </c>
      <c r="B11" s="275" t="n"/>
      <c r="C11" s="275" t="n"/>
      <c r="D11" s="275" t="n"/>
      <c r="E11" s="275" t="n"/>
      <c r="F11" s="275" t="n"/>
      <c r="G11" s="275" t="n"/>
      <c r="H11" s="275" t="n"/>
      <c r="I11" s="277" t="n"/>
    </row>
    <row r="12" ht="24.95" customHeight="1">
      <c r="A12" s="231" t="inlineStr">
        <is>
          <t>PERSONNEL</t>
        </is>
      </c>
      <c r="B12" s="278" t="n"/>
      <c r="C12" s="278" t="n"/>
      <c r="D12" s="278" t="n"/>
      <c r="E12" s="278" t="n"/>
      <c r="F12" s="278" t="n"/>
      <c r="G12" s="278" t="n"/>
      <c r="H12" s="278" t="n"/>
      <c r="I12" s="279" t="n"/>
    </row>
    <row r="13" ht="23.1" customHeight="1">
      <c r="A13" s="183" t="inlineStr">
        <is>
          <t>TCD Indirects</t>
        </is>
      </c>
      <c r="B13" s="275" t="n"/>
      <c r="C13" s="276" t="n"/>
      <c r="D13" s="184" t="inlineStr">
        <is>
          <t>TCD Directs</t>
        </is>
      </c>
      <c r="E13" s="275" t="n"/>
      <c r="F13" s="276" t="n"/>
      <c r="G13" s="184" t="inlineStr">
        <is>
          <t>Subcontractors</t>
        </is>
      </c>
      <c r="H13" s="275" t="n"/>
      <c r="I13" s="276" t="n"/>
    </row>
    <row r="14" ht="23.1" customHeight="1">
      <c r="A14" s="183" t="inlineStr">
        <is>
          <t xml:space="preserve"> Name</t>
        </is>
      </c>
      <c r="B14" s="184" t="inlineStr">
        <is>
          <t>Position</t>
        </is>
      </c>
      <c r="C14" s="39" t="inlineStr">
        <is>
          <t>Hours</t>
        </is>
      </c>
      <c r="D14" s="184" t="inlineStr">
        <is>
          <t xml:space="preserve"> Name</t>
        </is>
      </c>
      <c r="E14" s="184" t="inlineStr">
        <is>
          <t>Position</t>
        </is>
      </c>
      <c r="F14" s="39" t="inlineStr">
        <is>
          <t>Hours</t>
        </is>
      </c>
      <c r="G14" s="184" t="inlineStr">
        <is>
          <t xml:space="preserve"> Name</t>
        </is>
      </c>
      <c r="H14" s="184" t="inlineStr">
        <is>
          <t>Position</t>
        </is>
      </c>
      <c r="I14" s="185" t="inlineStr">
        <is>
          <t>Hours</t>
        </is>
      </c>
    </row>
    <row r="15" ht="22.5" customHeight="1">
      <c r="A15" s="25" t="inlineStr">
        <is>
          <t>WATKINS, Steve</t>
        </is>
      </c>
      <c r="B15" s="26" t="inlineStr">
        <is>
          <t>Civil Manager</t>
        </is>
      </c>
      <c r="C15" s="40" t="n"/>
      <c r="D15" s="41" t="n"/>
      <c r="E15" s="41" t="n"/>
      <c r="F15" s="26" t="n"/>
      <c r="G15" s="42" t="inlineStr">
        <is>
          <t>Khegan Brockman</t>
        </is>
      </c>
      <c r="H15" s="26" t="inlineStr">
        <is>
          <t>Labourer</t>
        </is>
      </c>
      <c r="I15" s="28" t="n">
        <v>10</v>
      </c>
    </row>
    <row r="16" ht="22.5" customHeight="1">
      <c r="A16" s="25" t="inlineStr">
        <is>
          <t>GRIFFITHS, Daniel</t>
        </is>
      </c>
      <c r="B16" s="26" t="inlineStr">
        <is>
          <t>Project Manager</t>
        </is>
      </c>
      <c r="C16" s="27" t="n">
        <v>10</v>
      </c>
      <c r="D16" s="43" t="n"/>
      <c r="E16" s="43" t="n"/>
      <c r="F16" s="26" t="n"/>
      <c r="G16" s="42" t="inlineStr">
        <is>
          <t>Laurent Levy</t>
        </is>
      </c>
      <c r="H16" s="26" t="inlineStr">
        <is>
          <t>Operator</t>
        </is>
      </c>
      <c r="I16" s="28" t="n"/>
    </row>
    <row r="17" ht="22.5" customHeight="1">
      <c r="A17" s="25" t="inlineStr">
        <is>
          <t>O"SHEA, John</t>
        </is>
      </c>
      <c r="B17" s="26" t="inlineStr">
        <is>
          <t>Senior Project Engineer</t>
        </is>
      </c>
      <c r="C17" s="27" t="n"/>
      <c r="D17" s="43" t="n"/>
      <c r="E17" s="43" t="n"/>
      <c r="F17" s="26" t="n"/>
      <c r="G17" s="42" t="inlineStr">
        <is>
          <t>Daniel McAuffile</t>
        </is>
      </c>
      <c r="H17" s="26" t="inlineStr">
        <is>
          <t>Operator</t>
        </is>
      </c>
      <c r="I17" s="28" t="n">
        <v>10</v>
      </c>
    </row>
    <row r="18" ht="22.5" customHeight="1">
      <c r="A18" s="25" t="inlineStr">
        <is>
          <t>GRIFFITHS, Ashley</t>
        </is>
      </c>
      <c r="B18" s="26" t="inlineStr">
        <is>
          <t>Supervisor</t>
        </is>
      </c>
      <c r="C18" s="27" t="n"/>
      <c r="D18" s="41" t="n"/>
      <c r="E18" s="41" t="n"/>
      <c r="F18" s="26" t="n"/>
      <c r="G18" s="42" t="inlineStr">
        <is>
          <t>O'Brian, Jamie</t>
        </is>
      </c>
      <c r="H18" s="26" t="inlineStr">
        <is>
          <t>Operator</t>
        </is>
      </c>
      <c r="I18" s="28" t="n">
        <v>10</v>
      </c>
    </row>
    <row r="19" ht="22.5" customHeight="1">
      <c r="A19" s="25" t="inlineStr">
        <is>
          <t>LOW, June</t>
        </is>
      </c>
      <c r="B19" s="26" t="inlineStr">
        <is>
          <t>HSET</t>
        </is>
      </c>
      <c r="C19" s="27" t="n"/>
      <c r="D19" s="41" t="n"/>
      <c r="E19" s="41" t="n"/>
      <c r="F19" s="26" t="n"/>
      <c r="G19" s="42" t="inlineStr">
        <is>
          <t>Simpson, Josh</t>
        </is>
      </c>
      <c r="H19" s="26" t="inlineStr">
        <is>
          <t>Operator</t>
        </is>
      </c>
      <c r="I19" s="28" t="n">
        <v>10</v>
      </c>
    </row>
    <row r="20" ht="22.5" customHeight="1">
      <c r="A20" s="25" t="inlineStr">
        <is>
          <t>SKINNER, Jamie</t>
        </is>
      </c>
      <c r="B20" s="26" t="inlineStr">
        <is>
          <t>Supervisor</t>
        </is>
      </c>
      <c r="C20" s="27" t="n">
        <v>10</v>
      </c>
      <c r="D20" s="41" t="n"/>
      <c r="E20" s="41" t="n"/>
      <c r="F20" s="26" t="n"/>
      <c r="G20" s="42" t="inlineStr">
        <is>
          <t>O'Reilly, James</t>
        </is>
      </c>
      <c r="H20" s="26" t="inlineStr">
        <is>
          <t>Operator</t>
        </is>
      </c>
      <c r="I20" s="28" t="n">
        <v>10</v>
      </c>
    </row>
    <row r="21" ht="22.5" customHeight="1">
      <c r="A21" s="25" t="n"/>
      <c r="B21" s="26" t="n"/>
      <c r="C21" s="27" t="n"/>
      <c r="D21" s="41" t="n"/>
      <c r="E21" s="41" t="n"/>
      <c r="F21" s="26" t="n"/>
      <c r="G21" s="42" t="inlineStr">
        <is>
          <t>Chester, Matt</t>
        </is>
      </c>
      <c r="H21" s="26" t="inlineStr">
        <is>
          <t>Gas Fitter</t>
        </is>
      </c>
      <c r="I21" s="28" t="n"/>
    </row>
    <row r="22" ht="22.5" customHeight="1">
      <c r="A22" s="25" t="n"/>
      <c r="B22" s="26" t="n"/>
      <c r="C22" s="27" t="n"/>
      <c r="D22" s="41" t="n"/>
      <c r="E22" s="41" t="n"/>
      <c r="F22" s="26" t="n"/>
      <c r="G22" s="42" t="inlineStr">
        <is>
          <t>Mounsey, Matt</t>
        </is>
      </c>
      <c r="H22" s="26" t="inlineStr">
        <is>
          <t>Gas Fitter</t>
        </is>
      </c>
      <c r="I22" s="28" t="n"/>
    </row>
    <row r="23" ht="22.5" customHeight="1">
      <c r="A23" s="25" t="n"/>
      <c r="B23" s="26" t="n"/>
      <c r="C23" s="27" t="n"/>
      <c r="D23" s="41" t="n"/>
      <c r="E23" s="41" t="n"/>
      <c r="F23" s="26" t="n"/>
      <c r="G23" s="42" t="inlineStr">
        <is>
          <t>Herring, Levin</t>
        </is>
      </c>
      <c r="H23" s="26" t="inlineStr">
        <is>
          <t>Gas Fitter</t>
        </is>
      </c>
      <c r="I23" s="28" t="n"/>
    </row>
    <row r="24" ht="22.5" customHeight="1">
      <c r="A24" s="25" t="n"/>
      <c r="B24" s="26" t="n"/>
      <c r="C24" s="27" t="n"/>
      <c r="D24" s="41" t="n"/>
      <c r="E24" s="41" t="n"/>
      <c r="F24" s="26" t="n"/>
      <c r="G24" s="26" t="n"/>
      <c r="H24" s="26" t="n"/>
      <c r="I24" s="26" t="n"/>
    </row>
    <row r="25" ht="22.5" customHeight="1">
      <c r="A25" s="25" t="n"/>
      <c r="B25" s="26" t="n"/>
      <c r="C25" s="27" t="n"/>
      <c r="D25" s="41" t="n"/>
      <c r="E25" s="41" t="n"/>
      <c r="F25" s="26" t="n"/>
      <c r="G25" s="26" t="n"/>
      <c r="H25" s="26" t="n"/>
      <c r="I25" s="26" t="n"/>
    </row>
    <row r="26" ht="23.1" customHeight="1">
      <c r="A26" s="239" t="inlineStr">
        <is>
          <t xml:space="preserve">Total Indirect Personnel onsite: </t>
        </is>
      </c>
      <c r="B26" s="45">
        <f>COUNTIF(C15:C25,"&gt;0")</f>
        <v/>
      </c>
      <c r="C26" s="41" t="n"/>
      <c r="D26" s="41" t="n"/>
      <c r="E26" s="41" t="n"/>
      <c r="F26" s="26" t="n"/>
      <c r="G26" s="194" t="inlineStr">
        <is>
          <t>Total Subcontractor on-site:</t>
        </is>
      </c>
      <c r="H26" s="46">
        <f>COUNTIF(I15:I23,"&gt;0")</f>
        <v/>
      </c>
      <c r="I26" s="28" t="n"/>
    </row>
    <row r="27" ht="23.1" customHeight="1">
      <c r="A27" s="239" t="inlineStr">
        <is>
          <t xml:space="preserve">Total Indirect Personnel hours: </t>
        </is>
      </c>
      <c r="B27" s="45">
        <f>SUM(C15:C25)</f>
        <v/>
      </c>
      <c r="C27" s="27" t="n"/>
      <c r="D27" s="41" t="n"/>
      <c r="E27" s="41" t="n"/>
      <c r="F27" s="26" t="n"/>
      <c r="G27" s="194" t="inlineStr">
        <is>
          <t>Total Subcontractor hours:</t>
        </is>
      </c>
      <c r="H27" s="46">
        <f>SUM(I15:I23)</f>
        <v/>
      </c>
      <c r="I27" s="28" t="n"/>
    </row>
    <row r="28" ht="23.1" customHeight="1">
      <c r="A28" s="239" t="inlineStr">
        <is>
          <t xml:space="preserve">Total Direct Personnel onsite:  </t>
        </is>
      </c>
      <c r="B28" s="45">
        <f>COUNTIF(F15:F29,"&gt;0")</f>
        <v/>
      </c>
      <c r="C28" s="45" t="n"/>
      <c r="D28" s="41" t="n"/>
      <c r="E28" s="41" t="n"/>
      <c r="F28" s="47" t="n"/>
      <c r="G28" s="194" t="n"/>
      <c r="H28" s="46" t="n"/>
      <c r="I28" s="238" t="n"/>
    </row>
    <row r="29" ht="23.1" customHeight="1">
      <c r="A29" s="239" t="inlineStr">
        <is>
          <t xml:space="preserve">Total Direct Personnel hours: </t>
        </is>
      </c>
      <c r="B29" s="45">
        <f>SUM(F15:F29)</f>
        <v/>
      </c>
      <c r="C29" s="45" t="n"/>
      <c r="D29" s="45" t="n"/>
      <c r="E29" s="45" t="n"/>
      <c r="F29" s="45" t="n"/>
      <c r="G29" s="45" t="n"/>
      <c r="H29" s="45" t="n"/>
      <c r="I29" s="238" t="n"/>
    </row>
    <row r="30" ht="24.95" customHeight="1">
      <c r="A30" s="10" t="inlineStr">
        <is>
          <t>PLANT &amp; EQUIPMENT</t>
        </is>
      </c>
      <c r="B30" s="1" t="n"/>
      <c r="C30" s="1" t="n"/>
      <c r="D30" s="1" t="n"/>
      <c r="E30" s="1" t="n"/>
      <c r="F30" s="1" t="n"/>
      <c r="G30" s="1" t="n"/>
      <c r="H30" s="1" t="n"/>
      <c r="I30" s="2" t="n"/>
    </row>
    <row r="31" ht="23.1" customHeight="1">
      <c r="A31" s="183" t="inlineStr">
        <is>
          <t>Plant</t>
        </is>
      </c>
      <c r="B31" s="184" t="inlineStr">
        <is>
          <t>ID</t>
        </is>
      </c>
      <c r="C31" s="184" t="inlineStr">
        <is>
          <t>Hours</t>
        </is>
      </c>
      <c r="D31" s="184" t="inlineStr">
        <is>
          <t xml:space="preserve"> Vehicles</t>
        </is>
      </c>
      <c r="E31" s="184" t="inlineStr">
        <is>
          <t>ID</t>
        </is>
      </c>
      <c r="F31" s="184" t="inlineStr">
        <is>
          <t>QTY</t>
        </is>
      </c>
      <c r="G31" s="23" t="inlineStr">
        <is>
          <t>Site Facilities</t>
        </is>
      </c>
      <c r="H31" s="23" t="inlineStr">
        <is>
          <t>ID</t>
        </is>
      </c>
      <c r="I31" s="24" t="inlineStr">
        <is>
          <t>Qty</t>
        </is>
      </c>
    </row>
    <row r="32" ht="22.5" customHeight="1">
      <c r="A32" s="25" t="inlineStr">
        <is>
          <t>Komatsu WA320</t>
        </is>
      </c>
      <c r="B32" s="26" t="inlineStr">
        <is>
          <t>FWL18</t>
        </is>
      </c>
      <c r="C32" s="26" t="n">
        <v>10</v>
      </c>
      <c r="D32" s="27" t="inlineStr">
        <is>
          <t>Hilux</t>
        </is>
      </c>
      <c r="E32" s="27" t="inlineStr">
        <is>
          <t>DLV90</t>
        </is>
      </c>
      <c r="F32" s="27" t="n">
        <v>1</v>
      </c>
      <c r="G32" s="27" t="inlineStr">
        <is>
          <t>Office 40ft</t>
        </is>
      </c>
      <c r="H32" s="27" t="n">
        <v>9255540</v>
      </c>
      <c r="I32" s="28" t="n">
        <v>1</v>
      </c>
    </row>
    <row r="33" ht="22.5" customHeight="1">
      <c r="A33" s="25" t="inlineStr">
        <is>
          <t>Wacker Neuson DPU</t>
        </is>
      </c>
      <c r="B33" s="26" t="inlineStr">
        <is>
          <t>DPC15</t>
        </is>
      </c>
      <c r="C33" s="26" t="n">
        <v>10</v>
      </c>
      <c r="D33" s="27" t="inlineStr">
        <is>
          <t>6 Wheel Tipper</t>
        </is>
      </c>
      <c r="E33" s="27" t="inlineStr">
        <is>
          <t>AMG04</t>
        </is>
      </c>
      <c r="F33" s="27" t="n"/>
      <c r="G33" s="27" t="inlineStr">
        <is>
          <t>Sea Container 20ft</t>
        </is>
      </c>
      <c r="H33" s="26" t="n">
        <v>951200</v>
      </c>
      <c r="I33" s="28" t="n">
        <v>1</v>
      </c>
    </row>
    <row r="34" ht="22.5" customHeight="1">
      <c r="A34" s="29" t="inlineStr">
        <is>
          <t>Positrak</t>
        </is>
      </c>
      <c r="B34" s="27" t="inlineStr">
        <is>
          <t>AMG 025</t>
        </is>
      </c>
      <c r="C34" s="26" t="n"/>
      <c r="D34" s="27" t="n"/>
      <c r="E34" s="26" t="n"/>
      <c r="F34" s="27" t="n"/>
      <c r="G34" s="27" t="inlineStr">
        <is>
          <t>Site Sentry Tower</t>
        </is>
      </c>
      <c r="H34" s="27" t="n"/>
      <c r="I34" s="28" t="n">
        <v>2</v>
      </c>
    </row>
    <row r="35" ht="22.5" customHeight="1">
      <c r="A35" s="29" t="inlineStr">
        <is>
          <t>Watercart</t>
        </is>
      </c>
      <c r="B35" s="27" t="inlineStr">
        <is>
          <t>WC04</t>
        </is>
      </c>
      <c r="C35" s="26" t="n">
        <v>2</v>
      </c>
      <c r="D35" s="27" t="n"/>
      <c r="E35" s="27" t="n"/>
      <c r="F35" s="27" t="n"/>
      <c r="G35" s="27" t="inlineStr">
        <is>
          <t>Skip Bin</t>
        </is>
      </c>
      <c r="H35" s="27" t="n"/>
      <c r="I35" s="28" t="n">
        <v>1</v>
      </c>
    </row>
    <row r="36" ht="22.5" customHeight="1">
      <c r="A36" s="29" t="inlineStr">
        <is>
          <t>8T Excavator</t>
        </is>
      </c>
      <c r="B36" s="30" t="inlineStr">
        <is>
          <t>AMG 014</t>
        </is>
      </c>
      <c r="C36" s="26" t="n">
        <v>6</v>
      </c>
      <c r="D36" s="27" t="n"/>
      <c r="E36" s="27" t="n"/>
      <c r="F36" s="27" t="n"/>
      <c r="G36" s="27" t="inlineStr">
        <is>
          <t>Hydrocarbon Bund</t>
        </is>
      </c>
      <c r="H36" s="27" t="n"/>
      <c r="I36" s="28" t="n">
        <v>1</v>
      </c>
    </row>
    <row r="37" ht="22.5" customHeight="1">
      <c r="A37" s="27" t="inlineStr">
        <is>
          <t>6 Wheel Tipper</t>
        </is>
      </c>
      <c r="B37" s="27" t="inlineStr">
        <is>
          <t>AMG 008</t>
        </is>
      </c>
      <c r="C37" s="27" t="n"/>
      <c r="D37" s="27" t="n"/>
      <c r="E37" s="27" t="n"/>
      <c r="F37" s="27" t="n"/>
      <c r="G37" s="27" t="inlineStr">
        <is>
          <t>Temp Fence</t>
        </is>
      </c>
      <c r="H37" s="26" t="n"/>
      <c r="I37" s="28" t="n">
        <v>1</v>
      </c>
    </row>
    <row r="38" ht="23.45" customHeight="1">
      <c r="A38" s="29" t="inlineStr">
        <is>
          <t>Padfoot/ Smooth Drum Roller</t>
        </is>
      </c>
      <c r="B38" s="27" t="inlineStr">
        <is>
          <t>RR 03</t>
        </is>
      </c>
      <c r="C38" s="26" t="n">
        <v>5</v>
      </c>
      <c r="D38" s="27" t="n"/>
      <c r="E38" s="27" t="n"/>
      <c r="F38" s="27" t="n"/>
      <c r="G38" s="31" t="n"/>
      <c r="H38" s="31" t="n"/>
      <c r="I38" s="32" t="n"/>
    </row>
    <row r="39" ht="23.45" customHeight="1">
      <c r="A39" s="29" t="inlineStr">
        <is>
          <t>Positrak SSL</t>
        </is>
      </c>
      <c r="B39" s="27" t="inlineStr">
        <is>
          <t>SSL08</t>
        </is>
      </c>
      <c r="C39" s="26" t="n">
        <v>6</v>
      </c>
      <c r="D39" s="27" t="n"/>
      <c r="E39" s="27" t="n"/>
      <c r="F39" s="27" t="n"/>
      <c r="G39" s="31" t="n"/>
      <c r="H39" s="31" t="n"/>
      <c r="I39" s="32" t="n"/>
    </row>
    <row r="40" ht="22.5" customHeight="1">
      <c r="A40" s="29" t="inlineStr">
        <is>
          <t>Grader</t>
        </is>
      </c>
      <c r="B40" s="27" t="inlineStr">
        <is>
          <t>SLS01</t>
        </is>
      </c>
      <c r="C40" s="26" t="n">
        <v>5</v>
      </c>
      <c r="D40" s="27" t="n"/>
      <c r="E40" s="27" t="n"/>
      <c r="F40" s="27" t="n"/>
      <c r="G40" s="27" t="n"/>
      <c r="H40" s="26" t="n"/>
      <c r="I40" s="28" t="n"/>
    </row>
    <row r="41" ht="22.5" customHeight="1">
      <c r="A41" s="29" t="inlineStr">
        <is>
          <t>5t Excavator</t>
        </is>
      </c>
      <c r="B41" s="27" t="inlineStr">
        <is>
          <t>AMG 007</t>
        </is>
      </c>
      <c r="C41" s="26" t="n"/>
      <c r="D41" s="27" t="n"/>
      <c r="E41" s="27" t="n"/>
      <c r="F41" s="27" t="n"/>
      <c r="G41" s="27" t="n"/>
      <c r="H41" s="26" t="n"/>
      <c r="I41" s="28" t="n"/>
    </row>
    <row r="42" ht="22.5" customHeight="1">
      <c r="A42" s="29" t="inlineStr">
        <is>
          <t>1.5 Excavator</t>
        </is>
      </c>
      <c r="B42" s="27" t="inlineStr">
        <is>
          <t>AMG 009</t>
        </is>
      </c>
      <c r="C42" s="26" t="n"/>
      <c r="D42" s="27" t="n"/>
      <c r="E42" s="27" t="n"/>
      <c r="F42" s="27" t="n"/>
      <c r="G42" s="27" t="n"/>
      <c r="H42" s="26" t="n"/>
      <c r="I42" s="28" t="n"/>
    </row>
    <row r="43" ht="22.5" customHeight="1">
      <c r="A43" s="29" t="inlineStr">
        <is>
          <t>5t Excavator</t>
        </is>
      </c>
      <c r="B43" s="27" t="inlineStr">
        <is>
          <t>AA 25</t>
        </is>
      </c>
      <c r="C43" s="26" t="n">
        <v>5</v>
      </c>
      <c r="D43" s="27" t="n"/>
      <c r="E43" s="27" t="n"/>
      <c r="F43" s="27" t="n"/>
      <c r="G43" s="27" t="n"/>
      <c r="H43" s="26" t="n"/>
      <c r="I43" s="28" t="n"/>
    </row>
    <row r="44" ht="23.45" customHeight="1">
      <c r="A44" s="29" t="n"/>
      <c r="B44" s="27" t="n"/>
      <c r="C44" s="26" t="n"/>
      <c r="D44" s="31" t="n"/>
      <c r="E44" s="31" t="n"/>
      <c r="F44" s="31" t="n"/>
      <c r="G44" s="31" t="n"/>
      <c r="H44" s="31" t="n"/>
      <c r="I44" s="32" t="n"/>
    </row>
    <row r="45" ht="18" customHeight="1">
      <c r="A45" s="33" t="n">
        <v>0</v>
      </c>
      <c r="B45" s="186" t="inlineStr">
        <is>
          <t xml:space="preserve">Repairs Required </t>
        </is>
      </c>
      <c r="C45" s="276" t="n"/>
      <c r="D45" s="233" t="inlineStr">
        <is>
          <t>N/A</t>
        </is>
      </c>
      <c r="E45" s="275" t="n"/>
      <c r="F45" s="275" t="n"/>
      <c r="G45" s="275" t="n"/>
      <c r="H45" s="275" t="n"/>
      <c r="I45" s="277" t="n"/>
    </row>
    <row r="46" ht="18" customHeight="1">
      <c r="A46" s="34" t="n">
        <v>0</v>
      </c>
      <c r="B46" s="186" t="inlineStr">
        <is>
          <t>Scheduled Service</t>
        </is>
      </c>
      <c r="C46" s="276" t="n"/>
      <c r="D46" s="233" t="inlineStr">
        <is>
          <t>N/A</t>
        </is>
      </c>
      <c r="E46" s="275" t="n"/>
      <c r="F46" s="275" t="n"/>
      <c r="G46" s="275" t="n"/>
      <c r="H46" s="275" t="n"/>
      <c r="I46" s="277" t="n"/>
    </row>
    <row r="47" ht="18" customHeight="1">
      <c r="A47" s="35" t="n">
        <v>0</v>
      </c>
      <c r="B47" s="186" t="inlineStr">
        <is>
          <t>Repairs required but operable</t>
        </is>
      </c>
      <c r="C47" s="276" t="n"/>
      <c r="D47" s="233" t="inlineStr">
        <is>
          <t>N/A</t>
        </is>
      </c>
      <c r="E47" s="275" t="n"/>
      <c r="F47" s="275" t="n"/>
      <c r="G47" s="275" t="n"/>
      <c r="H47" s="275" t="n"/>
      <c r="I47" s="277" t="n"/>
    </row>
    <row r="48" ht="23.1" customHeight="1">
      <c r="A48" s="239" t="inlineStr">
        <is>
          <t xml:space="preserve">Total Plant and Equipment Hours: </t>
        </is>
      </c>
      <c r="B48" s="276" t="n"/>
      <c r="C48" s="195">
        <f>SUM(C32:C44)</f>
        <v/>
      </c>
      <c r="D48" s="185" t="n"/>
      <c r="E48" s="275" t="n"/>
      <c r="F48" s="275" t="n"/>
      <c r="G48" s="275" t="n"/>
      <c r="H48" s="275" t="n"/>
      <c r="I48" s="277" t="n"/>
    </row>
    <row r="49" ht="24.95" customHeight="1">
      <c r="A49" s="230" t="inlineStr">
        <is>
          <t>DELAYS-OPPORTUNITY</t>
        </is>
      </c>
      <c r="B49" s="275" t="n"/>
      <c r="C49" s="275" t="n"/>
      <c r="D49" s="275" t="n"/>
      <c r="E49" s="275" t="n"/>
      <c r="F49" s="275" t="n"/>
      <c r="G49" s="275" t="n"/>
      <c r="H49" s="275" t="n"/>
      <c r="I49" s="277" t="n"/>
    </row>
    <row r="50" ht="20.1" customHeight="1">
      <c r="A50" s="5" t="n"/>
      <c r="B50" s="6" t="n"/>
      <c r="C50" s="6" t="n"/>
      <c r="D50" s="6" t="n"/>
      <c r="E50" s="6" t="n"/>
      <c r="F50" s="6" t="n"/>
      <c r="G50" s="6" t="n"/>
      <c r="H50" s="6" t="n"/>
      <c r="I50" s="7" t="n"/>
    </row>
    <row r="51">
      <c r="A51" s="240" t="n"/>
      <c r="B51" s="278" t="n"/>
      <c r="C51" s="278" t="n"/>
      <c r="D51" s="278" t="n"/>
      <c r="E51" s="278" t="n"/>
      <c r="F51" s="278" t="n"/>
      <c r="G51" s="278" t="n"/>
      <c r="H51" s="278" t="n"/>
      <c r="I51" s="279" t="n"/>
    </row>
    <row r="52">
      <c r="A52" s="270" t="n"/>
      <c r="I52" s="271" t="n"/>
    </row>
    <row r="53">
      <c r="A53" s="270" t="n"/>
      <c r="I53" s="271" t="n"/>
    </row>
    <row r="54" ht="13.5" customHeight="1" thickBot="1">
      <c r="A54" s="280" t="n"/>
      <c r="B54" s="281" t="n"/>
      <c r="C54" s="281" t="n"/>
      <c r="D54" s="281" t="n"/>
      <c r="E54" s="281" t="n"/>
      <c r="F54" s="281" t="n"/>
      <c r="G54" s="281" t="n"/>
      <c r="H54" s="281" t="n"/>
      <c r="I54" s="282" t="n"/>
    </row>
    <row r="55" ht="24.95" customHeight="1">
      <c r="A55" s="236" t="inlineStr">
        <is>
          <t>HSEQ MESSAGES</t>
        </is>
      </c>
      <c r="B55" s="283" t="n"/>
      <c r="C55" s="283" t="n"/>
      <c r="D55" s="283" t="n"/>
      <c r="E55" s="283" t="n"/>
      <c r="F55" s="283" t="n"/>
      <c r="G55" s="283" t="n"/>
      <c r="H55" s="283" t="n"/>
      <c r="I55" s="284" t="n"/>
    </row>
    <row r="56" ht="18" customHeight="1">
      <c r="A56" s="18" t="inlineStr">
        <is>
          <t>TCD - Monthly Safety Focus:</t>
        </is>
      </c>
      <c r="B56" s="211" t="inlineStr">
        <is>
          <t>Speaking up</t>
        </is>
      </c>
      <c r="C56" s="275" t="n"/>
      <c r="D56" s="275" t="n"/>
      <c r="E56" s="275" t="n"/>
      <c r="F56" s="275" t="n"/>
      <c r="G56" s="275" t="n"/>
      <c r="H56" s="275" t="n"/>
      <c r="I56" s="276" t="n"/>
    </row>
    <row r="57" ht="23.1" customHeight="1">
      <c r="A57" s="18" t="inlineStr">
        <is>
          <t>TCD - Daily Safety Focus:</t>
        </is>
      </c>
      <c r="B57" s="212" t="inlineStr">
        <is>
          <t>Plant on Plant Interaction</t>
        </is>
      </c>
      <c r="C57" s="275" t="n"/>
      <c r="D57" s="275" t="n"/>
      <c r="E57" s="275" t="n"/>
      <c r="F57" s="275" t="n"/>
      <c r="G57" s="275" t="n"/>
      <c r="H57" s="275" t="n"/>
      <c r="I57" s="277" t="n"/>
    </row>
    <row r="58" ht="18" customHeight="1">
      <c r="A58" s="19" t="inlineStr">
        <is>
          <t xml:space="preserve">Hazards Reported: </t>
        </is>
      </c>
      <c r="B58" s="20" t="inlineStr">
        <is>
          <t>Nil</t>
        </is>
      </c>
      <c r="C58" s="212" t="n"/>
      <c r="D58" s="275" t="n"/>
      <c r="E58" s="275" t="n"/>
      <c r="F58" s="275" t="n"/>
      <c r="G58" s="275" t="n"/>
      <c r="H58" s="275" t="n"/>
      <c r="I58" s="277" t="n"/>
    </row>
    <row r="59" ht="18" customHeight="1">
      <c r="A59" s="19" t="inlineStr">
        <is>
          <t>Incident Free Days</t>
        </is>
      </c>
      <c r="B59" s="20">
        <f>B9+2</f>
        <v/>
      </c>
      <c r="C59" s="211" t="n"/>
      <c r="D59" s="275" t="n"/>
      <c r="E59" s="275" t="n"/>
      <c r="F59" s="275" t="n"/>
      <c r="G59" s="275" t="n"/>
      <c r="H59" s="275" t="n"/>
      <c r="I59" s="276" t="n"/>
    </row>
    <row r="60" ht="18" customHeight="1">
      <c r="A60" s="21" t="inlineStr">
        <is>
          <t>Other Notes</t>
        </is>
      </c>
      <c r="B60" s="241" t="n"/>
      <c r="C60" s="278" t="n"/>
      <c r="D60" s="278" t="n"/>
      <c r="E60" s="278" t="n"/>
      <c r="F60" s="278" t="n"/>
      <c r="G60" s="278" t="n"/>
      <c r="H60" s="278" t="n"/>
      <c r="I60" s="279" t="n"/>
    </row>
    <row r="61" ht="20.25" customHeight="1">
      <c r="A61" s="230" t="inlineStr">
        <is>
          <t xml:space="preserve">INCIDENTS &amp; REPORTS </t>
        </is>
      </c>
      <c r="B61" s="275" t="n"/>
      <c r="C61" s="275" t="n"/>
      <c r="D61" s="275" t="n"/>
      <c r="E61" s="275" t="n"/>
      <c r="F61" s="275" t="n"/>
      <c r="G61" s="275" t="n"/>
      <c r="H61" s="275" t="n"/>
      <c r="I61" s="277" t="n"/>
    </row>
    <row r="62" ht="24.95" customHeight="1">
      <c r="A62" s="11" t="n"/>
      <c r="B62" s="184" t="inlineStr">
        <is>
          <t>QTY</t>
        </is>
      </c>
      <c r="C62" s="238" t="inlineStr">
        <is>
          <t>Comments</t>
        </is>
      </c>
      <c r="D62" s="275" t="n"/>
      <c r="E62" s="275" t="n"/>
      <c r="F62" s="275" t="n"/>
      <c r="G62" s="275" t="n"/>
      <c r="H62" s="275" t="n"/>
      <c r="I62" s="277" t="n"/>
    </row>
    <row r="63" ht="24.95" customHeight="1">
      <c r="A63" s="13" t="inlineStr">
        <is>
          <t>INCIDENT</t>
        </is>
      </c>
      <c r="B63" s="184" t="n">
        <v>0</v>
      </c>
      <c r="C63" s="233" t="inlineStr">
        <is>
          <t>NA</t>
        </is>
      </c>
      <c r="D63" s="275" t="n"/>
      <c r="E63" s="275" t="n"/>
      <c r="F63" s="275" t="n"/>
      <c r="G63" s="275" t="n"/>
      <c r="H63" s="275" t="n"/>
      <c r="I63" s="277" t="n"/>
    </row>
    <row r="64" ht="24.95" customHeight="1">
      <c r="A64" s="14" t="inlineStr">
        <is>
          <t>IR</t>
        </is>
      </c>
      <c r="B64" s="15" t="n">
        <v>0</v>
      </c>
      <c r="C64" s="234" t="inlineStr">
        <is>
          <t>NA</t>
        </is>
      </c>
      <c r="D64" s="278" t="n"/>
      <c r="E64" s="278" t="n"/>
      <c r="F64" s="278" t="n"/>
      <c r="G64" s="278" t="n"/>
      <c r="H64" s="278" t="n"/>
      <c r="I64" s="279" t="n"/>
    </row>
    <row r="65" ht="24.95" customHeight="1" thickBot="1">
      <c r="A65" s="16" t="inlineStr">
        <is>
          <t>NCR</t>
        </is>
      </c>
      <c r="B65" s="17" t="n">
        <v>0</v>
      </c>
      <c r="C65" s="235" t="inlineStr">
        <is>
          <t>NA</t>
        </is>
      </c>
      <c r="D65" s="285" t="n"/>
      <c r="E65" s="285" t="n"/>
      <c r="F65" s="285" t="n"/>
      <c r="G65" s="285" t="n"/>
      <c r="H65" s="285" t="n"/>
      <c r="I65" s="286" t="n"/>
    </row>
    <row r="66" ht="20.25" customHeight="1">
      <c r="A66" s="236" t="inlineStr">
        <is>
          <t>COMMUNICATIONS</t>
        </is>
      </c>
      <c r="B66" s="283" t="n"/>
      <c r="C66" s="283" t="n"/>
      <c r="D66" s="283" t="n"/>
      <c r="E66" s="283" t="n"/>
      <c r="F66" s="283" t="n"/>
      <c r="G66" s="283" t="n"/>
      <c r="H66" s="283" t="n"/>
      <c r="I66" s="284" t="n"/>
    </row>
    <row r="67" ht="24.95" customHeight="1">
      <c r="A67" s="237" t="inlineStr">
        <is>
          <t>TGS MB1119-05 Scheme D implemented</t>
        </is>
      </c>
      <c r="B67" s="275" t="n"/>
      <c r="C67" s="275" t="n"/>
      <c r="D67" s="275" t="n"/>
      <c r="E67" s="275" t="n"/>
      <c r="F67" s="275" t="n"/>
      <c r="G67" s="275" t="n"/>
      <c r="H67" s="275" t="n"/>
      <c r="I67" s="277" t="n"/>
    </row>
    <row r="68" ht="24.95" customHeight="1">
      <c r="A68" s="237" t="n"/>
      <c r="B68" s="275" t="n"/>
      <c r="C68" s="275" t="n"/>
      <c r="D68" s="275" t="n"/>
      <c r="E68" s="275" t="n"/>
      <c r="F68" s="275" t="n"/>
      <c r="G68" s="275" t="n"/>
      <c r="H68" s="275" t="n"/>
      <c r="I68" s="277" t="n"/>
    </row>
    <row r="69" ht="24.95" customHeight="1">
      <c r="A69" s="227" t="n"/>
      <c r="B69" s="228" t="n"/>
      <c r="C69" s="228" t="n"/>
      <c r="D69" s="228" t="n"/>
      <c r="E69" s="228" t="n"/>
      <c r="F69" s="228" t="n"/>
      <c r="G69" s="228" t="n"/>
      <c r="H69" s="228" t="n"/>
      <c r="I69" s="229" t="n"/>
    </row>
    <row r="70" ht="24.95" customHeight="1">
      <c r="A70" s="230" t="inlineStr">
        <is>
          <t>PRODUCTION (CONSTRUCTION STATUS &amp; PROGRESS)</t>
        </is>
      </c>
      <c r="B70" s="275" t="n"/>
      <c r="C70" s="275" t="n"/>
      <c r="D70" s="275" t="n"/>
      <c r="E70" s="275" t="n"/>
      <c r="F70" s="275" t="n"/>
      <c r="G70" s="275" t="n"/>
      <c r="H70" s="275" t="n"/>
      <c r="I70" s="277" t="n"/>
    </row>
    <row r="71" ht="24.95" customHeight="1">
      <c r="A71" s="66" t="inlineStr">
        <is>
          <t>Ongoing cutting of Drainage pits</t>
        </is>
      </c>
      <c r="B71" s="62" t="n"/>
      <c r="C71" s="62" t="n"/>
      <c r="D71" s="62" t="n"/>
      <c r="E71" s="62" t="n"/>
      <c r="F71" s="62" t="n"/>
      <c r="G71" s="62" t="n"/>
      <c r="H71" s="62" t="n"/>
      <c r="I71" s="63" t="n"/>
    </row>
    <row r="72" ht="24.95" customHeight="1">
      <c r="A72" s="66" t="inlineStr">
        <is>
          <t>Drillers onsite Baily Street</t>
        </is>
      </c>
      <c r="B72" s="62" t="n"/>
      <c r="C72" s="62" t="n"/>
      <c r="D72" s="62" t="n"/>
      <c r="E72" s="62" t="n"/>
      <c r="F72" s="62" t="n"/>
      <c r="G72" s="62" t="n"/>
      <c r="H72" s="62" t="n"/>
      <c r="I72" s="63" t="n"/>
    </row>
    <row r="73" ht="24.95" customHeight="1">
      <c r="A73" s="66" t="inlineStr">
        <is>
          <t>Install Flushing/ Air Valves to Mainline</t>
        </is>
      </c>
      <c r="B73" s="62" t="n"/>
      <c r="C73" s="62" t="n"/>
      <c r="D73" s="62" t="n"/>
      <c r="E73" s="62" t="n"/>
      <c r="F73" s="62" t="n"/>
      <c r="G73" s="62" t="n"/>
      <c r="H73" s="62" t="n"/>
      <c r="I73" s="63" t="n"/>
    </row>
    <row r="74" ht="24.95" customHeight="1">
      <c r="A74" s="66" t="inlineStr">
        <is>
          <t>Rough Set Pits to irrigation mainline</t>
        </is>
      </c>
      <c r="B74" s="62" t="n"/>
      <c r="C74" s="62" t="n"/>
      <c r="D74" s="62" t="n"/>
      <c r="E74" s="62" t="n"/>
      <c r="F74" s="62" t="n"/>
      <c r="G74" s="62" t="n"/>
      <c r="H74" s="62" t="n"/>
      <c r="I74" s="63" t="n"/>
    </row>
    <row r="75" ht="24.95" customHeight="1">
      <c r="A75" s="66" t="inlineStr">
        <is>
          <t>Install headwall in sump</t>
        </is>
      </c>
      <c r="B75" s="62" t="n"/>
      <c r="C75" s="62" t="n"/>
      <c r="D75" s="62" t="n"/>
      <c r="E75" s="62" t="n"/>
      <c r="F75" s="62" t="n"/>
      <c r="G75" s="62" t="n"/>
      <c r="H75" s="62" t="n"/>
      <c r="I75" s="63" t="n"/>
    </row>
    <row r="76" ht="24.95" customHeight="1">
      <c r="A76" s="66" t="inlineStr">
        <is>
          <t>Ongoing Subgrade Prep</t>
        </is>
      </c>
      <c r="B76" s="62" t="n"/>
      <c r="C76" s="62" t="n"/>
      <c r="D76" s="62" t="n"/>
      <c r="E76" s="62" t="n"/>
      <c r="F76" s="62" t="n"/>
      <c r="G76" s="62" t="n"/>
      <c r="H76" s="62" t="n"/>
      <c r="I76" s="63" t="n"/>
    </row>
    <row r="77" ht="25.5" customHeight="1" thickBot="1">
      <c r="A77" s="231" t="inlineStr">
        <is>
          <t>Photos</t>
        </is>
      </c>
      <c r="B77" s="278" t="n"/>
      <c r="C77" s="278" t="n"/>
      <c r="D77" s="278" t="n"/>
      <c r="E77" s="278" t="n"/>
      <c r="F77" s="278" t="n"/>
      <c r="G77" s="278" t="n"/>
      <c r="H77" s="278" t="n"/>
      <c r="I77" s="279" t="n"/>
    </row>
    <row r="78" ht="22.5" customHeight="1">
      <c r="A78" s="70" t="n"/>
      <c r="B78" s="71" t="n"/>
      <c r="C78" s="71" t="n"/>
      <c r="D78" s="71" t="n"/>
      <c r="E78" s="71" t="n"/>
      <c r="F78" s="71" t="n"/>
      <c r="G78" s="71" t="n"/>
      <c r="H78" s="71" t="n"/>
      <c r="I78" s="72" t="n"/>
    </row>
    <row r="79" ht="22.5" customHeight="1">
      <c r="A79" s="73" t="n"/>
      <c r="B79" s="74" t="n"/>
      <c r="C79" s="74" t="n"/>
      <c r="D79" s="74" t="n"/>
      <c r="E79" s="74" t="n"/>
      <c r="F79" s="74" t="n"/>
      <c r="G79" s="74" t="n"/>
      <c r="H79" s="74" t="n"/>
      <c r="I79" s="75" t="n"/>
    </row>
    <row r="80" ht="15" customHeight="1">
      <c r="A80" s="73" t="n"/>
      <c r="B80" s="74" t="n"/>
      <c r="C80" s="74" t="n"/>
      <c r="D80" s="74" t="n"/>
      <c r="E80" s="74" t="n"/>
      <c r="F80" s="74" t="n"/>
      <c r="G80" s="74" t="n"/>
      <c r="H80" s="74" t="n"/>
      <c r="I80" s="75" t="n"/>
    </row>
    <row r="81" ht="15" customHeight="1">
      <c r="A81" s="73" t="n"/>
      <c r="B81" s="74" t="n"/>
      <c r="C81" s="74" t="n"/>
      <c r="D81" s="74" t="n"/>
      <c r="E81" s="74" t="n"/>
      <c r="F81" s="74" t="n"/>
      <c r="G81" s="74" t="n"/>
      <c r="H81" s="74" t="n"/>
      <c r="I81" s="75" t="n"/>
    </row>
    <row r="82" ht="15" customHeight="1">
      <c r="A82" s="73" t="n"/>
      <c r="B82" s="74" t="n"/>
      <c r="C82" s="74" t="n"/>
      <c r="D82" s="74" t="n"/>
      <c r="E82" s="74" t="n"/>
      <c r="F82" s="74" t="n"/>
      <c r="G82" s="74" t="n"/>
      <c r="H82" s="74" t="n"/>
      <c r="I82" s="75" t="n"/>
    </row>
    <row r="83" ht="15" customHeight="1">
      <c r="A83" s="73" t="n"/>
      <c r="B83" s="74" t="n"/>
      <c r="C83" s="74" t="n"/>
      <c r="D83" s="74" t="n"/>
      <c r="E83" s="74" t="n"/>
      <c r="F83" s="74" t="n"/>
      <c r="G83" s="74" t="n"/>
      <c r="H83" s="74" t="n"/>
      <c r="I83" s="75" t="n"/>
    </row>
    <row r="84" ht="15" customHeight="1">
      <c r="A84" s="73" t="n"/>
      <c r="B84" s="74" t="n"/>
      <c r="C84" s="74" t="n"/>
      <c r="D84" s="74" t="n"/>
      <c r="E84" s="74" t="n"/>
      <c r="F84" s="74" t="n"/>
      <c r="G84" s="74" t="n"/>
      <c r="H84" s="74" t="n"/>
      <c r="I84" s="75" t="n"/>
    </row>
    <row r="85" ht="15" customHeight="1">
      <c r="A85" s="73" t="n"/>
      <c r="B85" s="74" t="n"/>
      <c r="C85" s="74" t="n"/>
      <c r="D85" s="74" t="n"/>
      <c r="E85" s="74" t="n"/>
      <c r="F85" s="74" t="n"/>
      <c r="G85" s="74" t="n"/>
      <c r="H85" s="74" t="n"/>
      <c r="I85" s="75" t="n"/>
    </row>
    <row r="86" ht="15" customHeight="1">
      <c r="A86" s="73" t="n"/>
      <c r="B86" s="74" t="n"/>
      <c r="C86" s="74" t="n"/>
      <c r="D86" s="74" t="n"/>
      <c r="E86" s="74" t="n"/>
      <c r="F86" s="74" t="n"/>
      <c r="G86" s="74" t="n"/>
      <c r="H86" s="74" t="n"/>
      <c r="I86" s="75" t="n"/>
    </row>
    <row r="87" ht="15" customHeight="1">
      <c r="A87" s="73" t="n"/>
      <c r="B87" s="74" t="n"/>
      <c r="C87" s="74" t="n"/>
      <c r="D87" s="74" t="n"/>
      <c r="E87" s="74" t="n"/>
      <c r="F87" s="74" t="n"/>
      <c r="G87" s="74" t="n"/>
      <c r="H87" s="74" t="n"/>
      <c r="I87" s="75" t="n"/>
    </row>
    <row r="88" ht="15" customHeight="1">
      <c r="A88" s="73" t="n"/>
      <c r="B88" s="74" t="n"/>
      <c r="C88" s="74" t="n"/>
      <c r="D88" s="74" t="n"/>
      <c r="E88" s="74" t="n"/>
      <c r="F88" s="74" t="n"/>
      <c r="G88" s="74" t="n"/>
      <c r="H88" s="74" t="n"/>
      <c r="I88" s="75" t="n"/>
    </row>
    <row r="89" ht="15" customHeight="1">
      <c r="A89" s="73" t="n"/>
      <c r="B89" s="74" t="n"/>
      <c r="C89" s="74" t="n"/>
      <c r="D89" s="74" t="n"/>
      <c r="E89" s="74" t="n"/>
      <c r="F89" s="74" t="n"/>
      <c r="G89" s="74" t="n"/>
      <c r="H89" s="74" t="n"/>
      <c r="I89" s="75" t="n"/>
    </row>
    <row r="90" ht="15" customHeight="1">
      <c r="A90" s="73" t="n"/>
      <c r="B90" s="74" t="n"/>
      <c r="C90" s="74" t="n"/>
      <c r="D90" s="74" t="n"/>
      <c r="E90" s="74" t="n"/>
      <c r="F90" s="74" t="n"/>
      <c r="G90" s="74" t="n"/>
      <c r="H90" s="74" t="n"/>
      <c r="I90" s="75" t="n"/>
    </row>
    <row r="91" ht="15" customHeight="1">
      <c r="A91" s="73" t="n"/>
      <c r="B91" s="74" t="n"/>
      <c r="C91" s="74" t="n"/>
      <c r="D91" s="74" t="n"/>
      <c r="E91" s="74" t="n"/>
      <c r="F91" s="74" t="n"/>
      <c r="G91" s="74" t="n"/>
      <c r="H91" s="74" t="n"/>
      <c r="I91" s="75" t="n"/>
    </row>
    <row r="92" ht="15" customHeight="1">
      <c r="A92" s="73" t="n"/>
      <c r="B92" s="74" t="n"/>
      <c r="C92" s="74" t="n"/>
      <c r="D92" s="74" t="n"/>
      <c r="E92" s="74" t="n"/>
      <c r="F92" s="74" t="n"/>
      <c r="G92" s="74" t="n"/>
      <c r="H92" s="74" t="n"/>
      <c r="I92" s="75" t="n"/>
    </row>
    <row r="93" ht="15" customHeight="1">
      <c r="A93" s="73" t="n"/>
      <c r="B93" s="74" t="n"/>
      <c r="C93" s="74" t="n"/>
      <c r="D93" s="74" t="n"/>
      <c r="E93" s="74" t="n"/>
      <c r="F93" s="74" t="n"/>
      <c r="G93" s="74" t="n"/>
      <c r="H93" s="74" t="n"/>
      <c r="I93" s="75" t="n"/>
    </row>
    <row r="94" ht="15" customHeight="1">
      <c r="A94" s="73" t="n"/>
      <c r="B94" s="74" t="n"/>
      <c r="C94" s="74" t="n"/>
      <c r="D94" s="74" t="n"/>
      <c r="E94" s="74" t="n"/>
      <c r="F94" s="74" t="n"/>
      <c r="G94" s="74" t="n"/>
      <c r="H94" s="74" t="n"/>
      <c r="I94" s="75" t="n"/>
    </row>
    <row r="95" ht="15" customHeight="1">
      <c r="A95" s="73" t="n"/>
      <c r="B95" s="74" t="n"/>
      <c r="C95" s="74" t="n"/>
      <c r="D95" s="74" t="n"/>
      <c r="E95" s="74" t="n"/>
      <c r="F95" s="74" t="n"/>
      <c r="G95" s="74" t="n"/>
      <c r="H95" s="74" t="n"/>
      <c r="I95" s="75" t="n"/>
    </row>
    <row r="96" ht="15" customHeight="1">
      <c r="A96" s="73" t="n"/>
      <c r="B96" s="74" t="n"/>
      <c r="C96" s="74" t="n"/>
      <c r="D96" s="74" t="n"/>
      <c r="E96" s="74" t="n"/>
      <c r="F96" s="74" t="n"/>
      <c r="G96" s="74" t="n"/>
      <c r="H96" s="74" t="n"/>
      <c r="I96" s="75" t="n"/>
    </row>
    <row r="97" ht="15" customHeight="1">
      <c r="A97" s="73" t="n"/>
      <c r="B97" s="74" t="n"/>
      <c r="C97" s="74" t="n"/>
      <c r="D97" s="74" t="n"/>
      <c r="E97" s="74" t="n"/>
      <c r="F97" s="74" t="n"/>
      <c r="G97" s="74" t="n"/>
      <c r="H97" s="74" t="n"/>
      <c r="I97" s="75" t="n"/>
    </row>
    <row r="98" ht="15" customHeight="1">
      <c r="A98" s="73" t="n"/>
      <c r="B98" s="74" t="n"/>
      <c r="C98" s="74" t="n"/>
      <c r="D98" s="74" t="n"/>
      <c r="E98" s="74" t="n"/>
      <c r="F98" s="74" t="n"/>
      <c r="G98" s="74" t="n"/>
      <c r="H98" s="74" t="n"/>
      <c r="I98" s="75" t="n"/>
    </row>
    <row r="99" ht="15" customHeight="1">
      <c r="A99" s="73" t="n"/>
      <c r="B99" s="74" t="n"/>
      <c r="C99" s="74" t="n"/>
      <c r="D99" s="74" t="n"/>
      <c r="E99" s="74" t="n"/>
      <c r="F99" s="74" t="n"/>
      <c r="G99" s="74" t="n"/>
      <c r="H99" s="74" t="n"/>
      <c r="I99" s="75" t="n"/>
    </row>
    <row r="100" ht="15" customHeight="1">
      <c r="A100" s="73" t="n"/>
      <c r="B100" s="74" t="n"/>
      <c r="C100" s="74" t="n"/>
      <c r="D100" s="74" t="n"/>
      <c r="E100" s="74" t="n"/>
      <c r="F100" s="74" t="n"/>
      <c r="H100" s="74" t="n"/>
      <c r="I100" s="75" t="n"/>
    </row>
    <row r="101" ht="24.95" customFormat="1" customHeight="1" s="4">
      <c r="A101" s="73" t="n"/>
      <c r="B101" s="74" t="n"/>
      <c r="C101" s="74" t="n"/>
      <c r="D101" s="74" t="n"/>
      <c r="E101" s="74" t="n"/>
      <c r="F101" s="74" t="n"/>
      <c r="G101" s="74" t="n"/>
      <c r="H101" s="74" t="n"/>
      <c r="I101" s="75" t="n"/>
    </row>
    <row r="102" ht="15" customHeight="1">
      <c r="A102" s="73" t="n"/>
      <c r="B102" s="74" t="n"/>
      <c r="C102" s="74" t="n"/>
      <c r="D102" s="74" t="n"/>
      <c r="E102" s="74" t="n"/>
      <c r="F102" s="74" t="n"/>
      <c r="G102" s="74" t="n"/>
      <c r="H102" s="74" t="n"/>
      <c r="I102" s="75" t="n"/>
    </row>
    <row r="103" ht="15" customHeight="1">
      <c r="A103" s="73" t="n"/>
      <c r="B103" s="74" t="n"/>
      <c r="C103" s="74" t="n"/>
      <c r="D103" s="74" t="n"/>
      <c r="E103" s="74" t="n"/>
      <c r="F103" s="74" t="n"/>
      <c r="G103" s="74" t="n"/>
      <c r="H103" s="74" t="n"/>
      <c r="I103" s="75" t="n"/>
    </row>
    <row r="104" ht="15" customHeight="1">
      <c r="A104" s="73" t="n"/>
      <c r="B104" s="74" t="n"/>
      <c r="C104" s="74" t="n"/>
      <c r="D104" s="74" t="n"/>
      <c r="E104" s="74" t="n"/>
      <c r="F104" s="74" t="n"/>
      <c r="G104" s="74" t="n"/>
      <c r="H104" s="74" t="n"/>
      <c r="I104" s="75" t="n"/>
    </row>
    <row r="105" ht="15" customHeight="1">
      <c r="A105" s="73" t="n"/>
      <c r="B105" s="74" t="n"/>
      <c r="C105" s="74" t="n"/>
      <c r="D105" s="74" t="n"/>
      <c r="E105" s="74" t="n"/>
      <c r="F105" s="74" t="n"/>
      <c r="G105" s="74" t="n"/>
      <c r="H105" s="74" t="n"/>
      <c r="I105" s="75" t="n"/>
    </row>
    <row r="106" ht="15" customHeight="1">
      <c r="A106" s="73" t="n"/>
      <c r="B106" s="74" t="n"/>
      <c r="C106" s="74" t="n"/>
      <c r="D106" s="74" t="n"/>
      <c r="E106" s="74" t="n"/>
      <c r="F106" s="74" t="n"/>
      <c r="G106" s="74" t="n"/>
      <c r="H106" s="74" t="n"/>
      <c r="I106" s="75" t="n"/>
    </row>
    <row r="107" ht="15" customHeight="1">
      <c r="A107" s="73" t="n"/>
      <c r="B107" s="74" t="n"/>
      <c r="C107" s="74" t="n"/>
      <c r="D107" s="74" t="n"/>
      <c r="E107" s="74" t="n"/>
      <c r="F107" s="74" t="n"/>
      <c r="G107" s="74" t="n"/>
      <c r="H107" s="74" t="n"/>
      <c r="I107" s="75" t="n"/>
    </row>
    <row r="108" ht="15" customHeight="1">
      <c r="A108" s="73" t="n"/>
      <c r="B108" s="74" t="n"/>
      <c r="C108" s="74" t="n"/>
      <c r="D108" s="74" t="n"/>
      <c r="E108" s="74" t="n"/>
      <c r="F108" s="74" t="n"/>
      <c r="G108" s="74" t="n"/>
      <c r="H108" s="74" t="n"/>
      <c r="I108" s="75" t="n"/>
    </row>
    <row r="109" ht="15" customHeight="1">
      <c r="A109" s="73" t="n"/>
      <c r="B109" s="74" t="n"/>
      <c r="C109" s="74" t="n"/>
      <c r="D109" s="74" t="n"/>
      <c r="E109" s="74" t="n"/>
      <c r="F109" s="74" t="n"/>
      <c r="G109" s="74" t="n"/>
      <c r="H109" s="74" t="n"/>
      <c r="I109" s="75" t="n"/>
    </row>
    <row r="110" ht="15" customHeight="1">
      <c r="A110" s="73" t="n"/>
      <c r="B110" s="74" t="n"/>
      <c r="C110" s="74" t="n"/>
      <c r="D110" s="74" t="n"/>
      <c r="E110" s="74" t="n"/>
      <c r="F110" s="74" t="n"/>
      <c r="G110" s="74" t="n"/>
      <c r="H110" s="74" t="n"/>
      <c r="I110" s="75" t="n"/>
    </row>
    <row r="111" ht="15" customHeight="1">
      <c r="A111" s="73" t="n"/>
      <c r="B111" s="74" t="n"/>
      <c r="C111" s="74" t="n"/>
      <c r="D111" s="74" t="n"/>
      <c r="E111" s="74" t="n"/>
      <c r="F111" s="74" t="n"/>
      <c r="G111" s="74" t="n"/>
      <c r="H111" s="74" t="n"/>
      <c r="I111" s="75" t="n"/>
    </row>
    <row r="112" ht="15" customHeight="1">
      <c r="A112" s="73" t="n"/>
      <c r="B112" s="74" t="n"/>
      <c r="C112" s="74" t="n"/>
      <c r="D112" s="74" t="n"/>
      <c r="E112" s="74" t="n"/>
      <c r="F112" s="74" t="n"/>
      <c r="G112" s="74" t="n"/>
      <c r="H112" s="74" t="n"/>
      <c r="I112" s="75" t="n"/>
    </row>
    <row r="113" ht="15" customHeight="1">
      <c r="A113" s="73" t="n"/>
      <c r="B113" s="74" t="n"/>
      <c r="C113" s="74" t="n"/>
      <c r="D113" s="74" t="n"/>
      <c r="E113" s="74" t="n"/>
      <c r="F113" s="74" t="n"/>
      <c r="G113" s="74" t="n"/>
      <c r="H113" s="74" t="n"/>
      <c r="I113" s="75" t="n"/>
    </row>
    <row r="114" ht="15" customHeight="1">
      <c r="A114" s="73" t="n"/>
      <c r="B114" s="74" t="n"/>
      <c r="C114" s="74" t="n"/>
      <c r="D114" s="74" t="n"/>
      <c r="E114" s="74" t="n"/>
      <c r="F114" s="74" t="n"/>
      <c r="G114" s="74" t="n"/>
      <c r="H114" s="74" t="n"/>
      <c r="I114" s="75" t="n"/>
    </row>
    <row r="115" ht="15" customHeight="1">
      <c r="A115" s="73" t="n"/>
      <c r="B115" s="74" t="n"/>
      <c r="C115" s="74" t="n"/>
      <c r="D115" s="74" t="n"/>
      <c r="E115" s="74" t="n"/>
      <c r="F115" s="74" t="n"/>
      <c r="G115" s="74" t="n"/>
      <c r="H115" s="74" t="n"/>
      <c r="I115" s="75" t="n"/>
    </row>
    <row r="116" ht="15" customHeight="1" thickBot="1">
      <c r="A116" s="76" t="n"/>
      <c r="B116" s="77" t="n"/>
      <c r="C116" s="77" t="n"/>
      <c r="D116" s="77" t="n"/>
      <c r="E116" s="77" t="n"/>
      <c r="F116" s="77" t="n"/>
      <c r="G116" s="77" t="n"/>
      <c r="H116" s="77" t="n"/>
      <c r="I116" s="78" t="n"/>
    </row>
    <row r="117" ht="15" customHeight="1">
      <c r="A117" s="73" t="n"/>
      <c r="B117" s="74" t="n"/>
      <c r="C117" s="74" t="n"/>
      <c r="D117" s="74" t="n"/>
      <c r="E117" s="74" t="n"/>
      <c r="F117" s="74" t="n"/>
      <c r="G117" s="74" t="n"/>
      <c r="H117" s="74" t="n"/>
      <c r="I117" s="75" t="n"/>
    </row>
    <row r="118" ht="15" customHeight="1">
      <c r="A118" s="73" t="n"/>
      <c r="B118" s="74" t="n"/>
      <c r="C118" s="74" t="n"/>
      <c r="D118" s="74" t="n"/>
      <c r="E118" s="74" t="n"/>
      <c r="F118" s="74" t="n"/>
      <c r="G118" s="74" t="n"/>
      <c r="H118" s="74" t="n"/>
      <c r="I118" s="75" t="n"/>
    </row>
    <row r="119" ht="15" customHeight="1">
      <c r="A119" s="73" t="n"/>
      <c r="B119" s="74" t="n"/>
      <c r="C119" s="74" t="n"/>
      <c r="D119" s="74" t="n"/>
      <c r="E119" s="74" t="n"/>
      <c r="F119" s="74" t="n"/>
      <c r="G119" s="74" t="n"/>
      <c r="H119" s="74" t="n"/>
      <c r="I119" s="75" t="n"/>
    </row>
    <row r="120" ht="15" customHeight="1">
      <c r="A120" s="73" t="n"/>
      <c r="B120" s="74" t="n"/>
      <c r="C120" s="74" t="n"/>
      <c r="D120" s="74" t="n"/>
      <c r="E120" s="74" t="n"/>
      <c r="F120" s="74" t="n"/>
      <c r="G120" s="74" t="n"/>
      <c r="H120" s="74" t="n"/>
      <c r="I120" s="75" t="n"/>
    </row>
    <row r="121" ht="15" customHeight="1">
      <c r="A121" s="73" t="n"/>
      <c r="B121" s="74" t="n"/>
      <c r="C121" s="74" t="n"/>
      <c r="D121" s="74" t="n"/>
      <c r="E121" s="74" t="n"/>
      <c r="F121" s="74" t="n"/>
      <c r="G121" s="74" t="n"/>
      <c r="H121" s="74" t="n"/>
      <c r="I121" s="75" t="n"/>
    </row>
    <row r="122" ht="15" customHeight="1">
      <c r="A122" s="73" t="n"/>
      <c r="B122" s="74" t="n"/>
      <c r="C122" s="74" t="n"/>
      <c r="D122" s="74" t="n"/>
      <c r="E122" s="74" t="n"/>
      <c r="F122" s="74" t="n"/>
      <c r="G122" s="74" t="n"/>
      <c r="H122" s="74" t="n"/>
      <c r="I122" s="75" t="n"/>
    </row>
    <row r="123" ht="15" customHeight="1">
      <c r="A123" s="73" t="n"/>
      <c r="B123" s="74" t="n"/>
      <c r="C123" s="74" t="n"/>
      <c r="D123" s="74" t="n"/>
      <c r="E123" s="74" t="n"/>
      <c r="F123" s="74" t="n"/>
      <c r="G123" s="74" t="n"/>
      <c r="H123" s="74" t="n"/>
      <c r="I123" s="75" t="n"/>
    </row>
    <row r="124" ht="15" customHeight="1">
      <c r="A124" s="73" t="n"/>
      <c r="B124" s="74" t="n"/>
      <c r="C124" s="74" t="n"/>
      <c r="D124" s="74" t="n"/>
      <c r="E124" s="74" t="n"/>
      <c r="F124" s="74" t="n"/>
      <c r="G124" s="74" t="n"/>
      <c r="H124" s="74" t="n"/>
      <c r="I124" s="75" t="n"/>
    </row>
    <row r="125" ht="24.95" customHeight="1">
      <c r="A125" s="73" t="n"/>
      <c r="B125" s="74" t="n"/>
      <c r="C125" s="74" t="n"/>
      <c r="D125" s="74" t="n"/>
      <c r="E125" s="74" t="n"/>
      <c r="F125" s="74" t="n"/>
      <c r="G125" s="74" t="n"/>
      <c r="H125" s="74" t="n"/>
      <c r="I125" s="75" t="n"/>
    </row>
    <row r="126" ht="15" customHeight="1">
      <c r="A126" s="73" t="n"/>
      <c r="B126" s="74" t="n"/>
      <c r="C126" s="74" t="n"/>
      <c r="D126" s="74" t="n"/>
      <c r="E126" s="74" t="n"/>
      <c r="F126" s="74" t="n"/>
      <c r="G126" s="74" t="n"/>
      <c r="H126" s="74" t="n"/>
      <c r="I126" s="75" t="n"/>
    </row>
    <row r="127" ht="15" customHeight="1">
      <c r="A127" s="73" t="n"/>
      <c r="B127" s="74" t="n"/>
      <c r="C127" s="74" t="n"/>
      <c r="D127" s="74" t="n"/>
      <c r="E127" s="74" t="n"/>
      <c r="F127" s="74" t="n"/>
      <c r="G127" s="74" t="n"/>
      <c r="H127" s="74" t="n"/>
      <c r="I127" s="75" t="n"/>
    </row>
    <row r="128" ht="27.95" customHeight="1">
      <c r="A128" s="73" t="n"/>
      <c r="B128" s="74" t="n"/>
      <c r="C128" s="74" t="n"/>
      <c r="D128" s="74" t="n"/>
      <c r="E128" s="74" t="n"/>
      <c r="F128" s="74" t="n"/>
      <c r="G128" s="74" t="n"/>
      <c r="H128" s="74" t="n"/>
      <c r="I128" s="75" t="n"/>
    </row>
    <row r="129" ht="15" customHeight="1">
      <c r="A129" s="73" t="n"/>
      <c r="B129" s="74" t="n"/>
      <c r="C129" s="74" t="n"/>
      <c r="D129" s="74" t="n"/>
      <c r="E129" s="74" t="n"/>
      <c r="F129" s="74" t="n"/>
      <c r="G129" s="74" t="n"/>
      <c r="H129" s="74" t="n"/>
      <c r="I129" s="75" t="n"/>
    </row>
    <row r="130" ht="15" customHeight="1">
      <c r="A130" s="73" t="n"/>
      <c r="B130" s="74" t="n"/>
      <c r="C130" s="74" t="n"/>
      <c r="D130" s="74" t="n"/>
      <c r="E130" s="74" t="n"/>
      <c r="F130" s="74" t="n"/>
      <c r="G130" s="74" t="n"/>
      <c r="H130" s="74" t="n"/>
      <c r="I130" s="75" t="n"/>
    </row>
    <row r="131" ht="15" customHeight="1">
      <c r="A131" s="73" t="n"/>
      <c r="B131" s="74" t="n"/>
      <c r="C131" s="74" t="n"/>
      <c r="D131" s="74" t="n"/>
      <c r="E131" s="74" t="n"/>
      <c r="F131" s="74" t="n"/>
      <c r="G131" s="74" t="n"/>
      <c r="H131" s="74" t="n"/>
      <c r="I131" s="75" t="n"/>
    </row>
    <row r="132" ht="15" customHeight="1">
      <c r="A132" s="73" t="n"/>
      <c r="B132" s="74" t="n"/>
      <c r="C132" s="74" t="n"/>
      <c r="D132" s="74" t="n"/>
      <c r="E132" s="74" t="n"/>
      <c r="F132" s="74" t="n"/>
      <c r="G132" s="74" t="n"/>
      <c r="H132" s="74" t="n"/>
      <c r="I132" s="75" t="n"/>
    </row>
    <row r="133" ht="15" customHeight="1">
      <c r="A133" s="73" t="n"/>
      <c r="B133" s="74" t="n"/>
      <c r="C133" s="74" t="n"/>
      <c r="D133" s="74" t="n"/>
      <c r="E133" s="74" t="n"/>
      <c r="F133" s="74" t="n"/>
      <c r="G133" s="74" t="n"/>
      <c r="H133" s="74" t="n"/>
      <c r="I133" s="75" t="n"/>
    </row>
    <row r="134" ht="15" customHeight="1">
      <c r="A134" s="73" t="n"/>
      <c r="B134" s="74" t="n"/>
      <c r="C134" s="74" t="n"/>
      <c r="D134" s="74" t="n"/>
      <c r="E134" s="74" t="n"/>
      <c r="F134" s="74" t="n"/>
      <c r="G134" s="74" t="n"/>
      <c r="H134" s="74" t="n"/>
      <c r="I134" s="75" t="n"/>
    </row>
    <row r="135" ht="15" customHeight="1">
      <c r="A135" s="73" t="n"/>
      <c r="B135" s="74" t="n"/>
      <c r="C135" s="74" t="n"/>
      <c r="D135" s="74" t="n"/>
      <c r="E135" s="74" t="n"/>
      <c r="F135" s="74" t="n"/>
      <c r="G135" s="74" t="n"/>
      <c r="H135" s="74" t="n"/>
      <c r="I135" s="75" t="n"/>
    </row>
    <row r="136" ht="15" customHeight="1">
      <c r="A136" s="73" t="n"/>
      <c r="B136" s="74" t="n"/>
      <c r="C136" s="74" t="n"/>
      <c r="D136" s="74" t="n"/>
      <c r="E136" s="74" t="n"/>
      <c r="F136" s="74" t="n"/>
      <c r="G136" s="74" t="n"/>
      <c r="H136" s="74" t="n"/>
      <c r="I136" s="75" t="n"/>
    </row>
    <row r="137" ht="15" customHeight="1">
      <c r="A137" s="73" t="n"/>
      <c r="B137" s="74" t="n"/>
      <c r="C137" s="74" t="n"/>
      <c r="D137" s="74" t="n"/>
      <c r="E137" s="74" t="n"/>
      <c r="F137" s="74" t="n"/>
      <c r="G137" s="74" t="n"/>
      <c r="H137" s="74" t="n"/>
      <c r="I137" s="75" t="n"/>
    </row>
    <row r="138" ht="15" customHeight="1">
      <c r="A138" s="73" t="n"/>
      <c r="B138" s="74" t="n"/>
      <c r="C138" s="74" t="n"/>
      <c r="D138" s="74" t="n"/>
      <c r="E138" s="74" t="n"/>
      <c r="F138" s="74" t="n"/>
      <c r="G138" s="74" t="n"/>
      <c r="H138" s="74" t="n"/>
      <c r="I138" s="75" t="n"/>
    </row>
    <row r="139" ht="15" customHeight="1">
      <c r="A139" s="73" t="n"/>
      <c r="B139" s="74" t="n"/>
      <c r="C139" s="74" t="n"/>
      <c r="D139" s="74" t="n"/>
      <c r="E139" s="74" t="n"/>
      <c r="F139" s="74" t="n"/>
      <c r="G139" s="74" t="n"/>
      <c r="H139" s="74" t="n"/>
      <c r="I139" s="75" t="n"/>
    </row>
    <row r="140" ht="15" customHeight="1">
      <c r="A140" s="73" t="n"/>
      <c r="B140" s="74" t="n"/>
      <c r="C140" s="74" t="n"/>
      <c r="D140" s="74" t="n"/>
      <c r="E140" s="74" t="n"/>
      <c r="F140" s="74" t="n"/>
      <c r="G140" s="74" t="n"/>
      <c r="H140" s="74" t="n"/>
      <c r="I140" s="75" t="n"/>
    </row>
    <row r="141" ht="15" customHeight="1" thickBot="1">
      <c r="A141" s="73" t="n"/>
      <c r="B141" s="74" t="n"/>
      <c r="C141" s="74" t="n"/>
      <c r="D141" s="74" t="n"/>
      <c r="E141" s="74" t="n"/>
      <c r="F141" s="74" t="n"/>
      <c r="G141" s="74" t="n"/>
      <c r="H141" s="74" t="n"/>
      <c r="I141" s="75" t="n"/>
      <c r="J141" s="8" t="n"/>
    </row>
    <row r="142" ht="15" customHeight="1">
      <c r="A142" s="73" t="n"/>
      <c r="B142" s="74" t="n"/>
      <c r="C142" s="74" t="n"/>
      <c r="D142" s="74" t="n"/>
      <c r="E142" s="74" t="n"/>
      <c r="F142" s="74" t="n"/>
      <c r="G142" s="74" t="n"/>
      <c r="H142" s="74" t="n"/>
      <c r="I142" s="75" t="n"/>
    </row>
    <row r="143" ht="15" customHeight="1">
      <c r="A143" s="73" t="n"/>
      <c r="B143" s="74" t="n"/>
      <c r="C143" s="74" t="n"/>
      <c r="D143" s="74" t="n"/>
      <c r="E143" s="74" t="n"/>
      <c r="F143" s="74" t="n"/>
      <c r="G143" s="74" t="n"/>
      <c r="H143" s="74" t="n"/>
      <c r="I143" s="75" t="n"/>
    </row>
    <row r="144" ht="15" customHeight="1">
      <c r="A144" s="73" t="n"/>
      <c r="B144" s="74" t="n"/>
      <c r="C144" s="74" t="n"/>
      <c r="D144" s="74" t="n"/>
      <c r="E144" s="74" t="n"/>
      <c r="F144" s="74" t="n"/>
      <c r="G144" s="74" t="n"/>
      <c r="H144" s="74" t="n"/>
      <c r="I144" s="75" t="n"/>
    </row>
    <row r="145" ht="15" customHeight="1">
      <c r="A145" s="73" t="n"/>
      <c r="B145" s="74" t="n"/>
      <c r="C145" s="74" t="n"/>
      <c r="D145" s="74" t="n"/>
      <c r="E145" s="74" t="n"/>
      <c r="F145" s="74" t="n"/>
      <c r="G145" s="74" t="n"/>
      <c r="H145" s="74" t="n"/>
      <c r="I145" s="75" t="n"/>
    </row>
    <row r="146" ht="15" customHeight="1">
      <c r="A146" s="73" t="n"/>
      <c r="B146" s="74" t="n"/>
      <c r="C146" s="74" t="n"/>
      <c r="D146" s="74" t="n"/>
      <c r="E146" s="74" t="n"/>
      <c r="F146" s="74" t="n"/>
      <c r="G146" s="74" t="n"/>
      <c r="H146" s="74" t="n"/>
      <c r="I146" s="75" t="n"/>
    </row>
    <row r="147" ht="15" customHeight="1">
      <c r="B147" s="74" t="n"/>
      <c r="C147" s="74" t="n"/>
      <c r="D147" s="74" t="n"/>
      <c r="E147" s="74" t="n"/>
      <c r="F147" s="74" t="n"/>
      <c r="G147" s="74" t="n"/>
      <c r="H147" s="74" t="n"/>
      <c r="I147" s="75" t="n"/>
    </row>
    <row r="148" ht="15.95" customHeight="1">
      <c r="A148" s="73" t="n"/>
      <c r="B148" s="74" t="n"/>
      <c r="C148" s="74" t="n"/>
      <c r="D148" s="74" t="n"/>
      <c r="E148" s="74" t="n"/>
      <c r="F148" s="74" t="n"/>
      <c r="G148" s="74" t="n"/>
      <c r="H148" s="74" t="n"/>
      <c r="I148" s="75" t="n"/>
    </row>
    <row r="149" ht="30.75" customHeight="1">
      <c r="A149" s="218" t="n"/>
      <c r="E149" s="220" t="n"/>
      <c r="I149" s="271"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A181" s="64" t="n"/>
      <c r="I181" s="65" t="n"/>
    </row>
    <row r="182">
      <c r="A182" s="64" t="n"/>
      <c r="I182" s="65" t="n"/>
    </row>
    <row r="183">
      <c r="A183" s="64" t="n"/>
      <c r="I183" s="65" t="n"/>
    </row>
    <row r="184">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c r="A200" s="64" t="n"/>
      <c r="I200" s="65" t="n"/>
    </row>
    <row r="201">
      <c r="A201" s="64" t="n"/>
      <c r="I201" s="65" t="n"/>
    </row>
    <row r="202">
      <c r="A202" s="64" t="n"/>
      <c r="I202" s="65" t="n"/>
    </row>
    <row r="203">
      <c r="A203" s="64" t="n"/>
      <c r="I203" s="65" t="n"/>
    </row>
    <row r="204">
      <c r="A204" s="64" t="n"/>
      <c r="I204" s="65" t="n"/>
    </row>
    <row r="205">
      <c r="A205" s="64" t="n"/>
      <c r="I205" s="65" t="n"/>
    </row>
    <row r="206">
      <c r="A206" s="64" t="n"/>
      <c r="I206" s="65" t="n"/>
    </row>
    <row r="207">
      <c r="A207" s="64" t="n"/>
      <c r="I207" s="65" t="n"/>
    </row>
    <row r="208">
      <c r="A208" s="64" t="n"/>
      <c r="I208" s="65" t="n"/>
    </row>
    <row r="209">
      <c r="A209" s="64" t="n"/>
      <c r="I209" s="65" t="n"/>
    </row>
    <row r="210">
      <c r="A210" s="64" t="n"/>
      <c r="I210" s="65" t="n"/>
    </row>
    <row r="211">
      <c r="A211" s="64" t="n"/>
      <c r="I211" s="65" t="n"/>
    </row>
    <row r="212">
      <c r="A212" s="64" t="n"/>
      <c r="I212" s="65" t="n"/>
    </row>
  </sheetData>
  <mergeCells count="40">
    <mergeCell ref="A48:B48"/>
    <mergeCell ref="B47:C47"/>
    <mergeCell ref="D13:F13"/>
    <mergeCell ref="G13:I13"/>
    <mergeCell ref="B8:D8"/>
    <mergeCell ref="A66:I66"/>
    <mergeCell ref="B46:C46"/>
    <mergeCell ref="D48:I48"/>
    <mergeCell ref="A55:I55"/>
    <mergeCell ref="A12:I12"/>
    <mergeCell ref="D47:I47"/>
    <mergeCell ref="B56:I56"/>
    <mergeCell ref="A5:I5"/>
    <mergeCell ref="A51:I54"/>
    <mergeCell ref="B9:D9"/>
    <mergeCell ref="B60:I60"/>
    <mergeCell ref="C62:I62"/>
    <mergeCell ref="B57:I57"/>
    <mergeCell ref="B6:D6"/>
    <mergeCell ref="C58:I58"/>
    <mergeCell ref="E149:I149"/>
    <mergeCell ref="A13:C13"/>
    <mergeCell ref="A68:I68"/>
    <mergeCell ref="A10:I10"/>
    <mergeCell ref="C64:I64"/>
    <mergeCell ref="A1:I4"/>
    <mergeCell ref="A67:I67"/>
    <mergeCell ref="A77:I77"/>
    <mergeCell ref="B7:D7"/>
    <mergeCell ref="C65:I65"/>
    <mergeCell ref="C63:I63"/>
    <mergeCell ref="A49:I49"/>
    <mergeCell ref="A11:I11"/>
    <mergeCell ref="A149:D149"/>
    <mergeCell ref="D46:I46"/>
    <mergeCell ref="C59:I59"/>
    <mergeCell ref="B45:C45"/>
    <mergeCell ref="A70:I70"/>
    <mergeCell ref="D45:I45"/>
    <mergeCell ref="A61:I61"/>
  </mergeCells>
  <printOptions horizontalCentered="1"/>
  <pageMargins left="0.2362204724409449" right="0.2362204724409449" top="0.7480314960629921" bottom="0.7480314960629921" header="0.3149606299212598" footer="0.3149606299212598"/>
  <pageSetup orientation="portrait" paperSize="9" scale="34" fitToHeight="0"/>
  <rowBreaks count="2" manualBreakCount="2">
    <brk id="76" min="0" max="8" man="1"/>
    <brk id="214" min="0" max="8" man="1"/>
  </rowBreaks>
</worksheet>
</file>

<file path=xl/worksheets/sheet3.xml><?xml version="1.0" encoding="utf-8"?>
<worksheet xmlns="http://schemas.openxmlformats.org/spreadsheetml/2006/main">
  <sheetPr>
    <outlinePr summaryBelow="1" summaryRight="1"/>
    <pageSetUpPr fitToPage="1"/>
  </sheetPr>
  <dimension ref="A1:S213"/>
  <sheetViews>
    <sheetView view="pageBreakPreview" zoomScale="40" zoomScaleNormal="100" zoomScaleSheetLayoutView="40" workbookViewId="0">
      <selection activeCell="D41" sqref="D41"/>
    </sheetView>
  </sheetViews>
  <sheetFormatPr baseColWidth="8" defaultColWidth="9.140625" defaultRowHeight="14.45"/>
  <cols>
    <col width="62.140625" bestFit="1" customWidth="1" style="232" min="1" max="1"/>
    <col width="41.42578125" bestFit="1" customWidth="1" style="232" min="2" max="2"/>
    <col width="16" customWidth="1" style="232" min="3" max="3"/>
    <col width="28.710937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6384"/>
  </cols>
  <sheetData>
    <row r="1">
      <c r="A1" s="243"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170" t="inlineStr">
        <is>
          <t>TCD DAILY FIELD REPORT</t>
        </is>
      </c>
      <c r="B5" s="275" t="n"/>
      <c r="C5" s="275" t="n"/>
      <c r="D5" s="275" t="n"/>
      <c r="E5" s="275" t="n"/>
      <c r="F5" s="275" t="n"/>
      <c r="G5" s="275" t="n"/>
      <c r="H5" s="275" t="n"/>
      <c r="I5" s="276" t="n"/>
    </row>
    <row r="6" ht="23.1" customHeight="1">
      <c r="A6" s="49" t="inlineStr">
        <is>
          <t>Project Name:</t>
        </is>
      </c>
      <c r="B6" s="173" t="inlineStr">
        <is>
          <t>Batavia Station Square</t>
        </is>
      </c>
      <c r="E6" s="173" t="n"/>
      <c r="F6" s="51" t="n"/>
      <c r="G6" s="51" t="n"/>
      <c r="H6" s="52" t="inlineStr">
        <is>
          <t>Date:</t>
        </is>
      </c>
      <c r="I6" s="53" t="n">
        <v>45874</v>
      </c>
    </row>
    <row r="7" ht="23.1" customHeight="1">
      <c r="A7" s="49" t="inlineStr">
        <is>
          <t>Project Location:</t>
        </is>
      </c>
      <c r="B7" s="173" t="inlineStr">
        <is>
          <t>Geraldton</t>
        </is>
      </c>
      <c r="E7" s="173" t="n"/>
      <c r="F7" s="51" t="n"/>
      <c r="G7" s="51" t="n"/>
      <c r="H7" s="54" t="inlineStr">
        <is>
          <t>Day:</t>
        </is>
      </c>
      <c r="I7" s="55">
        <f>I6</f>
        <v/>
      </c>
    </row>
    <row r="8" ht="23.1" customHeight="1">
      <c r="A8" s="49" t="inlineStr">
        <is>
          <t>Project Number:</t>
        </is>
      </c>
      <c r="B8" s="173" t="inlineStr">
        <is>
          <t>TCD-1816</t>
        </is>
      </c>
      <c r="E8" s="173" t="n"/>
      <c r="F8" s="51" t="n"/>
      <c r="G8" s="51" t="n"/>
      <c r="H8" s="54" t="inlineStr">
        <is>
          <t>Start:</t>
        </is>
      </c>
      <c r="I8" s="56" t="n">
        <v>0.2916666666666667</v>
      </c>
    </row>
    <row r="9" ht="23.1" customHeight="1">
      <c r="A9" s="49" t="inlineStr">
        <is>
          <t>Report Number:</t>
        </is>
      </c>
      <c r="B9" s="159" t="n">
        <v>71</v>
      </c>
      <c r="C9" s="273" t="n"/>
      <c r="D9" s="273" t="n"/>
      <c r="E9" s="160" t="n"/>
      <c r="F9" s="58" t="n"/>
      <c r="G9" s="58" t="n"/>
      <c r="H9" s="54" t="inlineStr">
        <is>
          <t>Finish:</t>
        </is>
      </c>
      <c r="I9" s="56" t="n">
        <v>0.7083333333333334</v>
      </c>
    </row>
    <row r="10" ht="24.95" customHeight="1">
      <c r="A10" s="230" t="inlineStr">
        <is>
          <t>WEATHER &amp; GROUND CONDITIONS</t>
        </is>
      </c>
      <c r="B10" s="275" t="n"/>
      <c r="C10" s="275" t="n"/>
      <c r="D10" s="275" t="n"/>
      <c r="E10" s="275" t="n"/>
      <c r="F10" s="275" t="n"/>
      <c r="G10" s="275" t="n"/>
      <c r="H10" s="275" t="n"/>
      <c r="I10" s="277" t="n"/>
    </row>
    <row r="11" ht="22.5" customHeight="1">
      <c r="A11" s="287" t="inlineStr">
        <is>
          <t xml:space="preserve">Temperature: 19 degrees    Wind 30km/h NE  Precip: 0 mm </t>
        </is>
      </c>
      <c r="B11" s="275" t="n"/>
      <c r="C11" s="275" t="n"/>
      <c r="D11" s="275" t="n"/>
      <c r="E11" s="275" t="n"/>
      <c r="F11" s="275" t="n"/>
      <c r="G11" s="275" t="n"/>
      <c r="H11" s="275" t="n"/>
      <c r="I11" s="277" t="n"/>
    </row>
    <row r="12" ht="24.95" customHeight="1">
      <c r="A12" s="231" t="inlineStr">
        <is>
          <t>PERSONNEL</t>
        </is>
      </c>
      <c r="B12" s="278" t="n"/>
      <c r="C12" s="278" t="n"/>
      <c r="D12" s="278" t="n"/>
      <c r="E12" s="278" t="n"/>
      <c r="F12" s="278" t="n"/>
      <c r="G12" s="278" t="n"/>
      <c r="H12" s="278" t="n"/>
      <c r="I12" s="279" t="n"/>
    </row>
    <row r="13" ht="23.1" customHeight="1">
      <c r="A13" s="183" t="inlineStr">
        <is>
          <t>TCD Indirects</t>
        </is>
      </c>
      <c r="B13" s="275" t="n"/>
      <c r="C13" s="276" t="n"/>
      <c r="D13" s="184" t="inlineStr">
        <is>
          <t>TCD Directs</t>
        </is>
      </c>
      <c r="E13" s="275" t="n"/>
      <c r="F13" s="276" t="n"/>
      <c r="G13" s="184" t="inlineStr">
        <is>
          <t>Subcontractors</t>
        </is>
      </c>
      <c r="H13" s="275" t="n"/>
      <c r="I13" s="276" t="n"/>
    </row>
    <row r="14" ht="23.1" customHeight="1">
      <c r="A14" s="183" t="inlineStr">
        <is>
          <t xml:space="preserve"> Name</t>
        </is>
      </c>
      <c r="B14" s="184" t="inlineStr">
        <is>
          <t>Position</t>
        </is>
      </c>
      <c r="C14" s="39" t="inlineStr">
        <is>
          <t>Hours</t>
        </is>
      </c>
      <c r="D14" s="184" t="inlineStr">
        <is>
          <t xml:space="preserve"> Name</t>
        </is>
      </c>
      <c r="E14" s="184" t="inlineStr">
        <is>
          <t>Position</t>
        </is>
      </c>
      <c r="F14" s="39" t="inlineStr">
        <is>
          <t>Hours</t>
        </is>
      </c>
      <c r="G14" s="184" t="inlineStr">
        <is>
          <t xml:space="preserve"> Name</t>
        </is>
      </c>
      <c r="H14" s="184" t="inlineStr">
        <is>
          <t>Position</t>
        </is>
      </c>
      <c r="I14" s="185" t="inlineStr">
        <is>
          <t>Hours</t>
        </is>
      </c>
    </row>
    <row r="15" ht="22.5" customHeight="1">
      <c r="A15" s="25" t="inlineStr">
        <is>
          <t>WATKINS, Steve</t>
        </is>
      </c>
      <c r="B15" s="26" t="inlineStr">
        <is>
          <t>Civil Manager</t>
        </is>
      </c>
      <c r="C15" s="40" t="n"/>
      <c r="D15" s="41" t="n"/>
      <c r="E15" s="41" t="n"/>
      <c r="F15" s="26" t="n"/>
      <c r="G15" s="42" t="inlineStr">
        <is>
          <t>Khegan Brockman</t>
        </is>
      </c>
      <c r="H15" s="26" t="inlineStr">
        <is>
          <t>Labourer</t>
        </is>
      </c>
      <c r="I15" s="28" t="n">
        <v>10</v>
      </c>
    </row>
    <row r="16" ht="22.5" customHeight="1">
      <c r="A16" s="25" t="inlineStr">
        <is>
          <t>GRIFFITHS, Daniel</t>
        </is>
      </c>
      <c r="B16" s="26" t="inlineStr">
        <is>
          <t>Project Manager</t>
        </is>
      </c>
      <c r="C16" s="27" t="n">
        <v>10</v>
      </c>
      <c r="D16" s="43" t="n"/>
      <c r="E16" s="43" t="n"/>
      <c r="F16" s="26" t="n"/>
      <c r="G16" s="42" t="inlineStr">
        <is>
          <t>Laurent Levy</t>
        </is>
      </c>
      <c r="H16" s="26" t="inlineStr">
        <is>
          <t>Operator</t>
        </is>
      </c>
      <c r="I16" s="28" t="n"/>
    </row>
    <row r="17" ht="22.5" customHeight="1">
      <c r="A17" s="25" t="inlineStr">
        <is>
          <t>O"SHEA, John</t>
        </is>
      </c>
      <c r="B17" s="26" t="inlineStr">
        <is>
          <t>Senior Project Engineer</t>
        </is>
      </c>
      <c r="C17" s="27" t="n"/>
      <c r="D17" s="43" t="n"/>
      <c r="E17" s="43" t="n"/>
      <c r="F17" s="26" t="n"/>
      <c r="G17" s="42" t="inlineStr">
        <is>
          <t>Daniel McAuffile</t>
        </is>
      </c>
      <c r="H17" s="26" t="inlineStr">
        <is>
          <t>Operator</t>
        </is>
      </c>
      <c r="I17" s="28" t="n">
        <v>10</v>
      </c>
    </row>
    <row r="18" ht="22.5" customHeight="1">
      <c r="A18" s="25" t="inlineStr">
        <is>
          <t>GRIFFITHS, Ashley</t>
        </is>
      </c>
      <c r="B18" s="26" t="inlineStr">
        <is>
          <t>Supervisor</t>
        </is>
      </c>
      <c r="C18" s="27" t="n"/>
      <c r="D18" s="41" t="n"/>
      <c r="E18" s="41" t="n"/>
      <c r="F18" s="26" t="n"/>
      <c r="G18" s="42" t="inlineStr">
        <is>
          <t>O'Brian, Jamie</t>
        </is>
      </c>
      <c r="H18" s="26" t="inlineStr">
        <is>
          <t>Operator</t>
        </is>
      </c>
      <c r="I18" s="28" t="n">
        <v>10</v>
      </c>
    </row>
    <row r="19" ht="22.5" customHeight="1">
      <c r="A19" s="25" t="inlineStr">
        <is>
          <t>LOW, June</t>
        </is>
      </c>
      <c r="B19" s="26" t="inlineStr">
        <is>
          <t>HSET</t>
        </is>
      </c>
      <c r="C19" s="27" t="n"/>
      <c r="D19" s="41" t="n"/>
      <c r="E19" s="41" t="n"/>
      <c r="F19" s="26" t="n"/>
      <c r="G19" s="42" t="inlineStr">
        <is>
          <t>Simpson, Josh</t>
        </is>
      </c>
      <c r="H19" s="26" t="inlineStr">
        <is>
          <t>Operator</t>
        </is>
      </c>
      <c r="I19" s="28" t="n">
        <v>10</v>
      </c>
    </row>
    <row r="20" ht="22.5" customHeight="1">
      <c r="A20" s="25" t="inlineStr">
        <is>
          <t>SKINNER, Jamie</t>
        </is>
      </c>
      <c r="B20" s="26" t="inlineStr">
        <is>
          <t>Supervisor</t>
        </is>
      </c>
      <c r="C20" s="27" t="n">
        <v>10</v>
      </c>
      <c r="D20" s="41" t="n"/>
      <c r="E20" s="41" t="n"/>
      <c r="F20" s="26" t="n"/>
      <c r="G20" s="42" t="inlineStr">
        <is>
          <t>O'Reilly, James</t>
        </is>
      </c>
      <c r="H20" s="26" t="inlineStr">
        <is>
          <t>Operator</t>
        </is>
      </c>
      <c r="I20" s="28" t="n">
        <v>10</v>
      </c>
    </row>
    <row r="21" ht="22.5" customHeight="1">
      <c r="A21" s="25" t="n"/>
      <c r="B21" s="26" t="n"/>
      <c r="C21" s="27" t="n"/>
      <c r="D21" s="41" t="n"/>
      <c r="E21" s="41" t="n"/>
      <c r="F21" s="26" t="n"/>
      <c r="G21" s="42" t="inlineStr">
        <is>
          <t>Chester, Matt</t>
        </is>
      </c>
      <c r="H21" s="26" t="inlineStr">
        <is>
          <t>Gas Fitter</t>
        </is>
      </c>
      <c r="I21" s="28" t="n"/>
    </row>
    <row r="22" ht="22.5" customHeight="1">
      <c r="A22" s="25" t="n"/>
      <c r="B22" s="26" t="n"/>
      <c r="C22" s="27" t="n"/>
      <c r="D22" s="41" t="n"/>
      <c r="E22" s="41" t="n"/>
      <c r="F22" s="26" t="n"/>
      <c r="G22" s="42" t="inlineStr">
        <is>
          <t>Mounsey, Matt</t>
        </is>
      </c>
      <c r="H22" s="26" t="inlineStr">
        <is>
          <t>Gas Fitter</t>
        </is>
      </c>
      <c r="I22" s="28" t="n"/>
    </row>
    <row r="23" ht="22.5" customHeight="1">
      <c r="A23" s="25" t="n"/>
      <c r="B23" s="26" t="n"/>
      <c r="C23" s="27" t="n"/>
      <c r="D23" s="41" t="n"/>
      <c r="E23" s="41" t="n"/>
      <c r="F23" s="26" t="n"/>
      <c r="G23" s="42" t="inlineStr">
        <is>
          <t>Herring, Levin</t>
        </is>
      </c>
      <c r="H23" s="26" t="inlineStr">
        <is>
          <t>Gas Fitter</t>
        </is>
      </c>
      <c r="I23" s="28" t="n"/>
    </row>
    <row r="24" ht="22.5" customHeight="1">
      <c r="A24" s="25" t="n"/>
      <c r="B24" s="26" t="n"/>
      <c r="C24" s="27" t="n"/>
      <c r="D24" s="41" t="n"/>
      <c r="E24" s="41" t="n"/>
      <c r="F24" s="26" t="n"/>
      <c r="G24" s="44" t="n"/>
      <c r="H24" s="26" t="n"/>
      <c r="I24" s="28" t="n"/>
    </row>
    <row r="25" ht="22.5" customHeight="1">
      <c r="A25" s="25" t="n"/>
      <c r="B25" s="26" t="n"/>
      <c r="C25" s="27" t="n"/>
      <c r="D25" s="41" t="n"/>
      <c r="E25" s="41" t="n"/>
      <c r="F25" s="26" t="n"/>
      <c r="G25" s="44" t="n"/>
      <c r="H25" s="26" t="n"/>
      <c r="I25" s="28" t="n"/>
    </row>
    <row r="26" ht="23.1" customHeight="1">
      <c r="A26" s="239" t="inlineStr">
        <is>
          <t xml:space="preserve">Total Indirect Personnel onsite: </t>
        </is>
      </c>
      <c r="B26" s="45">
        <f>COUNTIF(C15:C25,"&gt;0")</f>
        <v/>
      </c>
      <c r="C26" s="41" t="n"/>
      <c r="D26" s="41" t="n"/>
      <c r="E26" s="41" t="n"/>
      <c r="F26" s="26" t="n"/>
      <c r="G26" s="194" t="inlineStr">
        <is>
          <t>Total Subcontractor on-site:</t>
        </is>
      </c>
      <c r="H26" s="46">
        <f>COUNTIF(I15:I25,"&gt;0")</f>
        <v/>
      </c>
      <c r="I26" s="28" t="n"/>
    </row>
    <row r="27" ht="23.1" customHeight="1">
      <c r="A27" s="239" t="inlineStr">
        <is>
          <t xml:space="preserve">Total Indirect Personnel hours: </t>
        </is>
      </c>
      <c r="B27" s="45">
        <f>SUM(C15:C25)</f>
        <v/>
      </c>
      <c r="C27" s="27" t="n"/>
      <c r="D27" s="41" t="n"/>
      <c r="E27" s="41" t="n"/>
      <c r="F27" s="26" t="n"/>
      <c r="G27" s="194" t="inlineStr">
        <is>
          <t>Total Subcontractor hours:</t>
        </is>
      </c>
      <c r="H27" s="46">
        <f>SUM(I15:I25)</f>
        <v/>
      </c>
      <c r="I27" s="28" t="n"/>
    </row>
    <row r="28" ht="23.1" customHeight="1">
      <c r="A28" s="239" t="inlineStr">
        <is>
          <t xml:space="preserve">Total Direct Personnel onsite:  </t>
        </is>
      </c>
      <c r="B28" s="45">
        <f>COUNTIF(F15:F29,"&gt;0")</f>
        <v/>
      </c>
      <c r="C28" s="45" t="n"/>
      <c r="D28" s="41" t="n"/>
      <c r="E28" s="41" t="n"/>
      <c r="F28" s="47" t="n"/>
      <c r="G28" s="194" t="n"/>
      <c r="H28" s="46" t="n"/>
      <c r="I28" s="238" t="n"/>
    </row>
    <row r="29" ht="23.1" customHeight="1">
      <c r="A29" s="239" t="inlineStr">
        <is>
          <t xml:space="preserve">Total Direct Personnel hours: </t>
        </is>
      </c>
      <c r="B29" s="45">
        <f>SUM(F15:F29)</f>
        <v/>
      </c>
      <c r="C29" s="45" t="n"/>
      <c r="D29" s="45" t="n"/>
      <c r="E29" s="45" t="n"/>
      <c r="F29" s="45" t="n"/>
      <c r="G29" s="45" t="n"/>
      <c r="H29" s="45" t="n"/>
      <c r="I29" s="238" t="n"/>
    </row>
    <row r="30" ht="24.95" customHeight="1">
      <c r="A30" s="10" t="inlineStr">
        <is>
          <t>PLANT &amp; EQUIPMENT</t>
        </is>
      </c>
      <c r="B30" s="1" t="n"/>
      <c r="C30" s="1" t="n"/>
      <c r="D30" s="1" t="n"/>
      <c r="E30" s="1" t="n"/>
      <c r="F30" s="1" t="n"/>
      <c r="G30" s="1" t="n"/>
      <c r="H30" s="1" t="n"/>
      <c r="I30" s="2" t="n"/>
    </row>
    <row r="31" ht="23.1" customHeight="1">
      <c r="A31" s="183" t="inlineStr">
        <is>
          <t>Plant</t>
        </is>
      </c>
      <c r="B31" s="184" t="inlineStr">
        <is>
          <t>ID</t>
        </is>
      </c>
      <c r="C31" s="184" t="inlineStr">
        <is>
          <t>Hours</t>
        </is>
      </c>
      <c r="D31" s="184" t="inlineStr">
        <is>
          <t xml:space="preserve"> Vehicles</t>
        </is>
      </c>
      <c r="E31" s="184" t="inlineStr">
        <is>
          <t>ID</t>
        </is>
      </c>
      <c r="F31" s="184" t="inlineStr">
        <is>
          <t>QTY</t>
        </is>
      </c>
      <c r="G31" s="23" t="inlineStr">
        <is>
          <t>Site Facilities</t>
        </is>
      </c>
      <c r="H31" s="23" t="inlineStr">
        <is>
          <t>ID</t>
        </is>
      </c>
      <c r="I31" s="24" t="inlineStr">
        <is>
          <t>Qty</t>
        </is>
      </c>
    </row>
    <row r="32" ht="22.5" customHeight="1">
      <c r="A32" s="25" t="inlineStr">
        <is>
          <t>Komatsu WA320</t>
        </is>
      </c>
      <c r="B32" s="26" t="inlineStr">
        <is>
          <t>FWL18</t>
        </is>
      </c>
      <c r="C32" s="26" t="n">
        <v>5</v>
      </c>
      <c r="D32" s="27" t="inlineStr">
        <is>
          <t>Hilux</t>
        </is>
      </c>
      <c r="E32" s="27" t="inlineStr">
        <is>
          <t>DLV90</t>
        </is>
      </c>
      <c r="F32" s="27" t="n">
        <v>1</v>
      </c>
      <c r="G32" s="27" t="inlineStr">
        <is>
          <t>Office 40ft</t>
        </is>
      </c>
      <c r="H32" s="27" t="n">
        <v>9255540</v>
      </c>
      <c r="I32" s="28" t="n">
        <v>1</v>
      </c>
    </row>
    <row r="33" ht="22.5" customHeight="1">
      <c r="A33" s="25" t="inlineStr">
        <is>
          <t>Wacker Neuson DPU</t>
        </is>
      </c>
      <c r="B33" s="26" t="inlineStr">
        <is>
          <t>DPC15</t>
        </is>
      </c>
      <c r="C33" s="26" t="n">
        <v>5</v>
      </c>
      <c r="D33" s="27" t="inlineStr">
        <is>
          <t>6 Wheel Tipper</t>
        </is>
      </c>
      <c r="E33" s="27" t="inlineStr">
        <is>
          <t>AMG04</t>
        </is>
      </c>
      <c r="F33" s="27" t="n"/>
      <c r="G33" s="27" t="inlineStr">
        <is>
          <t>Sea Container 20ft</t>
        </is>
      </c>
      <c r="H33" s="26" t="n">
        <v>951200</v>
      </c>
      <c r="I33" s="28" t="n">
        <v>1</v>
      </c>
    </row>
    <row r="34" ht="22.5" customHeight="1">
      <c r="A34" s="29" t="inlineStr">
        <is>
          <t>Positrak</t>
        </is>
      </c>
      <c r="B34" s="27" t="inlineStr">
        <is>
          <t>AMG 025</t>
        </is>
      </c>
      <c r="C34" s="26" t="n"/>
      <c r="D34" s="27" t="n"/>
      <c r="E34" s="26" t="n"/>
      <c r="F34" s="27" t="n"/>
      <c r="G34" s="27" t="inlineStr">
        <is>
          <t>Site Sentry Tower</t>
        </is>
      </c>
      <c r="H34" s="27" t="n"/>
      <c r="I34" s="28" t="n">
        <v>2</v>
      </c>
    </row>
    <row r="35" ht="22.5" customHeight="1">
      <c r="A35" s="29" t="inlineStr">
        <is>
          <t>Watercart</t>
        </is>
      </c>
      <c r="B35" s="27" t="inlineStr">
        <is>
          <t>WC04</t>
        </is>
      </c>
      <c r="C35" s="26" t="n">
        <v>5</v>
      </c>
      <c r="D35" s="27" t="n"/>
      <c r="E35" s="27" t="n"/>
      <c r="F35" s="27" t="n"/>
      <c r="G35" s="27" t="inlineStr">
        <is>
          <t>Skip Bin</t>
        </is>
      </c>
      <c r="H35" s="27" t="n"/>
      <c r="I35" s="28" t="n">
        <v>1</v>
      </c>
    </row>
    <row r="36" ht="22.5" customHeight="1">
      <c r="A36" s="29" t="inlineStr">
        <is>
          <t>8T Excavator</t>
        </is>
      </c>
      <c r="B36" s="30" t="inlineStr">
        <is>
          <t>AMG 014</t>
        </is>
      </c>
      <c r="C36" s="26" t="n"/>
      <c r="D36" s="27" t="n"/>
      <c r="E36" s="27" t="n"/>
      <c r="F36" s="27" t="n"/>
      <c r="G36" s="27" t="inlineStr">
        <is>
          <t>Hydrocarbon Bund</t>
        </is>
      </c>
      <c r="H36" s="27" t="n"/>
      <c r="I36" s="28" t="n">
        <v>1</v>
      </c>
    </row>
    <row r="37" ht="22.5" customHeight="1">
      <c r="A37" s="27" t="inlineStr">
        <is>
          <t>6 Wheel Tipper</t>
        </is>
      </c>
      <c r="B37" s="27" t="inlineStr">
        <is>
          <t>AMG 008</t>
        </is>
      </c>
      <c r="C37" s="27" t="n"/>
      <c r="D37" s="27" t="n"/>
      <c r="E37" s="27" t="n"/>
      <c r="F37" s="27" t="n"/>
      <c r="G37" s="27" t="inlineStr">
        <is>
          <t>Temp Fence</t>
        </is>
      </c>
      <c r="H37" s="26" t="n"/>
      <c r="I37" s="28" t="n">
        <v>1</v>
      </c>
    </row>
    <row r="38" ht="23.45" customHeight="1">
      <c r="A38" s="29" t="inlineStr">
        <is>
          <t>Padfoot/ Smooth Drum Roller</t>
        </is>
      </c>
      <c r="B38" s="27" t="inlineStr">
        <is>
          <t>RR 03</t>
        </is>
      </c>
      <c r="C38" s="26" t="n">
        <v>5</v>
      </c>
      <c r="D38" s="27" t="n"/>
      <c r="E38" s="27" t="n"/>
      <c r="F38" s="27" t="n"/>
      <c r="G38" s="31" t="n"/>
      <c r="H38" s="31" t="n"/>
      <c r="I38" s="32" t="n"/>
    </row>
    <row r="39" ht="23.45" customHeight="1">
      <c r="A39" s="29" t="inlineStr">
        <is>
          <t>Positrak SSL</t>
        </is>
      </c>
      <c r="B39" s="27" t="inlineStr">
        <is>
          <t>SSL08</t>
        </is>
      </c>
      <c r="C39" s="26" t="n">
        <v>6</v>
      </c>
      <c r="D39" s="27" t="n"/>
      <c r="E39" s="27" t="n"/>
      <c r="F39" s="27" t="n"/>
      <c r="G39" s="31" t="n"/>
      <c r="H39" s="31" t="n"/>
      <c r="I39" s="32" t="n"/>
    </row>
    <row r="40" ht="22.5" customHeight="1">
      <c r="A40" s="29" t="inlineStr">
        <is>
          <t>Grader</t>
        </is>
      </c>
      <c r="B40" s="27" t="inlineStr">
        <is>
          <t>SLS01</t>
        </is>
      </c>
      <c r="C40" s="26" t="n">
        <v>5</v>
      </c>
      <c r="D40" s="27" t="n"/>
      <c r="E40" s="27" t="n"/>
      <c r="F40" s="27" t="n"/>
      <c r="G40" s="27" t="n"/>
      <c r="H40" s="26" t="n"/>
      <c r="I40" s="28" t="n"/>
    </row>
    <row r="41" ht="22.5" customHeight="1">
      <c r="A41" s="29" t="inlineStr">
        <is>
          <t>5t Excavator</t>
        </is>
      </c>
      <c r="B41" s="27" t="inlineStr">
        <is>
          <t>AMG 007</t>
        </is>
      </c>
      <c r="C41" s="26" t="n"/>
      <c r="D41" s="27" t="n"/>
      <c r="E41" s="27" t="n"/>
      <c r="F41" s="27" t="n"/>
      <c r="G41" s="27" t="n"/>
      <c r="H41" s="26" t="n"/>
      <c r="I41" s="28" t="n"/>
    </row>
    <row r="42" ht="22.5" customHeight="1">
      <c r="A42" s="29" t="inlineStr">
        <is>
          <t>1.5 Excavator</t>
        </is>
      </c>
      <c r="B42" s="27" t="inlineStr">
        <is>
          <t>AMG 009</t>
        </is>
      </c>
      <c r="C42" s="26" t="n"/>
      <c r="D42" s="27" t="n"/>
      <c r="E42" s="27" t="n"/>
      <c r="F42" s="27" t="n"/>
      <c r="G42" s="27" t="n"/>
      <c r="H42" s="26" t="n"/>
      <c r="I42" s="28" t="n"/>
    </row>
    <row r="43" ht="22.5" customHeight="1">
      <c r="A43" s="29" t="inlineStr">
        <is>
          <t>5t Excavator</t>
        </is>
      </c>
      <c r="B43" s="27" t="inlineStr">
        <is>
          <t>AA 25</t>
        </is>
      </c>
      <c r="C43" s="26" t="n">
        <v>5</v>
      </c>
      <c r="D43" s="27" t="n"/>
      <c r="E43" s="27" t="n"/>
      <c r="F43" s="27" t="n"/>
      <c r="G43" s="27" t="n"/>
      <c r="H43" s="26" t="n"/>
      <c r="I43" s="28" t="n"/>
    </row>
    <row r="44" ht="23.45" customHeight="1">
      <c r="A44" s="29" t="n"/>
      <c r="B44" s="27" t="n"/>
      <c r="C44" s="26" t="n"/>
      <c r="D44" s="31" t="n"/>
      <c r="E44" s="31" t="n"/>
      <c r="F44" s="31" t="n"/>
      <c r="G44" s="31" t="n"/>
      <c r="H44" s="31" t="n"/>
      <c r="I44" s="32" t="n"/>
    </row>
    <row r="45" ht="18" customHeight="1">
      <c r="A45" s="33" t="n">
        <v>0</v>
      </c>
      <c r="B45" s="186" t="inlineStr">
        <is>
          <t xml:space="preserve">Repairs Required </t>
        </is>
      </c>
      <c r="C45" s="276" t="n"/>
      <c r="D45" s="233" t="inlineStr">
        <is>
          <t>N/A</t>
        </is>
      </c>
      <c r="E45" s="275" t="n"/>
      <c r="F45" s="275" t="n"/>
      <c r="G45" s="275" t="n"/>
      <c r="H45" s="275" t="n"/>
      <c r="I45" s="277" t="n"/>
    </row>
    <row r="46" ht="18" customHeight="1">
      <c r="A46" s="34" t="n">
        <v>0</v>
      </c>
      <c r="B46" s="186" t="inlineStr">
        <is>
          <t>Scheduled Service</t>
        </is>
      </c>
      <c r="C46" s="276" t="n"/>
      <c r="D46" s="233" t="inlineStr">
        <is>
          <t>N/A</t>
        </is>
      </c>
      <c r="E46" s="275" t="n"/>
      <c r="F46" s="275" t="n"/>
      <c r="G46" s="275" t="n"/>
      <c r="H46" s="275" t="n"/>
      <c r="I46" s="277" t="n"/>
    </row>
    <row r="47" ht="18" customHeight="1">
      <c r="A47" s="35" t="n">
        <v>0</v>
      </c>
      <c r="B47" s="186" t="inlineStr">
        <is>
          <t>Repairs required but operable</t>
        </is>
      </c>
      <c r="C47" s="276" t="n"/>
      <c r="D47" s="233" t="inlineStr">
        <is>
          <t>N/A</t>
        </is>
      </c>
      <c r="E47" s="275" t="n"/>
      <c r="F47" s="275" t="n"/>
      <c r="G47" s="275" t="n"/>
      <c r="H47" s="275" t="n"/>
      <c r="I47" s="277" t="n"/>
    </row>
    <row r="48" ht="23.1" customHeight="1">
      <c r="A48" s="239" t="inlineStr">
        <is>
          <t xml:space="preserve">Total Plant and Equipment Hours: </t>
        </is>
      </c>
      <c r="B48" s="276" t="n"/>
      <c r="C48" s="195">
        <f>SUM(C32:C44)</f>
        <v/>
      </c>
      <c r="D48" s="185" t="n"/>
      <c r="E48" s="275" t="n"/>
      <c r="F48" s="275" t="n"/>
      <c r="G48" s="275" t="n"/>
      <c r="H48" s="275" t="n"/>
      <c r="I48" s="277" t="n"/>
    </row>
    <row r="49" ht="24.95" customHeight="1">
      <c r="A49" s="230" t="inlineStr">
        <is>
          <t>DELAYS-OPPORTUNITY</t>
        </is>
      </c>
      <c r="B49" s="275" t="n"/>
      <c r="C49" s="275" t="n"/>
      <c r="D49" s="275" t="n"/>
      <c r="E49" s="275" t="n"/>
      <c r="F49" s="275" t="n"/>
      <c r="G49" s="275" t="n"/>
      <c r="H49" s="275" t="n"/>
      <c r="I49" s="277" t="n"/>
    </row>
    <row r="50" ht="20.1" customHeight="1">
      <c r="A50" s="5" t="n"/>
      <c r="B50" s="6" t="n"/>
      <c r="C50" s="6" t="n"/>
      <c r="D50" s="6" t="n"/>
      <c r="E50" s="6" t="n"/>
      <c r="F50" s="6" t="n"/>
      <c r="G50" s="6" t="n"/>
      <c r="H50" s="6" t="n"/>
      <c r="I50" s="7" t="n"/>
    </row>
    <row r="51">
      <c r="A51" s="240" t="n"/>
      <c r="B51" s="278" t="n"/>
      <c r="C51" s="278" t="n"/>
      <c r="D51" s="278" t="n"/>
      <c r="E51" s="278" t="n"/>
      <c r="F51" s="278" t="n"/>
      <c r="G51" s="278" t="n"/>
      <c r="H51" s="278" t="n"/>
      <c r="I51" s="279" t="n"/>
    </row>
    <row r="52">
      <c r="A52" s="270" t="n"/>
      <c r="I52" s="271" t="n"/>
    </row>
    <row r="53">
      <c r="A53" s="270" t="n"/>
      <c r="I53" s="271" t="n"/>
    </row>
    <row r="54" ht="13.5" customHeight="1" thickBot="1">
      <c r="A54" s="280" t="n"/>
      <c r="B54" s="281" t="n"/>
      <c r="C54" s="281" t="n"/>
      <c r="D54" s="281" t="n"/>
      <c r="E54" s="281" t="n"/>
      <c r="F54" s="281" t="n"/>
      <c r="G54" s="281" t="n"/>
      <c r="H54" s="281" t="n"/>
      <c r="I54" s="282" t="n"/>
    </row>
    <row r="55" ht="24.95" customHeight="1">
      <c r="A55" s="236" t="inlineStr">
        <is>
          <t>HSEQ MESSAGES</t>
        </is>
      </c>
      <c r="B55" s="283" t="n"/>
      <c r="C55" s="283" t="n"/>
      <c r="D55" s="283" t="n"/>
      <c r="E55" s="283" t="n"/>
      <c r="F55" s="283" t="n"/>
      <c r="G55" s="283" t="n"/>
      <c r="H55" s="283" t="n"/>
      <c r="I55" s="284" t="n"/>
    </row>
    <row r="56" ht="18" customHeight="1">
      <c r="A56" s="18" t="inlineStr">
        <is>
          <t>TCD - Monthly Safety Focus:</t>
        </is>
      </c>
      <c r="B56" s="211" t="inlineStr">
        <is>
          <t>Speaking up</t>
        </is>
      </c>
      <c r="C56" s="275" t="n"/>
      <c r="D56" s="275" t="n"/>
      <c r="E56" s="275" t="n"/>
      <c r="F56" s="275" t="n"/>
      <c r="G56" s="275" t="n"/>
      <c r="H56" s="275" t="n"/>
      <c r="I56" s="276" t="n"/>
    </row>
    <row r="57" ht="23.1" customHeight="1">
      <c r="A57" s="18" t="inlineStr">
        <is>
          <t>TCD - Daily Safety Focus:</t>
        </is>
      </c>
      <c r="B57" s="212" t="inlineStr">
        <is>
          <t>Lifting</t>
        </is>
      </c>
      <c r="C57" s="275" t="n"/>
      <c r="D57" s="275" t="n"/>
      <c r="E57" s="275" t="n"/>
      <c r="F57" s="275" t="n"/>
      <c r="G57" s="275" t="n"/>
      <c r="H57" s="275" t="n"/>
      <c r="I57" s="277" t="n"/>
    </row>
    <row r="58" ht="18" customHeight="1">
      <c r="A58" s="19" t="inlineStr">
        <is>
          <t xml:space="preserve">Hazards Reported: </t>
        </is>
      </c>
      <c r="B58" s="20" t="inlineStr">
        <is>
          <t>Nil</t>
        </is>
      </c>
      <c r="C58" s="212" t="n"/>
      <c r="D58" s="275" t="n"/>
      <c r="E58" s="275" t="n"/>
      <c r="F58" s="275" t="n"/>
      <c r="G58" s="275" t="n"/>
      <c r="H58" s="275" t="n"/>
      <c r="I58" s="277" t="n"/>
    </row>
    <row r="59" ht="18" customHeight="1">
      <c r="A59" s="19" t="inlineStr">
        <is>
          <t>Incident Free Days</t>
        </is>
      </c>
      <c r="B59" s="20">
        <f>B9+2</f>
        <v/>
      </c>
      <c r="C59" s="211" t="n"/>
      <c r="D59" s="275" t="n"/>
      <c r="E59" s="275" t="n"/>
      <c r="F59" s="275" t="n"/>
      <c r="G59" s="275" t="n"/>
      <c r="H59" s="275" t="n"/>
      <c r="I59" s="276" t="n"/>
    </row>
    <row r="60" ht="18" customHeight="1">
      <c r="A60" s="21" t="inlineStr">
        <is>
          <t>Other Notes</t>
        </is>
      </c>
      <c r="B60" s="241" t="n"/>
      <c r="C60" s="278" t="n"/>
      <c r="D60" s="278" t="n"/>
      <c r="E60" s="278" t="n"/>
      <c r="F60" s="278" t="n"/>
      <c r="G60" s="278" t="n"/>
      <c r="H60" s="278" t="n"/>
      <c r="I60" s="279" t="n"/>
    </row>
    <row r="61" ht="20.25" customHeight="1">
      <c r="A61" s="230" t="inlineStr">
        <is>
          <t xml:space="preserve">INCIDENTS &amp; REPORTS </t>
        </is>
      </c>
      <c r="B61" s="275" t="n"/>
      <c r="C61" s="275" t="n"/>
      <c r="D61" s="275" t="n"/>
      <c r="E61" s="275" t="n"/>
      <c r="F61" s="275" t="n"/>
      <c r="G61" s="275" t="n"/>
      <c r="H61" s="275" t="n"/>
      <c r="I61" s="277" t="n"/>
    </row>
    <row r="62" ht="24.95" customHeight="1">
      <c r="A62" s="11" t="n"/>
      <c r="B62" s="184" t="inlineStr">
        <is>
          <t>QTY</t>
        </is>
      </c>
      <c r="C62" s="238" t="inlineStr">
        <is>
          <t>Comments</t>
        </is>
      </c>
      <c r="D62" s="275" t="n"/>
      <c r="E62" s="275" t="n"/>
      <c r="F62" s="275" t="n"/>
      <c r="G62" s="275" t="n"/>
      <c r="H62" s="275" t="n"/>
      <c r="I62" s="277" t="n"/>
    </row>
    <row r="63" ht="24.95" customHeight="1">
      <c r="A63" s="13" t="inlineStr">
        <is>
          <t>INCIDENT</t>
        </is>
      </c>
      <c r="B63" s="184" t="n">
        <v>0</v>
      </c>
      <c r="C63" s="233" t="inlineStr">
        <is>
          <t>NA</t>
        </is>
      </c>
      <c r="D63" s="275" t="n"/>
      <c r="E63" s="275" t="n"/>
      <c r="F63" s="275" t="n"/>
      <c r="G63" s="275" t="n"/>
      <c r="H63" s="275" t="n"/>
      <c r="I63" s="277" t="n"/>
    </row>
    <row r="64" ht="24.95" customHeight="1">
      <c r="A64" s="14" t="inlineStr">
        <is>
          <t>IR</t>
        </is>
      </c>
      <c r="B64" s="15" t="n">
        <v>0</v>
      </c>
      <c r="C64" s="234" t="inlineStr">
        <is>
          <t>NA</t>
        </is>
      </c>
      <c r="D64" s="278" t="n"/>
      <c r="E64" s="278" t="n"/>
      <c r="F64" s="278" t="n"/>
      <c r="G64" s="278" t="n"/>
      <c r="H64" s="278" t="n"/>
      <c r="I64" s="279" t="n"/>
    </row>
    <row r="65" ht="24.95" customHeight="1" thickBot="1">
      <c r="A65" s="16" t="inlineStr">
        <is>
          <t>NCR</t>
        </is>
      </c>
      <c r="B65" s="17" t="n">
        <v>0</v>
      </c>
      <c r="C65" s="235" t="inlineStr">
        <is>
          <t>NA</t>
        </is>
      </c>
      <c r="D65" s="285" t="n"/>
      <c r="E65" s="285" t="n"/>
      <c r="F65" s="285" t="n"/>
      <c r="G65" s="285" t="n"/>
      <c r="H65" s="285" t="n"/>
      <c r="I65" s="286" t="n"/>
    </row>
    <row r="66" ht="20.25" customHeight="1">
      <c r="A66" s="236" t="inlineStr">
        <is>
          <t>COMMUNICATIONS</t>
        </is>
      </c>
      <c r="B66" s="283" t="n"/>
      <c r="C66" s="283" t="n"/>
      <c r="D66" s="283" t="n"/>
      <c r="E66" s="283" t="n"/>
      <c r="F66" s="283" t="n"/>
      <c r="G66" s="283" t="n"/>
      <c r="H66" s="283" t="n"/>
      <c r="I66" s="284" t="n"/>
    </row>
    <row r="67" ht="24.95" customHeight="1">
      <c r="A67" s="237" t="inlineStr">
        <is>
          <t>TGS MB1119-05 Scheme D implemented</t>
        </is>
      </c>
      <c r="B67" s="275" t="n"/>
      <c r="C67" s="275" t="n"/>
      <c r="D67" s="275" t="n"/>
      <c r="E67" s="275" t="n"/>
      <c r="F67" s="275" t="n"/>
      <c r="G67" s="275" t="n"/>
      <c r="H67" s="275" t="n"/>
      <c r="I67" s="277" t="n"/>
    </row>
    <row r="68" ht="24.95" customHeight="1">
      <c r="A68" s="237" t="n"/>
      <c r="B68" s="275" t="n"/>
      <c r="C68" s="275" t="n"/>
      <c r="D68" s="275" t="n"/>
      <c r="E68" s="275" t="n"/>
      <c r="F68" s="275" t="n"/>
      <c r="G68" s="275" t="n"/>
      <c r="H68" s="275" t="n"/>
      <c r="I68" s="277" t="n"/>
    </row>
    <row r="69" ht="24.95" customHeight="1">
      <c r="A69" s="227" t="n"/>
      <c r="B69" s="228" t="n"/>
      <c r="C69" s="228" t="n"/>
      <c r="D69" s="228" t="n"/>
      <c r="E69" s="228" t="n"/>
      <c r="F69" s="228" t="n"/>
      <c r="G69" s="228" t="n"/>
      <c r="H69" s="228" t="n"/>
      <c r="I69" s="229" t="n"/>
    </row>
    <row r="70" ht="24.95" customHeight="1">
      <c r="A70" s="230" t="inlineStr">
        <is>
          <t>PRODUCTION (CONSTRUCTION STATUS &amp; PROGRESS)</t>
        </is>
      </c>
      <c r="B70" s="275" t="n"/>
      <c r="C70" s="275" t="n"/>
      <c r="D70" s="275" t="n"/>
      <c r="E70" s="275" t="n"/>
      <c r="F70" s="275" t="n"/>
      <c r="G70" s="275" t="n"/>
      <c r="H70" s="275" t="n"/>
      <c r="I70" s="277" t="n"/>
    </row>
    <row r="71" ht="24.95" customHeight="1">
      <c r="A71" s="66" t="inlineStr">
        <is>
          <t>Ongoing cutting of Drainage pits</t>
        </is>
      </c>
      <c r="B71" s="62" t="n"/>
      <c r="C71" s="62" t="n"/>
      <c r="D71" s="62" t="n"/>
      <c r="E71" s="62" t="n"/>
      <c r="F71" s="62" t="n"/>
      <c r="G71" s="62" t="n"/>
      <c r="H71" s="62" t="n"/>
      <c r="I71" s="63" t="n"/>
    </row>
    <row r="72" ht="24.95" customHeight="1">
      <c r="A72" s="66" t="inlineStr">
        <is>
          <t>Construction of Trial Pad</t>
        </is>
      </c>
      <c r="B72" s="62" t="n"/>
      <c r="C72" s="62" t="n"/>
      <c r="D72" s="62" t="n"/>
      <c r="E72" s="62" t="n"/>
      <c r="F72" s="62" t="n"/>
      <c r="G72" s="62" t="n"/>
      <c r="H72" s="62" t="n"/>
      <c r="I72" s="63" t="n"/>
    </row>
    <row r="73" ht="24.95" customHeight="1">
      <c r="A73" s="66" t="inlineStr">
        <is>
          <t>Install Flushing/ Air Valves to Mainline</t>
        </is>
      </c>
      <c r="B73" s="62" t="n"/>
      <c r="C73" s="62" t="n"/>
      <c r="D73" s="62" t="n"/>
      <c r="E73" s="62" t="n"/>
      <c r="F73" s="62" t="n"/>
      <c r="G73" s="62" t="n"/>
      <c r="H73" s="62" t="n"/>
      <c r="I73" s="63" t="n"/>
    </row>
    <row r="74" ht="24.95" customHeight="1">
      <c r="A74" s="66" t="inlineStr">
        <is>
          <t>Pushed Laterals through sleeve</t>
        </is>
      </c>
      <c r="B74" s="62" t="n"/>
      <c r="C74" s="62" t="n"/>
      <c r="D74" s="62" t="n"/>
      <c r="E74" s="62" t="n"/>
      <c r="F74" s="62" t="n"/>
      <c r="G74" s="62" t="n"/>
      <c r="H74" s="62" t="n"/>
      <c r="I74" s="63" t="n"/>
    </row>
    <row r="75" ht="24.95" customHeight="1">
      <c r="A75" s="66" t="inlineStr">
        <is>
          <t>Rough Set Pits to irrigation mainline</t>
        </is>
      </c>
      <c r="B75" s="62" t="n"/>
      <c r="C75" s="62" t="n"/>
      <c r="D75" s="62" t="n"/>
      <c r="E75" s="62" t="n"/>
      <c r="F75" s="62" t="n"/>
      <c r="G75" s="62" t="n"/>
      <c r="H75" s="62" t="n"/>
      <c r="I75" s="63" t="n"/>
    </row>
    <row r="76" ht="24.95" customHeight="1">
      <c r="A76" s="66" t="inlineStr">
        <is>
          <t>Install headwall in sump</t>
        </is>
      </c>
      <c r="B76" s="62" t="n"/>
      <c r="C76" s="62" t="n"/>
      <c r="D76" s="62" t="n"/>
      <c r="E76" s="62" t="n"/>
      <c r="F76" s="62" t="n"/>
      <c r="G76" s="62" t="n"/>
      <c r="H76" s="62" t="n"/>
      <c r="I76" s="63" t="n"/>
    </row>
    <row r="77" ht="24.95" customHeight="1">
      <c r="A77" s="66" t="inlineStr">
        <is>
          <t>Ongoing Subgrade Prep</t>
        </is>
      </c>
      <c r="B77" s="62" t="n"/>
      <c r="C77" s="62" t="n"/>
      <c r="D77" s="62" t="n"/>
      <c r="E77" s="62" t="n"/>
      <c r="F77" s="62" t="n"/>
      <c r="G77" s="62" t="n"/>
      <c r="H77" s="62" t="n"/>
      <c r="I77" s="63" t="n"/>
    </row>
    <row r="78" ht="25.5" customHeight="1" thickBot="1">
      <c r="A78" s="231" t="inlineStr">
        <is>
          <t>Photos</t>
        </is>
      </c>
      <c r="B78" s="278" t="n"/>
      <c r="C78" s="278" t="n"/>
      <c r="D78" s="278" t="n"/>
      <c r="E78" s="278" t="n"/>
      <c r="F78" s="278" t="n"/>
      <c r="G78" s="278" t="n"/>
      <c r="H78" s="278" t="n"/>
      <c r="I78" s="279" t="n"/>
    </row>
    <row r="79" ht="22.5" customHeight="1">
      <c r="A79" s="70" t="n"/>
      <c r="B79" s="71" t="n"/>
      <c r="C79" s="71" t="n"/>
      <c r="D79" s="71" t="n"/>
      <c r="E79" s="71" t="n"/>
      <c r="F79" s="71" t="n"/>
      <c r="G79" s="71" t="n"/>
      <c r="H79" s="71" t="n"/>
      <c r="I79" s="72" t="n"/>
    </row>
    <row r="80" ht="22.5" customHeight="1">
      <c r="A80" s="73" t="n"/>
      <c r="B80" s="74" t="n"/>
      <c r="C80" s="74" t="n"/>
      <c r="D80" s="74" t="n"/>
      <c r="E80" s="74" t="n"/>
      <c r="F80" s="74" t="n"/>
      <c r="G80" s="74" t="n"/>
      <c r="H80" s="74" t="n"/>
      <c r="I80" s="75" t="n"/>
    </row>
    <row r="81" ht="15" customHeight="1">
      <c r="A81" s="73" t="n"/>
      <c r="B81" s="74" t="n"/>
      <c r="C81" s="74" t="n"/>
      <c r="D81" s="74" t="n"/>
      <c r="E81" s="74" t="n"/>
      <c r="F81" s="74" t="n"/>
      <c r="G81" s="74" t="n"/>
      <c r="H81" s="74" t="n"/>
      <c r="I81" s="75" t="n"/>
    </row>
    <row r="82" ht="15" customHeight="1">
      <c r="A82" s="73" t="n"/>
      <c r="B82" s="74" t="n"/>
      <c r="C82" s="74" t="n"/>
      <c r="D82" s="74" t="n"/>
      <c r="E82" s="74" t="n"/>
      <c r="F82" s="74" t="n"/>
      <c r="G82" s="74" t="n"/>
      <c r="H82" s="74" t="n"/>
      <c r="I82" s="75" t="n"/>
    </row>
    <row r="83" ht="15" customHeight="1">
      <c r="A83" s="73" t="n"/>
      <c r="B83" s="74" t="n"/>
      <c r="C83" s="74" t="n"/>
      <c r="D83" s="74" t="n"/>
      <c r="E83" s="74" t="n"/>
      <c r="F83" s="74" t="n"/>
      <c r="G83" s="74" t="n"/>
      <c r="H83" s="74" t="n"/>
      <c r="I83" s="75" t="n"/>
    </row>
    <row r="84" ht="15" customHeight="1">
      <c r="A84" s="73" t="n"/>
      <c r="B84" s="74" t="n"/>
      <c r="C84" s="74" t="n"/>
      <c r="D84" s="74" t="n"/>
      <c r="E84" s="74" t="n"/>
      <c r="F84" s="74" t="n"/>
      <c r="G84" s="74" t="n"/>
      <c r="H84" s="74" t="n"/>
      <c r="I84" s="75" t="n"/>
    </row>
    <row r="85" ht="15" customHeight="1">
      <c r="A85" s="73" t="n"/>
      <c r="B85" s="74" t="n"/>
      <c r="C85" s="74" t="n"/>
      <c r="D85" s="74" t="n"/>
      <c r="E85" s="74" t="n"/>
      <c r="F85" s="74" t="n"/>
      <c r="G85" s="74" t="n"/>
      <c r="H85" s="74" t="n"/>
      <c r="I85" s="75" t="n"/>
    </row>
    <row r="86" ht="15" customHeight="1">
      <c r="A86" s="73" t="n"/>
      <c r="B86" s="74" t="n"/>
      <c r="C86" s="74" t="n"/>
      <c r="D86" s="74" t="n"/>
      <c r="E86" s="74" t="n"/>
      <c r="F86" s="74" t="n"/>
      <c r="G86" s="74" t="n"/>
      <c r="H86" s="74" t="n"/>
      <c r="I86" s="75" t="n"/>
    </row>
    <row r="87" ht="15" customHeight="1">
      <c r="A87" s="73" t="n"/>
      <c r="B87" s="74" t="n"/>
      <c r="C87" s="74" t="n"/>
      <c r="D87" s="74" t="n"/>
      <c r="E87" s="74" t="n"/>
      <c r="F87" s="74" t="n"/>
      <c r="G87" s="74" t="n"/>
      <c r="H87" s="74" t="n"/>
      <c r="I87" s="75" t="n"/>
    </row>
    <row r="88" ht="15" customHeight="1">
      <c r="A88" s="73" t="n"/>
      <c r="B88" s="74" t="n"/>
      <c r="C88" s="74" t="n"/>
      <c r="D88" s="74" t="n"/>
      <c r="E88" s="74" t="n"/>
      <c r="F88" s="74" t="n"/>
      <c r="G88" s="74" t="n"/>
      <c r="H88" s="74" t="n"/>
      <c r="I88" s="75" t="n"/>
    </row>
    <row r="89" ht="15" customHeight="1">
      <c r="A89" s="73" t="n"/>
      <c r="B89" s="74" t="n"/>
      <c r="C89" s="74" t="n"/>
      <c r="D89" s="74" t="n"/>
      <c r="E89" s="74" t="n"/>
      <c r="F89" s="74" t="n"/>
      <c r="G89" s="74" t="n"/>
      <c r="H89" s="74" t="n"/>
      <c r="I89" s="75" t="n"/>
    </row>
    <row r="90" ht="15" customHeight="1">
      <c r="A90" s="73" t="n"/>
      <c r="B90" s="74" t="n"/>
      <c r="C90" s="74" t="n"/>
      <c r="D90" s="74" t="n"/>
      <c r="E90" s="74" t="n"/>
      <c r="F90" s="74" t="n"/>
      <c r="G90" s="74" t="n"/>
      <c r="H90" s="74" t="n"/>
      <c r="I90" s="75" t="n"/>
    </row>
    <row r="91" ht="15" customHeight="1">
      <c r="A91" s="73" t="n"/>
      <c r="B91" s="74" t="n"/>
      <c r="C91" s="74" t="n"/>
      <c r="D91" s="74" t="n"/>
      <c r="E91" s="74" t="n"/>
      <c r="F91" s="74" t="n"/>
      <c r="G91" s="74" t="n"/>
      <c r="H91" s="74" t="n"/>
      <c r="I91" s="75" t="n"/>
    </row>
    <row r="92" ht="15" customHeight="1">
      <c r="A92" s="73" t="n"/>
      <c r="B92" s="74" t="n"/>
      <c r="C92" s="74" t="n"/>
      <c r="D92" s="74" t="n"/>
      <c r="E92" s="74" t="n"/>
      <c r="F92" s="74" t="n"/>
      <c r="G92" s="74" t="n"/>
      <c r="H92" s="74" t="n"/>
      <c r="I92" s="75" t="n"/>
    </row>
    <row r="93" ht="15" customHeight="1">
      <c r="A93" s="73" t="n"/>
      <c r="B93" s="74" t="n"/>
      <c r="C93" s="74" t="n"/>
      <c r="D93" s="74" t="n"/>
      <c r="E93" s="74" t="n"/>
      <c r="F93" s="74" t="n"/>
      <c r="G93" s="74" t="n"/>
      <c r="H93" s="74" t="n"/>
      <c r="I93" s="75" t="n"/>
    </row>
    <row r="94" ht="15" customHeight="1">
      <c r="A94" s="73" t="n"/>
      <c r="B94" s="74" t="n"/>
      <c r="C94" s="74" t="n"/>
      <c r="D94" s="74" t="n"/>
      <c r="E94" s="74" t="n"/>
      <c r="F94" s="74" t="n"/>
      <c r="G94" s="74" t="n"/>
      <c r="H94" s="74" t="n"/>
      <c r="I94" s="75" t="n"/>
    </row>
    <row r="95" ht="15" customHeight="1">
      <c r="A95" s="73" t="n"/>
      <c r="B95" s="74" t="n"/>
      <c r="C95" s="74" t="n"/>
      <c r="D95" s="74" t="n"/>
      <c r="E95" s="74" t="n"/>
      <c r="F95" s="74" t="n"/>
      <c r="G95" s="74" t="n"/>
      <c r="H95" s="74" t="n"/>
      <c r="I95" s="75" t="n"/>
    </row>
    <row r="96" ht="15" customHeight="1">
      <c r="A96" s="73" t="n"/>
      <c r="B96" s="74" t="n"/>
      <c r="C96" s="74" t="n"/>
      <c r="D96" s="74" t="n"/>
      <c r="E96" s="74" t="n"/>
      <c r="F96" s="74" t="n"/>
      <c r="G96" s="74" t="n"/>
      <c r="H96" s="74" t="n"/>
      <c r="I96" s="75" t="n"/>
    </row>
    <row r="97" ht="15" customHeight="1">
      <c r="A97" s="73" t="n"/>
      <c r="B97" s="74" t="n"/>
      <c r="C97" s="74" t="n"/>
      <c r="D97" s="74" t="n"/>
      <c r="E97" s="74" t="n"/>
      <c r="F97" s="74" t="n"/>
      <c r="G97" s="74" t="n"/>
      <c r="H97" s="74" t="n"/>
      <c r="I97" s="75" t="n"/>
    </row>
    <row r="98" ht="15" customHeight="1">
      <c r="A98" s="73" t="n"/>
      <c r="B98" s="74" t="n"/>
      <c r="C98" s="74" t="n"/>
      <c r="D98" s="74" t="n"/>
      <c r="E98" s="74" t="n"/>
      <c r="F98" s="74" t="n"/>
      <c r="G98" s="74" t="n"/>
      <c r="H98" s="74" t="n"/>
      <c r="I98" s="75" t="n"/>
    </row>
    <row r="99" ht="15" customHeight="1">
      <c r="A99" s="73" t="n"/>
      <c r="B99" s="74" t="n"/>
      <c r="C99" s="74" t="n"/>
      <c r="D99" s="74" t="n"/>
      <c r="E99" s="74" t="n"/>
      <c r="F99" s="74" t="n"/>
      <c r="G99" s="74" t="n"/>
      <c r="H99" s="74" t="n"/>
      <c r="I99" s="75" t="n"/>
    </row>
    <row r="100" ht="15" customHeight="1">
      <c r="A100" s="73" t="n"/>
      <c r="B100" s="74" t="n"/>
      <c r="C100" s="74" t="n"/>
      <c r="D100" s="74" t="n"/>
      <c r="E100" s="74" t="n"/>
      <c r="F100" s="74" t="n"/>
      <c r="G100" s="74" t="n"/>
      <c r="H100" s="74" t="n"/>
      <c r="I100" s="75" t="n"/>
    </row>
    <row r="101" ht="15" customHeight="1">
      <c r="A101" s="73" t="n"/>
      <c r="B101" s="74" t="n"/>
      <c r="C101" s="74" t="n"/>
      <c r="D101" s="74" t="n"/>
      <c r="E101" s="74" t="n"/>
      <c r="F101" s="74" t="n"/>
      <c r="H101" s="74" t="n"/>
      <c r="I101" s="75" t="n"/>
    </row>
    <row r="102" ht="24.95" customFormat="1" customHeight="1" s="4">
      <c r="A102" s="73" t="n"/>
      <c r="B102" s="74" t="n"/>
      <c r="C102" s="74" t="n"/>
      <c r="D102" s="74" t="n"/>
      <c r="E102" s="74" t="n"/>
      <c r="F102" s="74" t="n"/>
      <c r="G102" s="74" t="n"/>
      <c r="H102" s="74" t="n"/>
      <c r="I102" s="75" t="n"/>
    </row>
    <row r="103" ht="15" customHeight="1">
      <c r="A103" s="73" t="n"/>
      <c r="B103" s="74" t="n"/>
      <c r="C103" s="74" t="n"/>
      <c r="D103" s="74" t="n"/>
      <c r="E103" s="74" t="n"/>
      <c r="F103" s="74" t="n"/>
      <c r="G103" s="74" t="n"/>
      <c r="H103" s="74" t="n"/>
      <c r="I103" s="75" t="n"/>
    </row>
    <row r="104" ht="15" customHeight="1">
      <c r="A104" s="73" t="n"/>
      <c r="B104" s="74" t="n"/>
      <c r="C104" s="74" t="n"/>
      <c r="D104" s="74" t="n"/>
      <c r="E104" s="74" t="n"/>
      <c r="F104" s="74" t="n"/>
      <c r="G104" s="74" t="n"/>
      <c r="H104" s="74" t="n"/>
      <c r="I104" s="75" t="n"/>
    </row>
    <row r="105" ht="15" customHeight="1">
      <c r="A105" s="73" t="n"/>
      <c r="B105" s="74" t="n"/>
      <c r="C105" s="74" t="n"/>
      <c r="D105" s="74" t="n"/>
      <c r="E105" s="74" t="n"/>
      <c r="F105" s="74" t="n"/>
      <c r="G105" s="74" t="n"/>
      <c r="H105" s="74" t="n"/>
      <c r="I105" s="75" t="n"/>
    </row>
    <row r="106" ht="15" customHeight="1">
      <c r="A106" s="73" t="n"/>
      <c r="B106" s="74" t="n"/>
      <c r="C106" s="74" t="n"/>
      <c r="D106" s="74" t="n"/>
      <c r="E106" s="74" t="n"/>
      <c r="F106" s="74" t="n"/>
      <c r="G106" s="74" t="n"/>
      <c r="H106" s="74" t="n"/>
      <c r="I106" s="75" t="n"/>
    </row>
    <row r="107" ht="15" customHeight="1">
      <c r="A107" s="73" t="n"/>
      <c r="B107" s="74" t="n"/>
      <c r="C107" s="74" t="n"/>
      <c r="D107" s="74" t="n"/>
      <c r="E107" s="74" t="n"/>
      <c r="F107" s="74" t="n"/>
      <c r="G107" s="74" t="n"/>
      <c r="H107" s="74" t="n"/>
      <c r="I107" s="75" t="n"/>
    </row>
    <row r="108" ht="15" customHeight="1">
      <c r="A108" s="73" t="n"/>
      <c r="B108" s="74" t="n"/>
      <c r="C108" s="74" t="n"/>
      <c r="D108" s="74" t="n"/>
      <c r="E108" s="74" t="n"/>
      <c r="F108" s="74" t="n"/>
      <c r="G108" s="74" t="n"/>
      <c r="H108" s="74" t="n"/>
      <c r="I108" s="75" t="n"/>
    </row>
    <row r="109" ht="15" customHeight="1">
      <c r="A109" s="73" t="n"/>
      <c r="B109" s="74" t="n"/>
      <c r="C109" s="74" t="n"/>
      <c r="D109" s="74" t="n"/>
      <c r="E109" s="74" t="n"/>
      <c r="F109" s="74" t="n"/>
      <c r="G109" s="74" t="n"/>
      <c r="H109" s="74" t="n"/>
      <c r="I109" s="75" t="n"/>
    </row>
    <row r="110" ht="15" customHeight="1">
      <c r="A110" s="73" t="n"/>
      <c r="B110" s="74" t="n"/>
      <c r="C110" s="74" t="n"/>
      <c r="D110" s="74" t="n"/>
      <c r="E110" s="74" t="n"/>
      <c r="F110" s="74" t="n"/>
      <c r="G110" s="74" t="n"/>
      <c r="H110" s="74" t="n"/>
      <c r="I110" s="75" t="n"/>
    </row>
    <row r="111" ht="15" customHeight="1">
      <c r="A111" s="73" t="n"/>
      <c r="B111" s="74" t="n"/>
      <c r="C111" s="74" t="n"/>
      <c r="D111" s="74" t="n"/>
      <c r="E111" s="74" t="n"/>
      <c r="F111" s="74" t="n"/>
      <c r="G111" s="74" t="n"/>
      <c r="H111" s="74" t="n"/>
      <c r="I111" s="75" t="n"/>
    </row>
    <row r="112" ht="15" customHeight="1">
      <c r="A112" s="73" t="n"/>
      <c r="B112" s="74" t="n"/>
      <c r="C112" s="74" t="n"/>
      <c r="D112" s="74" t="n"/>
      <c r="E112" s="74" t="n"/>
      <c r="F112" s="74" t="n"/>
      <c r="G112" s="74" t="n"/>
      <c r="H112" s="74" t="n"/>
      <c r="I112" s="75" t="n"/>
    </row>
    <row r="113" ht="15" customHeight="1">
      <c r="A113" s="73" t="n"/>
      <c r="B113" s="74" t="n"/>
      <c r="C113" s="74" t="n"/>
      <c r="D113" s="74" t="n"/>
      <c r="E113" s="74" t="n"/>
      <c r="F113" s="74" t="n"/>
      <c r="G113" s="74" t="n"/>
      <c r="H113" s="74" t="n"/>
      <c r="I113" s="75" t="n"/>
    </row>
    <row r="114" ht="15" customHeight="1">
      <c r="A114" s="73" t="n"/>
      <c r="B114" s="74" t="n"/>
      <c r="C114" s="74" t="n"/>
      <c r="D114" s="74" t="n"/>
      <c r="E114" s="74" t="n"/>
      <c r="F114" s="74" t="n"/>
      <c r="G114" s="74" t="n"/>
      <c r="H114" s="74" t="n"/>
      <c r="I114" s="75" t="n"/>
    </row>
    <row r="115" ht="15" customHeight="1">
      <c r="A115" s="73" t="n"/>
      <c r="B115" s="74" t="n"/>
      <c r="C115" s="74" t="n"/>
      <c r="D115" s="74" t="n"/>
      <c r="E115" s="74" t="n"/>
      <c r="F115" s="74" t="n"/>
      <c r="G115" s="74" t="n"/>
      <c r="H115" s="74" t="n"/>
      <c r="I115" s="75" t="n"/>
    </row>
    <row r="116" ht="15" customHeight="1">
      <c r="A116" s="73" t="n"/>
      <c r="B116" s="74" t="n"/>
      <c r="C116" s="74" t="n"/>
      <c r="D116" s="74" t="n"/>
      <c r="E116" s="74" t="n"/>
      <c r="F116" s="74" t="n"/>
      <c r="G116" s="74" t="n"/>
      <c r="H116" s="74" t="n"/>
      <c r="I116" s="75" t="n"/>
    </row>
    <row r="117" ht="15" customHeight="1" thickBot="1">
      <c r="A117" s="76" t="n"/>
      <c r="B117" s="77" t="n"/>
      <c r="C117" s="77" t="n"/>
      <c r="D117" s="77" t="n"/>
      <c r="E117" s="77" t="n"/>
      <c r="F117" s="77" t="n"/>
      <c r="G117" s="77" t="n"/>
      <c r="H117" s="77" t="n"/>
      <c r="I117" s="78" t="n"/>
    </row>
    <row r="118" ht="15" customHeight="1">
      <c r="A118" s="73" t="n"/>
      <c r="B118" s="74" t="n"/>
      <c r="C118" s="74" t="n"/>
      <c r="D118" s="74" t="n"/>
      <c r="E118" s="74" t="n"/>
      <c r="F118" s="74" t="n"/>
      <c r="G118" s="74" t="n"/>
      <c r="H118" s="74" t="n"/>
      <c r="I118" s="75" t="n"/>
    </row>
    <row r="119" ht="15" customHeight="1">
      <c r="A119" s="73" t="n"/>
      <c r="B119" s="74" t="n"/>
      <c r="C119" s="74" t="n"/>
      <c r="D119" s="74" t="n"/>
      <c r="E119" s="74" t="n"/>
      <c r="F119" s="74" t="n"/>
      <c r="G119" s="74" t="n"/>
      <c r="H119" s="74" t="n"/>
      <c r="I119" s="75" t="n"/>
    </row>
    <row r="120" ht="15" customHeight="1">
      <c r="A120" s="73" t="n"/>
      <c r="B120" s="74" t="n"/>
      <c r="C120" s="74" t="n"/>
      <c r="D120" s="74" t="n"/>
      <c r="E120" s="74" t="n"/>
      <c r="F120" s="74" t="n"/>
      <c r="G120" s="74" t="n"/>
      <c r="H120" s="74" t="n"/>
      <c r="I120" s="75" t="n"/>
    </row>
    <row r="121" ht="15" customHeight="1">
      <c r="A121" s="73" t="n"/>
      <c r="B121" s="74" t="n"/>
      <c r="C121" s="74" t="n"/>
      <c r="D121" s="74" t="n"/>
      <c r="E121" s="74" t="n"/>
      <c r="F121" s="74" t="n"/>
      <c r="G121" s="74" t="n"/>
      <c r="H121" s="74" t="n"/>
      <c r="I121" s="75" t="n"/>
    </row>
    <row r="122" ht="15" customHeight="1">
      <c r="A122" s="73" t="n"/>
      <c r="B122" s="74" t="n"/>
      <c r="C122" s="74" t="n"/>
      <c r="D122" s="74" t="n"/>
      <c r="E122" s="74" t="n"/>
      <c r="F122" s="74" t="n"/>
      <c r="G122" s="74" t="n"/>
      <c r="H122" s="74" t="n"/>
      <c r="I122" s="75" t="n"/>
    </row>
    <row r="123" ht="15" customHeight="1">
      <c r="A123" s="73" t="n"/>
      <c r="B123" s="74" t="n"/>
      <c r="C123" s="74" t="n"/>
      <c r="D123" s="74" t="n"/>
      <c r="E123" s="74" t="n"/>
      <c r="F123" s="74" t="n"/>
      <c r="G123" s="74" t="n"/>
      <c r="H123" s="74" t="n"/>
      <c r="I123" s="75" t="n"/>
    </row>
    <row r="124" ht="15" customHeight="1">
      <c r="A124" s="73" t="n"/>
      <c r="B124" s="74" t="n"/>
      <c r="C124" s="74" t="n"/>
      <c r="D124" s="74" t="n"/>
      <c r="E124" s="74" t="n"/>
      <c r="F124" s="74" t="n"/>
      <c r="G124" s="74" t="n"/>
      <c r="H124" s="74" t="n"/>
      <c r="I124" s="75" t="n"/>
    </row>
    <row r="125" ht="15" customHeight="1">
      <c r="A125" s="73" t="n"/>
      <c r="B125" s="74" t="n"/>
      <c r="C125" s="74" t="n"/>
      <c r="D125" s="74" t="n"/>
      <c r="E125" s="74" t="n"/>
      <c r="F125" s="74" t="n"/>
      <c r="G125" s="74" t="n"/>
      <c r="H125" s="74" t="n"/>
      <c r="I125" s="75" t="n"/>
    </row>
    <row r="126" ht="24.95" customHeight="1">
      <c r="A126" s="73" t="n"/>
      <c r="B126" s="74" t="n"/>
      <c r="C126" s="74" t="n"/>
      <c r="D126" s="74" t="n"/>
      <c r="E126" s="74" t="n"/>
      <c r="F126" s="74" t="n"/>
      <c r="G126" s="74" t="n"/>
      <c r="H126" s="74" t="n"/>
      <c r="I126" s="75" t="n"/>
    </row>
    <row r="127" ht="15" customHeight="1">
      <c r="A127" s="73" t="n"/>
      <c r="B127" s="74" t="n"/>
      <c r="C127" s="74" t="n"/>
      <c r="D127" s="74" t="n"/>
      <c r="E127" s="74" t="n"/>
      <c r="F127" s="74" t="n"/>
      <c r="G127" s="74" t="n"/>
      <c r="H127" s="74" t="n"/>
      <c r="I127" s="75" t="n"/>
    </row>
    <row r="128" ht="15" customHeight="1">
      <c r="A128" s="73" t="n"/>
      <c r="B128" s="74" t="n"/>
      <c r="C128" s="74" t="n"/>
      <c r="D128" s="74" t="n"/>
      <c r="E128" s="74" t="n"/>
      <c r="F128" s="74" t="n"/>
      <c r="G128" s="74" t="n"/>
      <c r="H128" s="74" t="n"/>
      <c r="I128" s="75" t="n"/>
    </row>
    <row r="129" ht="27.95" customHeight="1">
      <c r="A129" s="73" t="n"/>
      <c r="B129" s="74" t="n"/>
      <c r="C129" s="74" t="n"/>
      <c r="D129" s="74" t="n"/>
      <c r="E129" s="74" t="n"/>
      <c r="F129" s="74" t="n"/>
      <c r="G129" s="74" t="n"/>
      <c r="H129" s="74" t="n"/>
      <c r="I129" s="75" t="n"/>
    </row>
    <row r="130" ht="15" customHeight="1">
      <c r="A130" s="73" t="n"/>
      <c r="B130" s="74" t="n"/>
      <c r="C130" s="74" t="n"/>
      <c r="D130" s="74" t="n"/>
      <c r="E130" s="74" t="n"/>
      <c r="F130" s="74" t="n"/>
      <c r="G130" s="74" t="n"/>
      <c r="H130" s="74" t="n"/>
      <c r="I130" s="75" t="n"/>
    </row>
    <row r="131" ht="15" customHeight="1">
      <c r="A131" s="73" t="n"/>
      <c r="B131" s="74" t="n"/>
      <c r="C131" s="74" t="n"/>
      <c r="D131" s="74" t="n"/>
      <c r="E131" s="74" t="n"/>
      <c r="F131" s="74" t="n"/>
      <c r="G131" s="74" t="n"/>
      <c r="H131" s="74" t="n"/>
      <c r="I131" s="75" t="n"/>
    </row>
    <row r="132" ht="15" customHeight="1">
      <c r="A132" s="73" t="n"/>
      <c r="B132" s="74" t="n"/>
      <c r="C132" s="74" t="n"/>
      <c r="D132" s="74" t="n"/>
      <c r="E132" s="74" t="n"/>
      <c r="F132" s="74" t="n"/>
      <c r="G132" s="74" t="n"/>
      <c r="H132" s="74" t="n"/>
      <c r="I132" s="75" t="n"/>
    </row>
    <row r="133" ht="15" customHeight="1">
      <c r="A133" s="73" t="n"/>
      <c r="B133" s="74" t="n"/>
      <c r="C133" s="74" t="n"/>
      <c r="D133" s="74" t="n"/>
      <c r="E133" s="74" t="n"/>
      <c r="F133" s="74" t="n"/>
      <c r="G133" s="74" t="n"/>
      <c r="H133" s="74" t="n"/>
      <c r="I133" s="75" t="n"/>
    </row>
    <row r="134" ht="15" customHeight="1">
      <c r="A134" s="73" t="n"/>
      <c r="B134" s="74" t="n"/>
      <c r="C134" s="74" t="n"/>
      <c r="D134" s="74" t="n"/>
      <c r="E134" s="74" t="n"/>
      <c r="F134" s="74" t="n"/>
      <c r="G134" s="74" t="n"/>
      <c r="H134" s="74" t="n"/>
      <c r="I134" s="75" t="n"/>
    </row>
    <row r="135" ht="15" customHeight="1">
      <c r="A135" s="73" t="n"/>
      <c r="B135" s="74" t="n"/>
      <c r="C135" s="74" t="n"/>
      <c r="D135" s="74" t="n"/>
      <c r="E135" s="74" t="n"/>
      <c r="F135" s="74" t="n"/>
      <c r="G135" s="74" t="n"/>
      <c r="H135" s="74" t="n"/>
      <c r="I135" s="75" t="n"/>
    </row>
    <row r="136" ht="15" customHeight="1">
      <c r="A136" s="73" t="n"/>
      <c r="B136" s="74" t="n"/>
      <c r="C136" s="74" t="n"/>
      <c r="D136" s="74" t="n"/>
      <c r="E136" s="74" t="n"/>
      <c r="F136" s="74" t="n"/>
      <c r="G136" s="74" t="n"/>
      <c r="H136" s="74" t="n"/>
      <c r="I136" s="75" t="n"/>
    </row>
    <row r="137" ht="15" customHeight="1">
      <c r="A137" s="73" t="n"/>
      <c r="B137" s="74" t="n"/>
      <c r="C137" s="74" t="n"/>
      <c r="D137" s="74" t="n"/>
      <c r="E137" s="74" t="n"/>
      <c r="F137" s="74" t="n"/>
      <c r="G137" s="74" t="n"/>
      <c r="H137" s="74" t="n"/>
      <c r="I137" s="75" t="n"/>
    </row>
    <row r="138" ht="15" customHeight="1">
      <c r="A138" s="73" t="n"/>
      <c r="B138" s="74" t="n"/>
      <c r="C138" s="74" t="n"/>
      <c r="D138" s="74" t="n"/>
      <c r="E138" s="74" t="n"/>
      <c r="F138" s="74" t="n"/>
      <c r="G138" s="74" t="n"/>
      <c r="H138" s="74" t="n"/>
      <c r="I138" s="75" t="n"/>
    </row>
    <row r="139" ht="15" customHeight="1">
      <c r="A139" s="73" t="n"/>
      <c r="B139" s="74" t="n"/>
      <c r="C139" s="74" t="n"/>
      <c r="D139" s="74" t="n"/>
      <c r="E139" s="74" t="n"/>
      <c r="F139" s="74" t="n"/>
      <c r="G139" s="74" t="n"/>
      <c r="H139" s="74" t="n"/>
      <c r="I139" s="75" t="n"/>
    </row>
    <row r="140" ht="15" customHeight="1">
      <c r="A140" s="73" t="n"/>
      <c r="B140" s="74" t="n"/>
      <c r="C140" s="74" t="n"/>
      <c r="D140" s="74" t="n"/>
      <c r="E140" s="74" t="n"/>
      <c r="F140" s="74" t="n"/>
      <c r="G140" s="74" t="n"/>
      <c r="H140" s="74" t="n"/>
      <c r="I140" s="75" t="n"/>
    </row>
    <row r="141" ht="15" customHeight="1">
      <c r="A141" s="73" t="n"/>
      <c r="B141" s="74" t="n"/>
      <c r="C141" s="74" t="n"/>
      <c r="D141" s="74" t="n"/>
      <c r="E141" s="74" t="n"/>
      <c r="F141" s="74" t="n"/>
      <c r="G141" s="74" t="n"/>
      <c r="H141" s="74" t="n"/>
      <c r="I141" s="75" t="n"/>
    </row>
    <row r="142" ht="15" customHeight="1" thickBot="1">
      <c r="A142" s="73" t="n"/>
      <c r="B142" s="74" t="n"/>
      <c r="C142" s="74" t="n"/>
      <c r="D142" s="74" t="n"/>
      <c r="E142" s="74" t="n"/>
      <c r="F142" s="74" t="n"/>
      <c r="G142" s="74" t="n"/>
      <c r="H142" s="74" t="n"/>
      <c r="I142" s="75" t="n"/>
      <c r="J142" s="8" t="n"/>
    </row>
    <row r="143" ht="15" customHeight="1">
      <c r="A143" s="73" t="n"/>
      <c r="B143" s="74" t="n"/>
      <c r="C143" s="74" t="n"/>
      <c r="D143" s="74" t="n"/>
      <c r="E143" s="74" t="n"/>
      <c r="F143" s="74" t="n"/>
      <c r="G143" s="74" t="n"/>
      <c r="H143" s="74" t="n"/>
      <c r="I143" s="75" t="n"/>
    </row>
    <row r="144" ht="15" customHeight="1">
      <c r="A144" s="73" t="n"/>
      <c r="B144" s="74" t="n"/>
      <c r="C144" s="74" t="n"/>
      <c r="D144" s="74" t="n"/>
      <c r="E144" s="74" t="n"/>
      <c r="F144" s="74" t="n"/>
      <c r="G144" s="74" t="n"/>
      <c r="H144" s="74" t="n"/>
      <c r="I144" s="75" t="n"/>
    </row>
    <row r="145" ht="15" customHeight="1">
      <c r="A145" s="73" t="n"/>
      <c r="B145" s="74" t="n"/>
      <c r="C145" s="74" t="n"/>
      <c r="D145" s="74" t="n"/>
      <c r="E145" s="74" t="n"/>
      <c r="F145" s="74" t="n"/>
      <c r="G145" s="74" t="n"/>
      <c r="H145" s="74" t="n"/>
      <c r="I145" s="75" t="n"/>
    </row>
    <row r="146" ht="15" customHeight="1">
      <c r="A146" s="73" t="n"/>
      <c r="B146" s="74" t="n"/>
      <c r="C146" s="74" t="n"/>
      <c r="D146" s="74" t="n"/>
      <c r="E146" s="74" t="n"/>
      <c r="F146" s="74" t="n"/>
      <c r="G146" s="74" t="n"/>
      <c r="H146" s="74" t="n"/>
      <c r="I146" s="75" t="n"/>
    </row>
    <row r="147" ht="15" customHeight="1">
      <c r="A147" s="73" t="n"/>
      <c r="B147" s="74" t="n"/>
      <c r="C147" s="74" t="n"/>
      <c r="D147" s="74" t="n"/>
      <c r="E147" s="74" t="n"/>
      <c r="F147" s="74" t="n"/>
      <c r="G147" s="74" t="n"/>
      <c r="H147" s="74" t="n"/>
      <c r="I147" s="75" t="n"/>
    </row>
    <row r="148" ht="15" customHeight="1">
      <c r="B148" s="74" t="n"/>
      <c r="C148" s="74" t="n"/>
      <c r="D148" s="74" t="n"/>
      <c r="E148" s="74" t="n"/>
      <c r="F148" s="74" t="n"/>
      <c r="G148" s="74" t="n"/>
      <c r="H148" s="74" t="n"/>
      <c r="I148" s="75" t="n"/>
    </row>
    <row r="149" ht="15.95" customHeight="1">
      <c r="A149" s="73" t="n"/>
      <c r="B149" s="74" t="n"/>
      <c r="C149" s="74" t="n"/>
      <c r="D149" s="74" t="n"/>
      <c r="E149" s="74" t="n"/>
      <c r="F149" s="74" t="n"/>
      <c r="G149" s="74" t="n"/>
      <c r="H149" s="74" t="n"/>
      <c r="I149" s="75" t="n"/>
    </row>
    <row r="150" ht="30.75" customHeight="1">
      <c r="A150" s="218" t="n"/>
      <c r="E150" s="220" t="n"/>
      <c r="I150" s="271"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A181" s="64" t="n"/>
      <c r="I181" s="65" t="n"/>
    </row>
    <row r="182">
      <c r="A182" s="64" t="n"/>
      <c r="I182" s="65" t="n"/>
    </row>
    <row r="183">
      <c r="A183" s="64" t="n"/>
      <c r="I183" s="65" t="n"/>
    </row>
    <row r="184">
      <c r="A184" s="64" t="n"/>
      <c r="I184" s="65" t="n"/>
    </row>
    <row r="185">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c r="A200" s="64" t="n"/>
      <c r="I200" s="65" t="n"/>
    </row>
    <row r="201">
      <c r="A201" s="64" t="n"/>
      <c r="I201" s="65" t="n"/>
    </row>
    <row r="202">
      <c r="A202" s="64" t="n"/>
      <c r="I202" s="65" t="n"/>
    </row>
    <row r="203">
      <c r="A203" s="64" t="n"/>
      <c r="I203" s="65" t="n"/>
    </row>
    <row r="204">
      <c r="A204" s="64" t="n"/>
      <c r="I204" s="65" t="n"/>
    </row>
    <row r="205">
      <c r="A205" s="64" t="n"/>
      <c r="I205" s="65" t="n"/>
    </row>
    <row r="206">
      <c r="A206" s="64" t="n"/>
      <c r="I206" s="65" t="n"/>
    </row>
    <row r="207">
      <c r="A207" s="64" t="n"/>
      <c r="I207" s="65" t="n"/>
    </row>
    <row r="208">
      <c r="A208" s="64" t="n"/>
      <c r="I208" s="65" t="n"/>
    </row>
    <row r="209">
      <c r="A209" s="64" t="n"/>
      <c r="I209" s="65" t="n"/>
    </row>
    <row r="210">
      <c r="A210" s="64" t="n"/>
      <c r="I210" s="65" t="n"/>
    </row>
    <row r="211">
      <c r="A211" s="64" t="n"/>
      <c r="I211" s="65" t="n"/>
    </row>
    <row r="212">
      <c r="A212" s="64" t="n"/>
      <c r="I212" s="65" t="n"/>
    </row>
    <row r="213">
      <c r="A213" s="64" t="n"/>
      <c r="I213" s="65" t="n"/>
    </row>
  </sheetData>
  <mergeCells count="40">
    <mergeCell ref="A48:B48"/>
    <mergeCell ref="A150:D150"/>
    <mergeCell ref="B47:C47"/>
    <mergeCell ref="D13:F13"/>
    <mergeCell ref="G13:I13"/>
    <mergeCell ref="B8:D8"/>
    <mergeCell ref="A66:I66"/>
    <mergeCell ref="B46:C46"/>
    <mergeCell ref="D48:I48"/>
    <mergeCell ref="A55:I55"/>
    <mergeCell ref="A12:I12"/>
    <mergeCell ref="E150:I150"/>
    <mergeCell ref="D47:I47"/>
    <mergeCell ref="B56:I56"/>
    <mergeCell ref="A5:I5"/>
    <mergeCell ref="A51:I54"/>
    <mergeCell ref="B9:D9"/>
    <mergeCell ref="B60:I60"/>
    <mergeCell ref="C62:I62"/>
    <mergeCell ref="B57:I57"/>
    <mergeCell ref="B6:D6"/>
    <mergeCell ref="C58:I58"/>
    <mergeCell ref="A13:C13"/>
    <mergeCell ref="A68:I68"/>
    <mergeCell ref="A10:I10"/>
    <mergeCell ref="C64:I64"/>
    <mergeCell ref="A1:I4"/>
    <mergeCell ref="A67:I67"/>
    <mergeCell ref="B7:D7"/>
    <mergeCell ref="C65:I65"/>
    <mergeCell ref="C63:I63"/>
    <mergeCell ref="A49:I49"/>
    <mergeCell ref="A11:I11"/>
    <mergeCell ref="D46:I46"/>
    <mergeCell ref="C59:I59"/>
    <mergeCell ref="B45:C45"/>
    <mergeCell ref="A70:I70"/>
    <mergeCell ref="D45:I45"/>
    <mergeCell ref="A61:I61"/>
    <mergeCell ref="A78:I78"/>
  </mergeCells>
  <printOptions horizontalCentered="1"/>
  <pageMargins left="0.2362204724409449" right="0.2362204724409449" top="0.7480314960629921" bottom="0.7480314960629921" header="0.3149606299212598" footer="0.3149606299212598"/>
  <pageSetup orientation="portrait" paperSize="9" scale="34" fitToHeight="0"/>
  <rowBreaks count="2" manualBreakCount="2">
    <brk id="77" min="0" max="8" man="1"/>
    <brk id="215" min="0" max="8" man="1"/>
  </rowBreaks>
</worksheet>
</file>

<file path=xl/worksheets/sheet4.xml><?xml version="1.0" encoding="utf-8"?>
<worksheet xmlns="http://schemas.openxmlformats.org/spreadsheetml/2006/main">
  <sheetPr>
    <outlinePr summaryBelow="1" summaryRight="1"/>
    <pageSetUpPr fitToPage="1"/>
  </sheetPr>
  <dimension ref="A1:S211"/>
  <sheetViews>
    <sheetView view="pageBreakPreview" zoomScale="40" zoomScaleNormal="100" zoomScaleSheetLayoutView="40" workbookViewId="0">
      <selection activeCell="D41" sqref="D41"/>
    </sheetView>
  </sheetViews>
  <sheetFormatPr baseColWidth="8" defaultColWidth="9.140625" defaultRowHeight="14.45"/>
  <cols>
    <col width="62.140625" bestFit="1" customWidth="1" style="232" min="1" max="1"/>
    <col width="41.42578125" bestFit="1" customWidth="1" style="232" min="2" max="2"/>
    <col width="16" customWidth="1" style="232" min="3" max="3"/>
    <col width="28.710937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6384"/>
  </cols>
  <sheetData>
    <row r="1">
      <c r="A1" s="243"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170" t="inlineStr">
        <is>
          <t>TCD DAILY FIELD REPORT</t>
        </is>
      </c>
      <c r="B5" s="275" t="n"/>
      <c r="C5" s="275" t="n"/>
      <c r="D5" s="275" t="n"/>
      <c r="E5" s="275" t="n"/>
      <c r="F5" s="275" t="n"/>
      <c r="G5" s="275" t="n"/>
      <c r="H5" s="275" t="n"/>
      <c r="I5" s="276" t="n"/>
    </row>
    <row r="6" ht="23.1" customHeight="1">
      <c r="A6" s="49" t="inlineStr">
        <is>
          <t>Project Name:</t>
        </is>
      </c>
      <c r="B6" s="173" t="inlineStr">
        <is>
          <t>Batavia Station Square</t>
        </is>
      </c>
      <c r="E6" s="173" t="n"/>
      <c r="F6" s="51" t="n"/>
      <c r="G6" s="51" t="n"/>
      <c r="H6" s="52" t="inlineStr">
        <is>
          <t>Date:</t>
        </is>
      </c>
      <c r="I6" s="53" t="n">
        <v>45875</v>
      </c>
    </row>
    <row r="7" ht="23.1" customHeight="1">
      <c r="A7" s="49" t="inlineStr">
        <is>
          <t>Project Location:</t>
        </is>
      </c>
      <c r="B7" s="173" t="inlineStr">
        <is>
          <t>Geraldton</t>
        </is>
      </c>
      <c r="E7" s="173" t="n"/>
      <c r="F7" s="51" t="n"/>
      <c r="G7" s="51" t="n"/>
      <c r="H7" s="54" t="inlineStr">
        <is>
          <t>Day:</t>
        </is>
      </c>
      <c r="I7" s="55">
        <f>I6</f>
        <v/>
      </c>
    </row>
    <row r="8" ht="23.1" customHeight="1">
      <c r="A8" s="49" t="inlineStr">
        <is>
          <t>Project Number:</t>
        </is>
      </c>
      <c r="B8" s="173" t="inlineStr">
        <is>
          <t>TCD-1816</t>
        </is>
      </c>
      <c r="E8" s="173" t="n"/>
      <c r="F8" s="51" t="n"/>
      <c r="G8" s="51" t="n"/>
      <c r="H8" s="54" t="inlineStr">
        <is>
          <t>Start:</t>
        </is>
      </c>
      <c r="I8" s="56" t="n">
        <v>0.2916666666666667</v>
      </c>
    </row>
    <row r="9" ht="23.1" customHeight="1">
      <c r="A9" s="49" t="inlineStr">
        <is>
          <t>Report Number:</t>
        </is>
      </c>
      <c r="B9" s="159" t="n">
        <v>72</v>
      </c>
      <c r="C9" s="273" t="n"/>
      <c r="D9" s="273" t="n"/>
      <c r="E9" s="160" t="n"/>
      <c r="F9" s="58" t="n"/>
      <c r="G9" s="58" t="n"/>
      <c r="H9" s="54" t="inlineStr">
        <is>
          <t>Finish:</t>
        </is>
      </c>
      <c r="I9" s="56" t="n">
        <v>0.7083333333333334</v>
      </c>
    </row>
    <row r="10" ht="24.95" customHeight="1">
      <c r="A10" s="230" t="inlineStr">
        <is>
          <t>WEATHER &amp; GROUND CONDITIONS</t>
        </is>
      </c>
      <c r="B10" s="275" t="n"/>
      <c r="C10" s="275" t="n"/>
      <c r="D10" s="275" t="n"/>
      <c r="E10" s="275" t="n"/>
      <c r="F10" s="275" t="n"/>
      <c r="G10" s="275" t="n"/>
      <c r="H10" s="275" t="n"/>
      <c r="I10" s="277" t="n"/>
    </row>
    <row r="11" ht="22.5" customHeight="1">
      <c r="A11" s="287" t="inlineStr">
        <is>
          <t xml:space="preserve">Temperature: 19 degrees    Wind No reading from BOM km/h N  Precip: 0 mm </t>
        </is>
      </c>
      <c r="B11" s="275" t="n"/>
      <c r="C11" s="275" t="n"/>
      <c r="D11" s="275" t="n"/>
      <c r="E11" s="275" t="n"/>
      <c r="F11" s="275" t="n"/>
      <c r="G11" s="275" t="n"/>
      <c r="H11" s="275" t="n"/>
      <c r="I11" s="277" t="n"/>
    </row>
    <row r="12" ht="24.95" customHeight="1">
      <c r="A12" s="231" t="inlineStr">
        <is>
          <t>PERSONNEL</t>
        </is>
      </c>
      <c r="B12" s="278" t="n"/>
      <c r="C12" s="278" t="n"/>
      <c r="D12" s="278" t="n"/>
      <c r="E12" s="278" t="n"/>
      <c r="F12" s="278" t="n"/>
      <c r="G12" s="278" t="n"/>
      <c r="H12" s="278" t="n"/>
      <c r="I12" s="279" t="n"/>
    </row>
    <row r="13" ht="23.1" customHeight="1">
      <c r="A13" s="183" t="inlineStr">
        <is>
          <t>TCD Indirects</t>
        </is>
      </c>
      <c r="B13" s="275" t="n"/>
      <c r="C13" s="276" t="n"/>
      <c r="D13" s="184" t="inlineStr">
        <is>
          <t>TCD Directs</t>
        </is>
      </c>
      <c r="E13" s="275" t="n"/>
      <c r="F13" s="276" t="n"/>
      <c r="G13" s="184" t="inlineStr">
        <is>
          <t>Subcontractors</t>
        </is>
      </c>
      <c r="H13" s="275" t="n"/>
      <c r="I13" s="276" t="n"/>
    </row>
    <row r="14" ht="23.1" customHeight="1">
      <c r="A14" s="183" t="inlineStr">
        <is>
          <t xml:space="preserve"> Name</t>
        </is>
      </c>
      <c r="B14" s="184" t="inlineStr">
        <is>
          <t>Position</t>
        </is>
      </c>
      <c r="C14" s="39" t="inlineStr">
        <is>
          <t>Hours</t>
        </is>
      </c>
      <c r="D14" s="184" t="inlineStr">
        <is>
          <t xml:space="preserve"> Name</t>
        </is>
      </c>
      <c r="E14" s="184" t="inlineStr">
        <is>
          <t>Position</t>
        </is>
      </c>
      <c r="F14" s="39" t="inlineStr">
        <is>
          <t>Hours</t>
        </is>
      </c>
      <c r="G14" s="184" t="inlineStr">
        <is>
          <t xml:space="preserve"> Name</t>
        </is>
      </c>
      <c r="H14" s="184" t="inlineStr">
        <is>
          <t>Position</t>
        </is>
      </c>
      <c r="I14" s="185" t="inlineStr">
        <is>
          <t>Hours</t>
        </is>
      </c>
    </row>
    <row r="15" ht="22.5" customHeight="1">
      <c r="A15" s="25" t="inlineStr">
        <is>
          <t>WATKINS, Steve</t>
        </is>
      </c>
      <c r="B15" s="26" t="inlineStr">
        <is>
          <t>Civil Manager</t>
        </is>
      </c>
      <c r="C15" s="40" t="n"/>
      <c r="D15" s="41" t="n"/>
      <c r="E15" s="41" t="n"/>
      <c r="F15" s="26" t="n"/>
      <c r="G15" s="42" t="inlineStr">
        <is>
          <t>Khegan Brockman</t>
        </is>
      </c>
      <c r="H15" s="26" t="inlineStr">
        <is>
          <t>Labourer</t>
        </is>
      </c>
      <c r="I15" s="28" t="n">
        <v>10</v>
      </c>
    </row>
    <row r="16" ht="22.5" customHeight="1">
      <c r="A16" s="25" t="inlineStr">
        <is>
          <t>GRIFFITHS, Daniel</t>
        </is>
      </c>
      <c r="B16" s="26" t="inlineStr">
        <is>
          <t>Project Manager</t>
        </is>
      </c>
      <c r="C16" s="27" t="n">
        <v>10</v>
      </c>
      <c r="D16" s="43" t="n"/>
      <c r="E16" s="43" t="n"/>
      <c r="F16" s="26" t="n"/>
      <c r="G16" s="42" t="inlineStr">
        <is>
          <t>Laurent Levy</t>
        </is>
      </c>
      <c r="H16" s="26" t="inlineStr">
        <is>
          <t>Operator</t>
        </is>
      </c>
      <c r="I16" s="28" t="n">
        <v>10</v>
      </c>
    </row>
    <row r="17" ht="22.5" customHeight="1">
      <c r="A17" s="25" t="inlineStr">
        <is>
          <t>O"SHEA, John</t>
        </is>
      </c>
      <c r="B17" s="26" t="inlineStr">
        <is>
          <t>Senior Project Engineer</t>
        </is>
      </c>
      <c r="C17" s="27" t="n">
        <v>10</v>
      </c>
      <c r="D17" s="43" t="n"/>
      <c r="E17" s="43" t="n"/>
      <c r="F17" s="26" t="n"/>
      <c r="G17" s="42" t="inlineStr">
        <is>
          <t>Daniel McAuffile</t>
        </is>
      </c>
      <c r="H17" s="26" t="inlineStr">
        <is>
          <t>Operator</t>
        </is>
      </c>
      <c r="I17" s="28" t="n">
        <v>10</v>
      </c>
    </row>
    <row r="18" ht="22.5" customHeight="1">
      <c r="A18" s="25" t="inlineStr">
        <is>
          <t>GRIFFITHS, Ashley</t>
        </is>
      </c>
      <c r="B18" s="26" t="inlineStr">
        <is>
          <t>Supervisor</t>
        </is>
      </c>
      <c r="C18" s="27" t="n">
        <v>10</v>
      </c>
      <c r="D18" s="41" t="n"/>
      <c r="E18" s="41" t="n"/>
      <c r="F18" s="26" t="n"/>
      <c r="G18" s="42" t="inlineStr">
        <is>
          <t>O'Brian, Jamie</t>
        </is>
      </c>
      <c r="H18" s="26" t="inlineStr">
        <is>
          <t>Operator</t>
        </is>
      </c>
      <c r="I18" s="28" t="n">
        <v>10</v>
      </c>
    </row>
    <row r="19" ht="22.5" customHeight="1">
      <c r="A19" s="25" t="inlineStr">
        <is>
          <t>LOW, June</t>
        </is>
      </c>
      <c r="B19" s="26" t="inlineStr">
        <is>
          <t>HSET</t>
        </is>
      </c>
      <c r="C19" s="27" t="n"/>
      <c r="D19" s="41" t="n"/>
      <c r="E19" s="41" t="n"/>
      <c r="F19" s="26" t="n"/>
      <c r="G19" s="42" t="inlineStr">
        <is>
          <t>Simpson, Josh</t>
        </is>
      </c>
      <c r="H19" s="26" t="inlineStr">
        <is>
          <t>Operator</t>
        </is>
      </c>
      <c r="I19" s="28" t="n">
        <v>10</v>
      </c>
    </row>
    <row r="20" ht="22.5" customHeight="1">
      <c r="A20" s="25" t="inlineStr">
        <is>
          <t>SKINNER, Jamie</t>
        </is>
      </c>
      <c r="B20" s="26" t="inlineStr">
        <is>
          <t>Supervisor</t>
        </is>
      </c>
      <c r="C20" s="27" t="n">
        <v>10</v>
      </c>
      <c r="D20" s="41" t="n"/>
      <c r="E20" s="41" t="n"/>
      <c r="F20" s="26" t="n"/>
      <c r="G20" s="42" t="inlineStr">
        <is>
          <t>O'Reilly, James</t>
        </is>
      </c>
      <c r="H20" s="26" t="inlineStr">
        <is>
          <t>Operator</t>
        </is>
      </c>
      <c r="I20" s="28" t="n">
        <v>10</v>
      </c>
    </row>
    <row r="21" ht="22.5" customHeight="1">
      <c r="A21" s="25" t="n"/>
      <c r="B21" s="26" t="n"/>
      <c r="C21" s="27" t="n"/>
      <c r="D21" s="41" t="n"/>
      <c r="E21" s="41" t="n"/>
      <c r="F21" s="26" t="n"/>
      <c r="G21" s="42" t="inlineStr">
        <is>
          <t>Chester, Matt</t>
        </is>
      </c>
      <c r="H21" s="26" t="inlineStr">
        <is>
          <t>Gas Fitter</t>
        </is>
      </c>
      <c r="I21" s="28" t="n"/>
    </row>
    <row r="22" ht="22.5" customHeight="1">
      <c r="A22" s="25" t="n"/>
      <c r="B22" s="26" t="n"/>
      <c r="C22" s="27" t="n"/>
      <c r="D22" s="41" t="n"/>
      <c r="E22" s="41" t="n"/>
      <c r="F22" s="26" t="n"/>
      <c r="G22" s="42" t="inlineStr">
        <is>
          <t>Mounsey, Matt</t>
        </is>
      </c>
      <c r="H22" s="26" t="inlineStr">
        <is>
          <t>Gas Fitter</t>
        </is>
      </c>
      <c r="I22" s="28" t="n"/>
    </row>
    <row r="23" ht="22.5" customHeight="1">
      <c r="A23" s="25" t="n"/>
      <c r="B23" s="26" t="n"/>
      <c r="C23" s="27" t="n"/>
      <c r="D23" s="41" t="n"/>
      <c r="E23" s="41" t="n"/>
      <c r="F23" s="26" t="n"/>
      <c r="G23" s="42" t="inlineStr">
        <is>
          <t>Herring, Levin</t>
        </is>
      </c>
      <c r="H23" s="26" t="inlineStr">
        <is>
          <t>Gas Fitter</t>
        </is>
      </c>
      <c r="I23" s="28" t="n"/>
    </row>
    <row r="24" ht="22.5" customHeight="1">
      <c r="A24" s="25" t="n"/>
      <c r="B24" s="26" t="n"/>
      <c r="C24" s="27" t="n"/>
      <c r="D24" s="41" t="n"/>
      <c r="E24" s="41" t="n"/>
      <c r="F24" s="26" t="n"/>
      <c r="G24" s="42" t="n"/>
      <c r="H24" s="26" t="n"/>
      <c r="I24" s="28" t="n"/>
    </row>
    <row r="25" ht="22.5" customHeight="1">
      <c r="A25" s="25" t="n"/>
      <c r="B25" s="26" t="n"/>
      <c r="C25" s="27" t="n"/>
      <c r="D25" s="41" t="n"/>
      <c r="E25" s="41" t="n"/>
      <c r="F25" s="26" t="n"/>
      <c r="G25" s="44" t="n"/>
      <c r="H25" s="26" t="n"/>
      <c r="I25" s="28" t="n"/>
    </row>
    <row r="26" ht="23.1" customHeight="1">
      <c r="A26" s="239" t="inlineStr">
        <is>
          <t xml:space="preserve">Total Indirect Personnel onsite: </t>
        </is>
      </c>
      <c r="B26" s="45">
        <f>COUNTIF(C15:C25,"&gt;0")</f>
        <v/>
      </c>
      <c r="C26" s="41" t="n"/>
      <c r="D26" s="41" t="n"/>
      <c r="E26" s="41" t="n"/>
      <c r="F26" s="26" t="n"/>
      <c r="G26" s="194" t="inlineStr">
        <is>
          <t>Total Subcontractor on-site:</t>
        </is>
      </c>
      <c r="H26" s="46">
        <f>COUNTIF(I15:I25,"&gt;0")</f>
        <v/>
      </c>
      <c r="I26" s="28" t="n"/>
    </row>
    <row r="27" ht="23.1" customHeight="1">
      <c r="A27" s="239" t="inlineStr">
        <is>
          <t xml:space="preserve">Total Indirect Personnel hours: </t>
        </is>
      </c>
      <c r="B27" s="45">
        <f>SUM(C15:C25)</f>
        <v/>
      </c>
      <c r="C27" s="27" t="n"/>
      <c r="D27" s="41" t="n"/>
      <c r="E27" s="41" t="n"/>
      <c r="F27" s="26" t="n"/>
      <c r="G27" s="194" t="inlineStr">
        <is>
          <t>Total Subcontractor hours:</t>
        </is>
      </c>
      <c r="H27" s="46">
        <f>SUM(I15:I25)</f>
        <v/>
      </c>
      <c r="I27" s="28" t="n"/>
    </row>
    <row r="28" ht="23.1" customHeight="1">
      <c r="A28" s="239" t="inlineStr">
        <is>
          <t xml:space="preserve">Total Direct Personnel onsite:  </t>
        </is>
      </c>
      <c r="B28" s="45">
        <f>COUNTIF(F15:F29,"&gt;0")</f>
        <v/>
      </c>
      <c r="C28" s="45" t="n"/>
      <c r="D28" s="41" t="n"/>
      <c r="E28" s="41" t="n"/>
      <c r="F28" s="47" t="n"/>
      <c r="G28" s="194" t="n"/>
      <c r="H28" s="46" t="n"/>
      <c r="I28" s="238" t="n"/>
    </row>
    <row r="29" ht="23.1" customHeight="1">
      <c r="A29" s="239" t="inlineStr">
        <is>
          <t xml:space="preserve">Total Direct Personnel hours: </t>
        </is>
      </c>
      <c r="B29" s="45">
        <f>SUM(F15:F29)</f>
        <v/>
      </c>
      <c r="C29" s="45" t="n"/>
      <c r="D29" s="45" t="n"/>
      <c r="E29" s="45" t="n"/>
      <c r="F29" s="45" t="n"/>
      <c r="G29" s="45" t="n"/>
      <c r="H29" s="45" t="n"/>
      <c r="I29" s="238" t="n"/>
    </row>
    <row r="30" ht="24.95" customHeight="1">
      <c r="A30" s="10" t="inlineStr">
        <is>
          <t>PLANT &amp; EQUIPMENT</t>
        </is>
      </c>
      <c r="B30" s="1" t="n"/>
      <c r="C30" s="1" t="n"/>
      <c r="D30" s="1" t="n"/>
      <c r="E30" s="1" t="n"/>
      <c r="F30" s="1" t="n"/>
      <c r="G30" s="1" t="n"/>
      <c r="H30" s="1" t="n"/>
      <c r="I30" s="2" t="n"/>
    </row>
    <row r="31" ht="23.1" customHeight="1">
      <c r="A31" s="183" t="inlineStr">
        <is>
          <t>Plant</t>
        </is>
      </c>
      <c r="B31" s="184" t="inlineStr">
        <is>
          <t>ID</t>
        </is>
      </c>
      <c r="C31" s="184" t="inlineStr">
        <is>
          <t>Hours</t>
        </is>
      </c>
      <c r="D31" s="184" t="inlineStr">
        <is>
          <t xml:space="preserve"> Vehicles</t>
        </is>
      </c>
      <c r="E31" s="184" t="inlineStr">
        <is>
          <t>ID</t>
        </is>
      </c>
      <c r="F31" s="184" t="inlineStr">
        <is>
          <t>QTY</t>
        </is>
      </c>
      <c r="G31" s="23" t="inlineStr">
        <is>
          <t>Site Facilities</t>
        </is>
      </c>
      <c r="H31" s="23" t="inlineStr">
        <is>
          <t>ID</t>
        </is>
      </c>
      <c r="I31" s="24" t="inlineStr">
        <is>
          <t>Qty</t>
        </is>
      </c>
    </row>
    <row r="32" ht="22.5" customHeight="1">
      <c r="A32" s="25" t="inlineStr">
        <is>
          <t>Komatsu WA320</t>
        </is>
      </c>
      <c r="B32" s="26" t="inlineStr">
        <is>
          <t>FWL18</t>
        </is>
      </c>
      <c r="C32" s="26" t="n">
        <v>5</v>
      </c>
      <c r="D32" s="27" t="inlineStr">
        <is>
          <t>Hilux</t>
        </is>
      </c>
      <c r="E32" s="27" t="inlineStr">
        <is>
          <t>DLV90</t>
        </is>
      </c>
      <c r="F32" s="27" t="n">
        <v>1</v>
      </c>
      <c r="G32" s="27" t="inlineStr">
        <is>
          <t>Office 40ft</t>
        </is>
      </c>
      <c r="H32" s="27" t="n">
        <v>9255540</v>
      </c>
      <c r="I32" s="28" t="n">
        <v>1</v>
      </c>
    </row>
    <row r="33" ht="22.5" customHeight="1">
      <c r="A33" s="25" t="inlineStr">
        <is>
          <t>Wacker Neuson DPU</t>
        </is>
      </c>
      <c r="B33" s="26" t="inlineStr">
        <is>
          <t>DPC15</t>
        </is>
      </c>
      <c r="C33" s="26" t="n">
        <v>5</v>
      </c>
      <c r="D33" s="27" t="inlineStr">
        <is>
          <t>6 Wheel Tipper</t>
        </is>
      </c>
      <c r="E33" s="27" t="inlineStr">
        <is>
          <t>AMG04</t>
        </is>
      </c>
      <c r="F33" s="27" t="n"/>
      <c r="G33" s="27" t="inlineStr">
        <is>
          <t>Sea Container 20ft</t>
        </is>
      </c>
      <c r="H33" s="26" t="n">
        <v>951200</v>
      </c>
      <c r="I33" s="28" t="n">
        <v>1</v>
      </c>
    </row>
    <row r="34" ht="22.5" customHeight="1">
      <c r="A34" s="29" t="inlineStr">
        <is>
          <t>Positrak</t>
        </is>
      </c>
      <c r="B34" s="27" t="inlineStr">
        <is>
          <t>AMG 025</t>
        </is>
      </c>
      <c r="C34" s="26" t="n"/>
      <c r="D34" s="27" t="n"/>
      <c r="E34" s="26" t="n"/>
      <c r="F34" s="27" t="n"/>
      <c r="G34" s="27" t="inlineStr">
        <is>
          <t>Site Sentry Tower</t>
        </is>
      </c>
      <c r="H34" s="27" t="n"/>
      <c r="I34" s="28" t="n">
        <v>2</v>
      </c>
    </row>
    <row r="35" ht="22.5" customHeight="1">
      <c r="A35" s="29" t="inlineStr">
        <is>
          <t>Watercart</t>
        </is>
      </c>
      <c r="B35" s="27" t="inlineStr">
        <is>
          <t>WC04</t>
        </is>
      </c>
      <c r="C35" s="26" t="n">
        <v>8</v>
      </c>
      <c r="D35" s="27" t="n"/>
      <c r="E35" s="27" t="n"/>
      <c r="F35" s="27" t="n"/>
      <c r="G35" s="27" t="inlineStr">
        <is>
          <t>Skip Bin</t>
        </is>
      </c>
      <c r="H35" s="27" t="n"/>
      <c r="I35" s="28" t="n">
        <v>1</v>
      </c>
    </row>
    <row r="36" ht="22.5" customHeight="1">
      <c r="A36" s="29" t="inlineStr">
        <is>
          <t>8T Excavator</t>
        </is>
      </c>
      <c r="B36" s="30" t="inlineStr">
        <is>
          <t>AMG 014</t>
        </is>
      </c>
      <c r="C36" s="26" t="n">
        <v>6</v>
      </c>
      <c r="D36" s="27" t="n"/>
      <c r="E36" s="27" t="n"/>
      <c r="F36" s="27" t="n"/>
      <c r="G36" s="27" t="inlineStr">
        <is>
          <t>Hydrocarbon Bund</t>
        </is>
      </c>
      <c r="H36" s="27" t="n"/>
      <c r="I36" s="28" t="n">
        <v>1</v>
      </c>
    </row>
    <row r="37" ht="22.5" customHeight="1">
      <c r="A37" s="27" t="inlineStr">
        <is>
          <t>6 Wheel Tipper</t>
        </is>
      </c>
      <c r="B37" s="27" t="inlineStr">
        <is>
          <t>AMG 008</t>
        </is>
      </c>
      <c r="C37" s="27" t="n"/>
      <c r="D37" s="27" t="n"/>
      <c r="E37" s="27" t="n"/>
      <c r="F37" s="27" t="n"/>
      <c r="G37" s="27" t="inlineStr">
        <is>
          <t>Temp Fence</t>
        </is>
      </c>
      <c r="H37" s="26" t="n"/>
      <c r="I37" s="28" t="n">
        <v>1</v>
      </c>
    </row>
    <row r="38" ht="23.45" customHeight="1">
      <c r="A38" s="29" t="inlineStr">
        <is>
          <t>Padfoot/ Smooth Drum Roller</t>
        </is>
      </c>
      <c r="B38" s="27" t="inlineStr">
        <is>
          <t>RR 03</t>
        </is>
      </c>
      <c r="C38" s="26" t="n">
        <v>10</v>
      </c>
      <c r="D38" s="27" t="n"/>
      <c r="E38" s="27" t="n"/>
      <c r="F38" s="27" t="n"/>
      <c r="G38" s="31" t="n"/>
      <c r="H38" s="31" t="n"/>
      <c r="I38" s="32" t="n"/>
    </row>
    <row r="39" ht="23.45" customHeight="1">
      <c r="A39" s="29" t="inlineStr">
        <is>
          <t>Positrak SSL</t>
        </is>
      </c>
      <c r="B39" s="27" t="inlineStr">
        <is>
          <t>SSL08</t>
        </is>
      </c>
      <c r="C39" s="26" t="n">
        <v>5</v>
      </c>
      <c r="D39" s="27" t="n"/>
      <c r="E39" s="27" t="n"/>
      <c r="F39" s="27" t="n"/>
      <c r="G39" s="31" t="n"/>
      <c r="H39" s="31" t="n"/>
      <c r="I39" s="32" t="n"/>
    </row>
    <row r="40" ht="22.5" customHeight="1">
      <c r="A40" s="29" t="inlineStr">
        <is>
          <t>Grader</t>
        </is>
      </c>
      <c r="B40" s="27" t="inlineStr">
        <is>
          <t>SLS01</t>
        </is>
      </c>
      <c r="C40" s="26" t="n">
        <v>8</v>
      </c>
      <c r="D40" s="27" t="n"/>
      <c r="E40" s="27" t="n"/>
      <c r="F40" s="27" t="n"/>
      <c r="G40" s="27" t="n"/>
      <c r="H40" s="26" t="n"/>
      <c r="I40" s="28" t="n"/>
    </row>
    <row r="41" ht="22.5" customHeight="1">
      <c r="A41" s="29" t="inlineStr">
        <is>
          <t>5t Excavator</t>
        </is>
      </c>
      <c r="B41" s="27" t="inlineStr">
        <is>
          <t>AMG 007</t>
        </is>
      </c>
      <c r="C41" s="26" t="n"/>
      <c r="D41" s="27" t="n"/>
      <c r="E41" s="27" t="n"/>
      <c r="F41" s="27" t="n"/>
      <c r="G41" s="27" t="n"/>
      <c r="H41" s="26" t="n"/>
      <c r="I41" s="28" t="n"/>
    </row>
    <row r="42" ht="22.5" customHeight="1">
      <c r="A42" s="29" t="inlineStr">
        <is>
          <t>1.5 Excavator</t>
        </is>
      </c>
      <c r="B42" s="27" t="inlineStr">
        <is>
          <t>AMG 009</t>
        </is>
      </c>
      <c r="C42" s="26" t="n">
        <v>5</v>
      </c>
      <c r="D42" s="27" t="n"/>
      <c r="E42" s="27" t="n"/>
      <c r="F42" s="27" t="n"/>
      <c r="G42" s="27" t="n"/>
      <c r="H42" s="26" t="n"/>
      <c r="I42" s="28" t="n"/>
    </row>
    <row r="43" ht="22.5" customHeight="1">
      <c r="A43" s="29" t="inlineStr">
        <is>
          <t>5t Excavator</t>
        </is>
      </c>
      <c r="B43" s="27" t="inlineStr">
        <is>
          <t>AA 25</t>
        </is>
      </c>
      <c r="C43" s="26" t="n">
        <v>5</v>
      </c>
      <c r="D43" s="27" t="n"/>
      <c r="E43" s="27" t="n"/>
      <c r="F43" s="27" t="n"/>
      <c r="G43" s="27" t="n"/>
      <c r="H43" s="26" t="n"/>
      <c r="I43" s="28" t="n"/>
    </row>
    <row r="44" ht="23.45" customHeight="1">
      <c r="A44" s="29" t="n"/>
      <c r="B44" s="27" t="n"/>
      <c r="C44" s="26" t="n"/>
      <c r="D44" s="31" t="n"/>
      <c r="E44" s="31" t="n"/>
      <c r="F44" s="31" t="n"/>
      <c r="G44" s="31" t="n"/>
      <c r="H44" s="31" t="n"/>
      <c r="I44" s="32" t="n"/>
    </row>
    <row r="45" ht="18" customHeight="1">
      <c r="A45" s="33" t="n">
        <v>0</v>
      </c>
      <c r="B45" s="186" t="inlineStr">
        <is>
          <t xml:space="preserve">Repairs Required </t>
        </is>
      </c>
      <c r="C45" s="276" t="n"/>
      <c r="D45" s="233" t="inlineStr">
        <is>
          <t>N/A</t>
        </is>
      </c>
      <c r="E45" s="275" t="n"/>
      <c r="F45" s="275" t="n"/>
      <c r="G45" s="275" t="n"/>
      <c r="H45" s="275" t="n"/>
      <c r="I45" s="277" t="n"/>
    </row>
    <row r="46" ht="18" customHeight="1">
      <c r="A46" s="34" t="n">
        <v>0</v>
      </c>
      <c r="B46" s="186" t="inlineStr">
        <is>
          <t>Scheduled Service</t>
        </is>
      </c>
      <c r="C46" s="276" t="n"/>
      <c r="D46" s="233" t="inlineStr">
        <is>
          <t>N/A</t>
        </is>
      </c>
      <c r="E46" s="275" t="n"/>
      <c r="F46" s="275" t="n"/>
      <c r="G46" s="275" t="n"/>
      <c r="H46" s="275" t="n"/>
      <c r="I46" s="277" t="n"/>
    </row>
    <row r="47" ht="18" customHeight="1">
      <c r="A47" s="35" t="n">
        <v>0</v>
      </c>
      <c r="B47" s="186" t="inlineStr">
        <is>
          <t>Repairs required but operable</t>
        </is>
      </c>
      <c r="C47" s="276" t="n"/>
      <c r="D47" s="233" t="inlineStr">
        <is>
          <t>N/A</t>
        </is>
      </c>
      <c r="E47" s="275" t="n"/>
      <c r="F47" s="275" t="n"/>
      <c r="G47" s="275" t="n"/>
      <c r="H47" s="275" t="n"/>
      <c r="I47" s="277" t="n"/>
    </row>
    <row r="48" ht="23.1" customHeight="1">
      <c r="A48" s="239" t="inlineStr">
        <is>
          <t xml:space="preserve">Total Plant and Equipment Hours: </t>
        </is>
      </c>
      <c r="B48" s="276" t="n"/>
      <c r="C48" s="195">
        <f>SUM(C32:C44)</f>
        <v/>
      </c>
      <c r="D48" s="185" t="n"/>
      <c r="E48" s="275" t="n"/>
      <c r="F48" s="275" t="n"/>
      <c r="G48" s="275" t="n"/>
      <c r="H48" s="275" t="n"/>
      <c r="I48" s="277" t="n"/>
    </row>
    <row r="49" ht="24.95" customHeight="1">
      <c r="A49" s="230" t="inlineStr">
        <is>
          <t>DELAYS-OPPORTUNITY</t>
        </is>
      </c>
      <c r="B49" s="275" t="n"/>
      <c r="C49" s="275" t="n"/>
      <c r="D49" s="275" t="n"/>
      <c r="E49" s="275" t="n"/>
      <c r="F49" s="275" t="n"/>
      <c r="G49" s="275" t="n"/>
      <c r="H49" s="275" t="n"/>
      <c r="I49" s="277" t="n"/>
    </row>
    <row r="50" ht="20.1" customHeight="1">
      <c r="A50" s="5" t="n"/>
      <c r="B50" s="6" t="n"/>
      <c r="C50" s="6" t="n"/>
      <c r="D50" s="6" t="n"/>
      <c r="E50" s="6" t="n"/>
      <c r="F50" s="6" t="n"/>
      <c r="G50" s="6" t="n"/>
      <c r="H50" s="6" t="n"/>
      <c r="I50" s="7" t="n"/>
    </row>
    <row r="51">
      <c r="A51" s="240" t="inlineStr">
        <is>
          <t>Porters advised that City of Greater Geraldton have rejected extension of Forrest Street Paving Area to accommodate additional services</t>
        </is>
      </c>
      <c r="B51" s="278" t="n"/>
      <c r="C51" s="278" t="n"/>
      <c r="D51" s="278" t="n"/>
      <c r="E51" s="278" t="n"/>
      <c r="F51" s="278" t="n"/>
      <c r="G51" s="278" t="n"/>
      <c r="H51" s="278" t="n"/>
      <c r="I51" s="279" t="n"/>
    </row>
    <row r="52">
      <c r="A52" s="270" t="n"/>
      <c r="I52" s="271" t="n"/>
    </row>
    <row r="53">
      <c r="A53" s="270" t="n"/>
      <c r="I53" s="271" t="n"/>
    </row>
    <row r="54" ht="13.5" customHeight="1" thickBot="1">
      <c r="A54" s="280" t="n"/>
      <c r="B54" s="281" t="n"/>
      <c r="C54" s="281" t="n"/>
      <c r="D54" s="281" t="n"/>
      <c r="E54" s="281" t="n"/>
      <c r="F54" s="281" t="n"/>
      <c r="G54" s="281" t="n"/>
      <c r="H54" s="281" t="n"/>
      <c r="I54" s="282" t="n"/>
    </row>
    <row r="55" ht="24.95" customHeight="1">
      <c r="A55" s="236" t="inlineStr">
        <is>
          <t>HSEQ MESSAGES</t>
        </is>
      </c>
      <c r="B55" s="283" t="n"/>
      <c r="C55" s="283" t="n"/>
      <c r="D55" s="283" t="n"/>
      <c r="E55" s="283" t="n"/>
      <c r="F55" s="283" t="n"/>
      <c r="G55" s="283" t="n"/>
      <c r="H55" s="283" t="n"/>
      <c r="I55" s="284" t="n"/>
    </row>
    <row r="56" ht="18" customHeight="1">
      <c r="A56" s="18" t="inlineStr">
        <is>
          <t>TCD - Monthly Safety Focus:</t>
        </is>
      </c>
      <c r="B56" s="211" t="inlineStr">
        <is>
          <t>Speaking up</t>
        </is>
      </c>
      <c r="C56" s="275" t="n"/>
      <c r="D56" s="275" t="n"/>
      <c r="E56" s="275" t="n"/>
      <c r="F56" s="275" t="n"/>
      <c r="G56" s="275" t="n"/>
      <c r="H56" s="275" t="n"/>
      <c r="I56" s="276" t="n"/>
    </row>
    <row r="57" ht="23.1" customHeight="1">
      <c r="A57" s="18" t="inlineStr">
        <is>
          <t>TCD - Daily Safety Focus:</t>
        </is>
      </c>
      <c r="B57" s="212" t="inlineStr">
        <is>
          <t>Plant on Plant Interaction</t>
        </is>
      </c>
      <c r="C57" s="275" t="n"/>
      <c r="D57" s="275" t="n"/>
      <c r="E57" s="275" t="n"/>
      <c r="F57" s="275" t="n"/>
      <c r="G57" s="275" t="n"/>
      <c r="H57" s="275" t="n"/>
      <c r="I57" s="277" t="n"/>
    </row>
    <row r="58" ht="18" customHeight="1">
      <c r="A58" s="19" t="inlineStr">
        <is>
          <t xml:space="preserve">Hazards Reported: </t>
        </is>
      </c>
      <c r="B58" s="20" t="inlineStr">
        <is>
          <t>Nil</t>
        </is>
      </c>
      <c r="C58" s="212" t="n"/>
      <c r="D58" s="275" t="n"/>
      <c r="E58" s="275" t="n"/>
      <c r="F58" s="275" t="n"/>
      <c r="G58" s="275" t="n"/>
      <c r="H58" s="275" t="n"/>
      <c r="I58" s="277" t="n"/>
    </row>
    <row r="59" ht="18" customHeight="1">
      <c r="A59" s="19" t="inlineStr">
        <is>
          <t>Incident Free Days</t>
        </is>
      </c>
      <c r="B59" s="20">
        <f>B9+2</f>
        <v/>
      </c>
      <c r="C59" s="211" t="n"/>
      <c r="D59" s="275" t="n"/>
      <c r="E59" s="275" t="n"/>
      <c r="F59" s="275" t="n"/>
      <c r="G59" s="275" t="n"/>
      <c r="H59" s="275" t="n"/>
      <c r="I59" s="276" t="n"/>
    </row>
    <row r="60" ht="18" customHeight="1">
      <c r="A60" s="21" t="inlineStr">
        <is>
          <t>Other Notes</t>
        </is>
      </c>
      <c r="B60" s="241" t="n"/>
      <c r="C60" s="278" t="n"/>
      <c r="D60" s="278" t="n"/>
      <c r="E60" s="278" t="n"/>
      <c r="F60" s="278" t="n"/>
      <c r="G60" s="278" t="n"/>
      <c r="H60" s="278" t="n"/>
      <c r="I60" s="279" t="n"/>
    </row>
    <row r="61" ht="20.25" customHeight="1">
      <c r="A61" s="230" t="inlineStr">
        <is>
          <t xml:space="preserve">INCIDENTS &amp; REPORTS </t>
        </is>
      </c>
      <c r="B61" s="275" t="n"/>
      <c r="C61" s="275" t="n"/>
      <c r="D61" s="275" t="n"/>
      <c r="E61" s="275" t="n"/>
      <c r="F61" s="275" t="n"/>
      <c r="G61" s="275" t="n"/>
      <c r="H61" s="275" t="n"/>
      <c r="I61" s="277" t="n"/>
    </row>
    <row r="62" ht="24.95" customHeight="1">
      <c r="A62" s="11" t="n"/>
      <c r="B62" s="184" t="inlineStr">
        <is>
          <t>QTY</t>
        </is>
      </c>
      <c r="C62" s="238" t="inlineStr">
        <is>
          <t>Comments</t>
        </is>
      </c>
      <c r="D62" s="275" t="n"/>
      <c r="E62" s="275" t="n"/>
      <c r="F62" s="275" t="n"/>
      <c r="G62" s="275" t="n"/>
      <c r="H62" s="275" t="n"/>
      <c r="I62" s="277" t="n"/>
    </row>
    <row r="63" ht="24.95" customHeight="1">
      <c r="A63" s="13" t="inlineStr">
        <is>
          <t>INCIDENT</t>
        </is>
      </c>
      <c r="B63" s="184" t="n">
        <v>0</v>
      </c>
      <c r="C63" s="233" t="inlineStr">
        <is>
          <t>NA</t>
        </is>
      </c>
      <c r="D63" s="275" t="n"/>
      <c r="E63" s="275" t="n"/>
      <c r="F63" s="275" t="n"/>
      <c r="G63" s="275" t="n"/>
      <c r="H63" s="275" t="n"/>
      <c r="I63" s="277" t="n"/>
    </row>
    <row r="64" ht="24.95" customHeight="1">
      <c r="A64" s="14" t="inlineStr">
        <is>
          <t>IR</t>
        </is>
      </c>
      <c r="B64" s="15" t="n">
        <v>0</v>
      </c>
      <c r="C64" s="234" t="inlineStr">
        <is>
          <t>NA</t>
        </is>
      </c>
      <c r="D64" s="278" t="n"/>
      <c r="E64" s="278" t="n"/>
      <c r="F64" s="278" t="n"/>
      <c r="G64" s="278" t="n"/>
      <c r="H64" s="278" t="n"/>
      <c r="I64" s="279" t="n"/>
    </row>
    <row r="65" ht="24.95" customHeight="1" thickBot="1">
      <c r="A65" s="16" t="inlineStr">
        <is>
          <t>NCR</t>
        </is>
      </c>
      <c r="B65" s="17" t="n">
        <v>0</v>
      </c>
      <c r="C65" s="235" t="inlineStr">
        <is>
          <t>NA</t>
        </is>
      </c>
      <c r="D65" s="285" t="n"/>
      <c r="E65" s="285" t="n"/>
      <c r="F65" s="285" t="n"/>
      <c r="G65" s="285" t="n"/>
      <c r="H65" s="285" t="n"/>
      <c r="I65" s="286" t="n"/>
    </row>
    <row r="66" ht="20.25" customHeight="1">
      <c r="A66" s="236" t="inlineStr">
        <is>
          <t>COMMUNICATIONS</t>
        </is>
      </c>
      <c r="B66" s="283" t="n"/>
      <c r="C66" s="283" t="n"/>
      <c r="D66" s="283" t="n"/>
      <c r="E66" s="283" t="n"/>
      <c r="F66" s="283" t="n"/>
      <c r="G66" s="283" t="n"/>
      <c r="H66" s="283" t="n"/>
      <c r="I66" s="284" t="n"/>
    </row>
    <row r="67" ht="24.95" customHeight="1">
      <c r="A67" s="237" t="inlineStr">
        <is>
          <t>TGS MB1119-05 Scheme D implemented</t>
        </is>
      </c>
      <c r="B67" s="275" t="n"/>
      <c r="C67" s="275" t="n"/>
      <c r="D67" s="275" t="n"/>
      <c r="E67" s="275" t="n"/>
      <c r="F67" s="275" t="n"/>
      <c r="G67" s="275" t="n"/>
      <c r="H67" s="275" t="n"/>
      <c r="I67" s="277" t="n"/>
    </row>
    <row r="68" ht="24.95" customHeight="1">
      <c r="A68" s="237" t="n"/>
      <c r="B68" s="275" t="n"/>
      <c r="C68" s="275" t="n"/>
      <c r="D68" s="275" t="n"/>
      <c r="E68" s="275" t="n"/>
      <c r="F68" s="275" t="n"/>
      <c r="G68" s="275" t="n"/>
      <c r="H68" s="275" t="n"/>
      <c r="I68" s="277" t="n"/>
    </row>
    <row r="69" ht="24.95" customHeight="1">
      <c r="A69" s="227" t="n"/>
      <c r="B69" s="228" t="n"/>
      <c r="C69" s="228" t="n"/>
      <c r="D69" s="228" t="n"/>
      <c r="E69" s="228" t="n"/>
      <c r="F69" s="228" t="n"/>
      <c r="G69" s="228" t="n"/>
      <c r="H69" s="228" t="n"/>
      <c r="I69" s="229" t="n"/>
    </row>
    <row r="70" ht="24.95" customHeight="1">
      <c r="A70" s="230" t="inlineStr">
        <is>
          <t>PRODUCTION (CONSTRUCTION STATUS &amp; PROGRESS)</t>
        </is>
      </c>
      <c r="B70" s="275" t="n"/>
      <c r="C70" s="275" t="n"/>
      <c r="D70" s="275" t="n"/>
      <c r="E70" s="275" t="n"/>
      <c r="F70" s="275" t="n"/>
      <c r="G70" s="275" t="n"/>
      <c r="H70" s="275" t="n"/>
      <c r="I70" s="277" t="n"/>
    </row>
    <row r="71" ht="24.95" customHeight="1">
      <c r="A71" s="66" t="inlineStr">
        <is>
          <t>Ongoing underground Services</t>
        </is>
      </c>
      <c r="B71" s="62" t="n"/>
      <c r="C71" s="62" t="n"/>
      <c r="D71" s="62" t="n"/>
      <c r="E71" s="62" t="n"/>
      <c r="F71" s="62" t="n"/>
      <c r="G71" s="62" t="n"/>
      <c r="H71" s="62" t="n"/>
      <c r="I71" s="63" t="n"/>
    </row>
    <row r="72" ht="24.95" customHeight="1">
      <c r="A72" s="66" t="inlineStr">
        <is>
          <t>Rebuilding of verges</t>
        </is>
      </c>
      <c r="B72" s="62" t="n"/>
      <c r="C72" s="62" t="n"/>
      <c r="D72" s="62" t="n"/>
      <c r="E72" s="62" t="n"/>
      <c r="F72" s="62" t="n"/>
      <c r="G72" s="62" t="n"/>
      <c r="H72" s="62" t="n"/>
      <c r="I72" s="63" t="n"/>
    </row>
    <row r="73" ht="24.95" customHeight="1">
      <c r="A73" s="66" t="inlineStr">
        <is>
          <t>Placed material for laneway road widening</t>
        </is>
      </c>
      <c r="B73" s="62" t="n"/>
      <c r="C73" s="62" t="n"/>
      <c r="D73" s="62" t="n"/>
      <c r="E73" s="62" t="n"/>
      <c r="F73" s="62" t="n"/>
      <c r="G73" s="62" t="n"/>
      <c r="H73" s="62" t="n"/>
      <c r="I73" s="63" t="n"/>
    </row>
    <row r="74" ht="24.95" customHeight="1">
      <c r="A74" s="66" t="inlineStr">
        <is>
          <t>Ongoing Subgrade Prep</t>
        </is>
      </c>
      <c r="B74" s="62" t="n"/>
      <c r="C74" s="62" t="n"/>
      <c r="D74" s="62" t="n"/>
      <c r="E74" s="62" t="n"/>
      <c r="F74" s="62" t="n"/>
      <c r="G74" s="62" t="n"/>
      <c r="H74" s="62" t="n"/>
      <c r="I74" s="63" t="n"/>
    </row>
    <row r="75" ht="24.95" customHeight="1">
      <c r="A75" s="66" t="n"/>
      <c r="B75" s="62" t="n"/>
      <c r="C75" s="62" t="n"/>
      <c r="D75" s="62" t="n"/>
      <c r="E75" s="62" t="n"/>
      <c r="F75" s="62" t="n"/>
      <c r="G75" s="62" t="n"/>
      <c r="H75" s="62" t="n"/>
      <c r="I75" s="63" t="n"/>
    </row>
    <row r="76" ht="25.5" customHeight="1" thickBot="1">
      <c r="A76" s="231" t="inlineStr">
        <is>
          <t>Photos</t>
        </is>
      </c>
      <c r="B76" s="278" t="n"/>
      <c r="C76" s="278" t="n"/>
      <c r="D76" s="278" t="n"/>
      <c r="E76" s="278" t="n"/>
      <c r="F76" s="278" t="n"/>
      <c r="G76" s="278" t="n"/>
      <c r="H76" s="278" t="n"/>
      <c r="I76" s="279" t="n"/>
    </row>
    <row r="77" ht="22.5" customHeight="1">
      <c r="A77" s="70" t="n"/>
      <c r="B77" s="71" t="n"/>
      <c r="C77" s="71" t="n"/>
      <c r="D77" s="71" t="n"/>
      <c r="E77" s="71" t="n"/>
      <c r="F77" s="71" t="n"/>
      <c r="G77" s="71" t="n"/>
      <c r="H77" s="71" t="n"/>
      <c r="I77" s="72" t="n"/>
    </row>
    <row r="78" ht="22.5" customHeight="1">
      <c r="A78" s="73" t="n"/>
      <c r="B78" s="74" t="n"/>
      <c r="C78" s="74" t="n"/>
      <c r="D78" s="74" t="n"/>
      <c r="E78" s="74" t="n"/>
      <c r="F78" s="74" t="n"/>
      <c r="G78" s="74" t="n"/>
      <c r="H78" s="74" t="n"/>
      <c r="I78" s="75" t="n"/>
    </row>
    <row r="79" ht="15" customHeight="1">
      <c r="A79" s="73" t="n"/>
      <c r="B79" s="74" t="n"/>
      <c r="C79" s="74" t="n"/>
      <c r="D79" s="74" t="n"/>
      <c r="E79" s="74" t="n"/>
      <c r="F79" s="74" t="n"/>
      <c r="G79" s="74" t="n"/>
      <c r="H79" s="74" t="n"/>
      <c r="I79" s="75" t="n"/>
    </row>
    <row r="80" ht="15" customHeight="1">
      <c r="A80" s="73" t="n"/>
      <c r="B80" s="74" t="n"/>
      <c r="C80" s="74" t="n"/>
      <c r="D80" s="74" t="n"/>
      <c r="E80" s="74" t="n"/>
      <c r="F80" s="74" t="n"/>
      <c r="G80" s="74" t="n"/>
      <c r="H80" s="74" t="n"/>
      <c r="I80" s="75" t="n"/>
    </row>
    <row r="81" ht="15" customHeight="1">
      <c r="A81" s="73" t="n"/>
      <c r="B81" s="74" t="n"/>
      <c r="C81" s="74" t="n"/>
      <c r="D81" s="74" t="n"/>
      <c r="E81" s="74" t="n"/>
      <c r="F81" s="74" t="n"/>
      <c r="G81" s="74" t="n"/>
      <c r="H81" s="74" t="n"/>
      <c r="I81" s="75" t="n"/>
    </row>
    <row r="82" ht="15" customHeight="1">
      <c r="A82" s="73" t="n"/>
      <c r="B82" s="74" t="n"/>
      <c r="C82" s="74" t="n"/>
      <c r="D82" s="74" t="n"/>
      <c r="E82" s="74" t="n"/>
      <c r="F82" s="74" t="n"/>
      <c r="G82" s="74" t="n"/>
      <c r="H82" s="74" t="n"/>
      <c r="I82" s="75" t="n"/>
    </row>
    <row r="83" ht="15" customHeight="1">
      <c r="A83" s="73" t="n"/>
      <c r="B83" s="74" t="n"/>
      <c r="C83" s="74" t="n"/>
      <c r="D83" s="74" t="n"/>
      <c r="E83" s="74" t="n"/>
      <c r="F83" s="74" t="n"/>
      <c r="G83" s="74" t="n"/>
      <c r="H83" s="74" t="n"/>
      <c r="I83" s="75" t="n"/>
    </row>
    <row r="84" ht="15" customHeight="1">
      <c r="A84" s="73" t="n"/>
      <c r="B84" s="74" t="n"/>
      <c r="C84" s="74" t="n"/>
      <c r="D84" s="74" t="n"/>
      <c r="E84" s="74" t="n"/>
      <c r="F84" s="74" t="n"/>
      <c r="G84" s="74" t="n"/>
      <c r="H84" s="74" t="n"/>
      <c r="I84" s="75" t="n"/>
    </row>
    <row r="85" ht="15" customHeight="1">
      <c r="A85" s="73" t="n"/>
      <c r="B85" s="74" t="n"/>
      <c r="C85" s="74" t="n"/>
      <c r="D85" s="74" t="n"/>
      <c r="E85" s="74" t="n"/>
      <c r="F85" s="74" t="n"/>
      <c r="G85" s="74" t="n"/>
      <c r="H85" s="74" t="n"/>
      <c r="I85" s="75" t="n"/>
    </row>
    <row r="86" ht="15" customHeight="1">
      <c r="A86" s="73" t="n"/>
      <c r="B86" s="74" t="n"/>
      <c r="C86" s="74" t="n"/>
      <c r="D86" s="74" t="n"/>
      <c r="E86" s="74" t="n"/>
      <c r="F86" s="74" t="n"/>
      <c r="G86" s="74" t="n"/>
      <c r="H86" s="74" t="n"/>
      <c r="I86" s="75" t="n"/>
    </row>
    <row r="87" ht="15" customHeight="1">
      <c r="A87" s="73" t="n"/>
      <c r="B87" s="74" t="n"/>
      <c r="C87" s="74" t="n"/>
      <c r="D87" s="74" t="n"/>
      <c r="E87" s="74" t="n"/>
      <c r="F87" s="74" t="n"/>
      <c r="G87" s="74" t="n"/>
      <c r="H87" s="74" t="n"/>
      <c r="I87" s="75" t="n"/>
    </row>
    <row r="88" ht="15" customHeight="1">
      <c r="A88" s="73" t="n"/>
      <c r="B88" s="74" t="n"/>
      <c r="C88" s="74" t="n"/>
      <c r="D88" s="74" t="n"/>
      <c r="E88" s="74" t="n"/>
      <c r="F88" s="74" t="n"/>
      <c r="G88" s="74" t="n"/>
      <c r="H88" s="74" t="n"/>
      <c r="I88" s="75" t="n"/>
    </row>
    <row r="89" ht="15" customHeight="1">
      <c r="A89" s="73" t="n"/>
      <c r="B89" s="74" t="n"/>
      <c r="C89" s="74" t="n"/>
      <c r="D89" s="74" t="n"/>
      <c r="E89" s="74" t="n"/>
      <c r="F89" s="74" t="n"/>
      <c r="G89" s="74" t="n"/>
      <c r="H89" s="74" t="n"/>
      <c r="I89" s="75" t="n"/>
    </row>
    <row r="90" ht="15" customHeight="1">
      <c r="A90" s="73" t="n"/>
      <c r="B90" s="74" t="n"/>
      <c r="C90" s="74" t="n"/>
      <c r="D90" s="74" t="n"/>
      <c r="E90" s="74" t="n"/>
      <c r="F90" s="74" t="n"/>
      <c r="G90" s="74" t="n"/>
      <c r="H90" s="74" t="n"/>
      <c r="I90" s="75" t="n"/>
    </row>
    <row r="91" ht="15" customHeight="1">
      <c r="A91" s="73" t="n"/>
      <c r="B91" s="74" t="n"/>
      <c r="C91" s="74" t="n"/>
      <c r="D91" s="74" t="n"/>
      <c r="E91" s="74" t="n"/>
      <c r="F91" s="74" t="n"/>
      <c r="G91" s="74" t="n"/>
      <c r="H91" s="74" t="n"/>
      <c r="I91" s="75" t="n"/>
    </row>
    <row r="92" ht="15" customHeight="1">
      <c r="A92" s="73" t="n"/>
      <c r="B92" s="74" t="n"/>
      <c r="C92" s="74" t="n"/>
      <c r="D92" s="74" t="n"/>
      <c r="E92" s="74" t="n"/>
      <c r="F92" s="74" t="n"/>
      <c r="G92" s="74" t="n"/>
      <c r="H92" s="74" t="n"/>
      <c r="I92" s="75" t="n"/>
    </row>
    <row r="93" ht="15" customHeight="1">
      <c r="A93" s="73" t="n"/>
      <c r="B93" s="74" t="n"/>
      <c r="C93" s="74" t="n"/>
      <c r="D93" s="74" t="n"/>
      <c r="E93" s="74" t="n"/>
      <c r="F93" s="74" t="n"/>
      <c r="G93" s="74" t="n"/>
      <c r="H93" s="74" t="n"/>
      <c r="I93" s="75" t="n"/>
    </row>
    <row r="94" ht="15" customHeight="1">
      <c r="A94" s="73" t="n"/>
      <c r="B94" s="74" t="n"/>
      <c r="C94" s="74" t="n"/>
      <c r="D94" s="74" t="n"/>
      <c r="E94" s="74" t="n"/>
      <c r="F94" s="74" t="n"/>
      <c r="G94" s="74" t="n"/>
      <c r="H94" s="74" t="n"/>
      <c r="I94" s="75" t="n"/>
    </row>
    <row r="95" ht="15" customHeight="1">
      <c r="A95" s="73" t="n"/>
      <c r="B95" s="74" t="n"/>
      <c r="C95" s="74" t="n"/>
      <c r="D95" s="74" t="n"/>
      <c r="E95" s="74" t="n"/>
      <c r="F95" s="74" t="n"/>
      <c r="G95" s="74" t="n"/>
      <c r="H95" s="74" t="n"/>
      <c r="I95" s="75" t="n"/>
    </row>
    <row r="96" ht="15" customHeight="1">
      <c r="A96" s="73" t="n"/>
      <c r="B96" s="74" t="n"/>
      <c r="C96" s="74" t="n"/>
      <c r="D96" s="74" t="n"/>
      <c r="E96" s="74" t="n"/>
      <c r="F96" s="74" t="n"/>
      <c r="G96" s="74" t="n"/>
      <c r="H96" s="74" t="n"/>
      <c r="I96" s="75" t="n"/>
    </row>
    <row r="97" ht="15" customHeight="1">
      <c r="A97" s="73" t="n"/>
      <c r="B97" s="74" t="n"/>
      <c r="C97" s="74" t="n"/>
      <c r="D97" s="74" t="n"/>
      <c r="E97" s="74" t="n"/>
      <c r="F97" s="74" t="n"/>
      <c r="G97" s="74" t="n"/>
      <c r="H97" s="74" t="n"/>
      <c r="I97" s="75" t="n"/>
    </row>
    <row r="98" ht="15" customHeight="1">
      <c r="A98" s="73" t="n"/>
      <c r="B98" s="74" t="n"/>
      <c r="C98" s="74" t="n"/>
      <c r="D98" s="74" t="n"/>
      <c r="E98" s="74" t="n"/>
      <c r="F98" s="74" t="n"/>
      <c r="G98" s="74" t="n"/>
      <c r="H98" s="74" t="n"/>
      <c r="I98" s="75" t="n"/>
    </row>
    <row r="99" ht="15" customHeight="1">
      <c r="A99" s="73" t="n"/>
      <c r="B99" s="74" t="n"/>
      <c r="C99" s="74" t="n"/>
      <c r="D99" s="74" t="n"/>
      <c r="E99" s="74" t="n"/>
      <c r="F99" s="74" t="n"/>
      <c r="H99" s="74" t="n"/>
      <c r="I99" s="75" t="n"/>
    </row>
    <row r="100" ht="24.95" customFormat="1" customHeight="1" s="4">
      <c r="A100" s="73" t="n"/>
      <c r="B100" s="74" t="n"/>
      <c r="C100" s="74" t="n"/>
      <c r="D100" s="74" t="n"/>
      <c r="E100" s="74" t="n"/>
      <c r="F100" s="74" t="n"/>
      <c r="G100" s="74" t="n"/>
      <c r="H100" s="74" t="n"/>
      <c r="I100" s="75" t="n"/>
    </row>
    <row r="101" ht="15" customHeight="1">
      <c r="A101" s="73" t="n"/>
      <c r="B101" s="74" t="n"/>
      <c r="C101" s="74" t="n"/>
      <c r="D101" s="74" t="n"/>
      <c r="E101" s="74" t="n"/>
      <c r="F101" s="74" t="n"/>
      <c r="G101" s="74" t="n"/>
      <c r="H101" s="74" t="n"/>
      <c r="I101" s="75" t="n"/>
    </row>
    <row r="102" ht="15" customHeight="1">
      <c r="A102" s="73" t="n"/>
      <c r="B102" s="74" t="n"/>
      <c r="C102" s="74" t="n"/>
      <c r="D102" s="74" t="n"/>
      <c r="E102" s="74" t="n"/>
      <c r="F102" s="74" t="n"/>
      <c r="G102" s="74" t="n"/>
      <c r="H102" s="74" t="n"/>
      <c r="I102" s="75" t="n"/>
    </row>
    <row r="103" ht="15" customHeight="1">
      <c r="A103" s="73" t="n"/>
      <c r="B103" s="74" t="n"/>
      <c r="C103" s="74" t="n"/>
      <c r="D103" s="74" t="n"/>
      <c r="E103" s="74" t="n"/>
      <c r="F103" s="74" t="n"/>
      <c r="G103" s="74" t="n"/>
      <c r="H103" s="74" t="n"/>
      <c r="I103" s="75" t="n"/>
    </row>
    <row r="104" ht="15" customHeight="1">
      <c r="A104" s="73" t="n"/>
      <c r="B104" s="74" t="n"/>
      <c r="C104" s="74" t="n"/>
      <c r="D104" s="74" t="n"/>
      <c r="E104" s="74" t="n"/>
      <c r="F104" s="74" t="n"/>
      <c r="G104" s="74" t="n"/>
      <c r="H104" s="74" t="n"/>
      <c r="I104" s="75" t="n"/>
    </row>
    <row r="105" ht="15" customHeight="1">
      <c r="A105" s="73" t="n"/>
      <c r="B105" s="74" t="n"/>
      <c r="C105" s="74" t="n"/>
      <c r="D105" s="74" t="n"/>
      <c r="E105" s="74" t="n"/>
      <c r="F105" s="74" t="n"/>
      <c r="G105" s="74" t="n"/>
      <c r="H105" s="74" t="n"/>
      <c r="I105" s="75" t="n"/>
    </row>
    <row r="106" ht="15" customHeight="1">
      <c r="A106" s="73" t="n"/>
      <c r="B106" s="74" t="n"/>
      <c r="C106" s="74" t="n"/>
      <c r="D106" s="74" t="n"/>
      <c r="E106" s="74" t="n"/>
      <c r="F106" s="74" t="n"/>
      <c r="G106" s="74" t="n"/>
      <c r="H106" s="74" t="n"/>
      <c r="I106" s="75" t="n"/>
    </row>
    <row r="107" ht="15" customHeight="1">
      <c r="A107" s="73" t="n"/>
      <c r="B107" s="74" t="n"/>
      <c r="C107" s="74" t="n"/>
      <c r="D107" s="74" t="n"/>
      <c r="E107" s="74" t="n"/>
      <c r="F107" s="74" t="n"/>
      <c r="G107" s="74" t="n"/>
      <c r="H107" s="74" t="n"/>
      <c r="I107" s="75" t="n"/>
    </row>
    <row r="108" ht="15" customHeight="1">
      <c r="A108" s="73" t="n"/>
      <c r="B108" s="74" t="n"/>
      <c r="C108" s="74" t="n"/>
      <c r="D108" s="74" t="n"/>
      <c r="E108" s="74" t="n"/>
      <c r="F108" s="74" t="n"/>
      <c r="G108" s="74" t="n"/>
      <c r="H108" s="74" t="n"/>
      <c r="I108" s="75" t="n"/>
    </row>
    <row r="109" ht="15" customHeight="1">
      <c r="A109" s="73" t="n"/>
      <c r="B109" s="74" t="n"/>
      <c r="C109" s="74" t="n"/>
      <c r="D109" s="74" t="n"/>
      <c r="E109" s="74" t="n"/>
      <c r="F109" s="74" t="n"/>
      <c r="G109" s="74" t="n"/>
      <c r="H109" s="74" t="n"/>
      <c r="I109" s="75" t="n"/>
    </row>
    <row r="110" ht="15" customHeight="1">
      <c r="A110" s="73" t="n"/>
      <c r="B110" s="74" t="n"/>
      <c r="C110" s="74" t="n"/>
      <c r="D110" s="74" t="n"/>
      <c r="E110" s="74" t="n"/>
      <c r="F110" s="74" t="n"/>
      <c r="G110" s="74" t="n"/>
      <c r="H110" s="74" t="n"/>
      <c r="I110" s="75" t="n"/>
    </row>
    <row r="111" ht="15" customHeight="1">
      <c r="A111" s="73" t="n"/>
      <c r="B111" s="74" t="n"/>
      <c r="C111" s="74" t="n"/>
      <c r="D111" s="74" t="n"/>
      <c r="E111" s="74" t="n"/>
      <c r="F111" s="74" t="n"/>
      <c r="G111" s="74" t="n"/>
      <c r="H111" s="74" t="n"/>
      <c r="I111" s="75" t="n"/>
    </row>
    <row r="112" ht="15" customHeight="1">
      <c r="A112" s="73" t="n"/>
      <c r="B112" s="74" t="n"/>
      <c r="C112" s="74" t="n"/>
      <c r="D112" s="74" t="n"/>
      <c r="E112" s="74" t="n"/>
      <c r="F112" s="74" t="n"/>
      <c r="G112" s="74" t="n"/>
      <c r="H112" s="74" t="n"/>
      <c r="I112" s="75" t="n"/>
    </row>
    <row r="113" ht="15" customHeight="1">
      <c r="A113" s="73" t="n"/>
      <c r="B113" s="74" t="n"/>
      <c r="C113" s="74" t="n"/>
      <c r="D113" s="74" t="n"/>
      <c r="E113" s="74" t="n"/>
      <c r="F113" s="74" t="n"/>
      <c r="G113" s="74" t="n"/>
      <c r="H113" s="74" t="n"/>
      <c r="I113" s="75" t="n"/>
    </row>
    <row r="114" ht="15" customHeight="1">
      <c r="A114" s="73" t="n"/>
      <c r="B114" s="74" t="n"/>
      <c r="C114" s="74" t="n"/>
      <c r="D114" s="74" t="n"/>
      <c r="E114" s="74" t="n"/>
      <c r="F114" s="74" t="n"/>
      <c r="G114" s="74" t="n"/>
      <c r="H114" s="74" t="n"/>
      <c r="I114" s="75" t="n"/>
    </row>
    <row r="115" ht="15" customHeight="1" thickBot="1">
      <c r="A115" s="76" t="n"/>
      <c r="B115" s="77" t="n"/>
      <c r="C115" s="77" t="n"/>
      <c r="D115" s="77" t="n"/>
      <c r="E115" s="77" t="n"/>
      <c r="F115" s="77" t="n"/>
      <c r="G115" s="77" t="n"/>
      <c r="H115" s="77" t="n"/>
      <c r="I115" s="78" t="n"/>
    </row>
    <row r="116" ht="15" customHeight="1">
      <c r="A116" s="73" t="n"/>
      <c r="B116" s="74" t="n"/>
      <c r="C116" s="74" t="n"/>
      <c r="D116" s="74" t="n"/>
      <c r="E116" s="74" t="n"/>
      <c r="F116" s="74" t="n"/>
      <c r="G116" s="74" t="n"/>
      <c r="H116" s="74" t="n"/>
      <c r="I116" s="75" t="n"/>
    </row>
    <row r="117" ht="15" customHeight="1">
      <c r="A117" s="73" t="n"/>
      <c r="B117" s="74" t="n"/>
      <c r="C117" s="74" t="n"/>
      <c r="D117" s="74" t="n"/>
      <c r="E117" s="74" t="n"/>
      <c r="F117" s="74" t="n"/>
      <c r="G117" s="74" t="n"/>
      <c r="H117" s="74" t="n"/>
      <c r="I117" s="75" t="n"/>
    </row>
    <row r="118" ht="15" customHeight="1">
      <c r="A118" s="73" t="n"/>
      <c r="B118" s="74" t="n"/>
      <c r="C118" s="74" t="n"/>
      <c r="D118" s="74" t="n"/>
      <c r="E118" s="74" t="n"/>
      <c r="F118" s="74" t="n"/>
      <c r="G118" s="74" t="n"/>
      <c r="H118" s="74" t="n"/>
      <c r="I118" s="75" t="n"/>
    </row>
    <row r="119" ht="15" customHeight="1">
      <c r="A119" s="73" t="n"/>
      <c r="B119" s="74" t="n"/>
      <c r="C119" s="74" t="n"/>
      <c r="D119" s="74" t="n"/>
      <c r="E119" s="74" t="n"/>
      <c r="F119" s="74" t="n"/>
      <c r="G119" s="74" t="n"/>
      <c r="H119" s="74" t="n"/>
      <c r="I119" s="75" t="n"/>
    </row>
    <row r="120" ht="15" customHeight="1">
      <c r="A120" s="73" t="n"/>
      <c r="B120" s="74" t="n"/>
      <c r="C120" s="74" t="n"/>
      <c r="D120" s="74" t="n"/>
      <c r="E120" s="74" t="n"/>
      <c r="F120" s="74" t="n"/>
      <c r="G120" s="74" t="n"/>
      <c r="H120" s="74" t="n"/>
      <c r="I120" s="75" t="n"/>
    </row>
    <row r="121" ht="15" customHeight="1">
      <c r="A121" s="73" t="n"/>
      <c r="B121" s="74" t="n"/>
      <c r="C121" s="74" t="n"/>
      <c r="D121" s="74" t="n"/>
      <c r="E121" s="74" t="n"/>
      <c r="F121" s="74" t="n"/>
      <c r="G121" s="74" t="n"/>
      <c r="H121" s="74" t="n"/>
      <c r="I121" s="75" t="n"/>
    </row>
    <row r="122" ht="15" customHeight="1">
      <c r="A122" s="73" t="n"/>
      <c r="B122" s="74" t="n"/>
      <c r="C122" s="74" t="n"/>
      <c r="D122" s="74" t="n"/>
      <c r="E122" s="74" t="n"/>
      <c r="F122" s="74" t="n"/>
      <c r="G122" s="74" t="n"/>
      <c r="H122" s="74" t="n"/>
      <c r="I122" s="75" t="n"/>
    </row>
    <row r="123" ht="15" customHeight="1">
      <c r="A123" s="73" t="n"/>
      <c r="B123" s="74" t="n"/>
      <c r="C123" s="74" t="n"/>
      <c r="D123" s="74" t="n"/>
      <c r="E123" s="74" t="n"/>
      <c r="F123" s="74" t="n"/>
      <c r="G123" s="74" t="n"/>
      <c r="H123" s="74" t="n"/>
      <c r="I123" s="75" t="n"/>
    </row>
    <row r="124" ht="24.95" customHeight="1">
      <c r="A124" s="73" t="n"/>
      <c r="B124" s="74" t="n"/>
      <c r="C124" s="74" t="n"/>
      <c r="D124" s="74" t="n"/>
      <c r="E124" s="74" t="n"/>
      <c r="F124" s="74" t="n"/>
      <c r="G124" s="74" t="n"/>
      <c r="H124" s="74" t="n"/>
      <c r="I124" s="75" t="n"/>
    </row>
    <row r="125" ht="15" customHeight="1">
      <c r="A125" s="73" t="n"/>
      <c r="B125" s="74" t="n"/>
      <c r="C125" s="74" t="n"/>
      <c r="D125" s="74" t="n"/>
      <c r="E125" s="74" t="n"/>
      <c r="F125" s="74" t="n"/>
      <c r="G125" s="74" t="n"/>
      <c r="H125" s="74" t="n"/>
      <c r="I125" s="75" t="n"/>
    </row>
    <row r="126" ht="15" customHeight="1">
      <c r="A126" s="73" t="n"/>
      <c r="B126" s="74" t="n"/>
      <c r="C126" s="74" t="n"/>
      <c r="D126" s="74" t="n"/>
      <c r="E126" s="74" t="n"/>
      <c r="F126" s="74" t="n"/>
      <c r="G126" s="74" t="n"/>
      <c r="H126" s="74" t="n"/>
      <c r="I126" s="75" t="n"/>
    </row>
    <row r="127" ht="27.95" customHeight="1">
      <c r="A127" s="73" t="n"/>
      <c r="B127" s="74" t="n"/>
      <c r="C127" s="74" t="n"/>
      <c r="D127" s="74" t="n"/>
      <c r="E127" s="74" t="n"/>
      <c r="F127" s="74" t="n"/>
      <c r="G127" s="74" t="n"/>
      <c r="H127" s="74" t="n"/>
      <c r="I127" s="75" t="n"/>
    </row>
    <row r="128" ht="15" customHeight="1">
      <c r="A128" s="73" t="n"/>
      <c r="B128" s="74" t="n"/>
      <c r="C128" s="74" t="n"/>
      <c r="D128" s="74" t="n"/>
      <c r="E128" s="74" t="n"/>
      <c r="F128" s="74" t="n"/>
      <c r="G128" s="74" t="n"/>
      <c r="H128" s="74" t="n"/>
      <c r="I128" s="75" t="n"/>
    </row>
    <row r="129" ht="15" customHeight="1">
      <c r="A129" s="73" t="n"/>
      <c r="B129" s="74" t="n"/>
      <c r="C129" s="74" t="n"/>
      <c r="D129" s="74" t="n"/>
      <c r="E129" s="74" t="n"/>
      <c r="F129" s="74" t="n"/>
      <c r="G129" s="74" t="n"/>
      <c r="H129" s="74" t="n"/>
      <c r="I129" s="75" t="n"/>
    </row>
    <row r="130" ht="15" customHeight="1">
      <c r="A130" s="73" t="n"/>
      <c r="B130" s="74" t="n"/>
      <c r="C130" s="74" t="n"/>
      <c r="D130" s="74" t="n"/>
      <c r="E130" s="74" t="n"/>
      <c r="F130" s="74" t="n"/>
      <c r="G130" s="74" t="n"/>
      <c r="H130" s="74" t="n"/>
      <c r="I130" s="75" t="n"/>
    </row>
    <row r="131" ht="15" customHeight="1">
      <c r="A131" s="73" t="n"/>
      <c r="B131" s="74" t="n"/>
      <c r="C131" s="74" t="n"/>
      <c r="D131" s="74" t="n"/>
      <c r="E131" s="74" t="n"/>
      <c r="F131" s="74" t="n"/>
      <c r="G131" s="74" t="n"/>
      <c r="H131" s="74" t="n"/>
      <c r="I131" s="75" t="n"/>
    </row>
    <row r="132" ht="15" customHeight="1">
      <c r="A132" s="73" t="n"/>
      <c r="B132" s="74" t="n"/>
      <c r="C132" s="74" t="n"/>
      <c r="D132" s="74" t="n"/>
      <c r="E132" s="74" t="n"/>
      <c r="F132" s="74" t="n"/>
      <c r="G132" s="74" t="n"/>
      <c r="H132" s="74" t="n"/>
      <c r="I132" s="75" t="n"/>
    </row>
    <row r="133" ht="15" customHeight="1">
      <c r="A133" s="73" t="n"/>
      <c r="B133" s="74" t="n"/>
      <c r="C133" s="74" t="n"/>
      <c r="D133" s="74" t="n"/>
      <c r="E133" s="74" t="n"/>
      <c r="F133" s="74" t="n"/>
      <c r="G133" s="74" t="n"/>
      <c r="H133" s="74" t="n"/>
      <c r="I133" s="75" t="n"/>
    </row>
    <row r="134" ht="15" customHeight="1">
      <c r="A134" s="73" t="n"/>
      <c r="B134" s="74" t="n"/>
      <c r="C134" s="74" t="n"/>
      <c r="D134" s="74" t="n"/>
      <c r="E134" s="74" t="n"/>
      <c r="F134" s="74" t="n"/>
      <c r="G134" s="74" t="n"/>
      <c r="H134" s="74" t="n"/>
      <c r="I134" s="75" t="n"/>
    </row>
    <row r="135" ht="15" customHeight="1">
      <c r="A135" s="73" t="n"/>
      <c r="B135" s="74" t="n"/>
      <c r="C135" s="74" t="n"/>
      <c r="D135" s="74" t="n"/>
      <c r="E135" s="74" t="n"/>
      <c r="F135" s="74" t="n"/>
      <c r="G135" s="74" t="n"/>
      <c r="H135" s="74" t="n"/>
      <c r="I135" s="75" t="n"/>
    </row>
    <row r="136" ht="15" customHeight="1">
      <c r="A136" s="73" t="n"/>
      <c r="B136" s="74" t="n"/>
      <c r="C136" s="74" t="n"/>
      <c r="D136" s="74" t="n"/>
      <c r="E136" s="74" t="n"/>
      <c r="F136" s="74" t="n"/>
      <c r="G136" s="74" t="n"/>
      <c r="H136" s="74" t="n"/>
      <c r="I136" s="75" t="n"/>
    </row>
    <row r="137" ht="15" customHeight="1">
      <c r="A137" s="73" t="n"/>
      <c r="B137" s="74" t="n"/>
      <c r="C137" s="74" t="n"/>
      <c r="D137" s="74" t="n"/>
      <c r="E137" s="74" t="n"/>
      <c r="F137" s="74" t="n"/>
      <c r="G137" s="74" t="n"/>
      <c r="H137" s="74" t="n"/>
      <c r="I137" s="75" t="n"/>
    </row>
    <row r="138" ht="15" customHeight="1">
      <c r="A138" s="73" t="n"/>
      <c r="B138" s="74" t="n"/>
      <c r="C138" s="74" t="n"/>
      <c r="D138" s="74" t="n"/>
      <c r="E138" s="74" t="n"/>
      <c r="F138" s="74" t="n"/>
      <c r="G138" s="74" t="n"/>
      <c r="H138" s="74" t="n"/>
      <c r="I138" s="75" t="n"/>
    </row>
    <row r="139" ht="15" customHeight="1">
      <c r="A139" s="73" t="n"/>
      <c r="B139" s="74" t="n"/>
      <c r="C139" s="74" t="n"/>
      <c r="D139" s="74" t="n"/>
      <c r="E139" s="74" t="n"/>
      <c r="F139" s="74" t="n"/>
      <c r="G139" s="74" t="n"/>
      <c r="H139" s="74" t="n"/>
      <c r="I139" s="75" t="n"/>
    </row>
    <row r="140" ht="15" customHeight="1" thickBot="1">
      <c r="A140" s="73" t="n"/>
      <c r="B140" s="74" t="n"/>
      <c r="C140" s="74" t="n"/>
      <c r="D140" s="74" t="n"/>
      <c r="E140" s="74" t="n"/>
      <c r="F140" s="74" t="n"/>
      <c r="G140" s="74" t="n"/>
      <c r="H140" s="74" t="n"/>
      <c r="I140" s="75" t="n"/>
      <c r="J140" s="8" t="n"/>
    </row>
    <row r="141" ht="15" customHeight="1">
      <c r="A141" s="73" t="n"/>
      <c r="B141" s="74" t="n"/>
      <c r="C141" s="74" t="n"/>
      <c r="D141" s="74" t="n"/>
      <c r="E141" s="74" t="n"/>
      <c r="F141" s="74" t="n"/>
      <c r="G141" s="74" t="n"/>
      <c r="H141" s="74" t="n"/>
      <c r="I141" s="75" t="n"/>
    </row>
    <row r="142" ht="15" customHeight="1">
      <c r="A142" s="73" t="n"/>
      <c r="B142" s="74" t="n"/>
      <c r="C142" s="74" t="n"/>
      <c r="D142" s="74" t="n"/>
      <c r="E142" s="74" t="n"/>
      <c r="F142" s="74" t="n"/>
      <c r="G142" s="74" t="n"/>
      <c r="H142" s="74" t="n"/>
      <c r="I142" s="75" t="n"/>
    </row>
    <row r="143" ht="15" customHeight="1">
      <c r="A143" s="73" t="n"/>
      <c r="B143" s="74" t="n"/>
      <c r="C143" s="74" t="n"/>
      <c r="D143" s="74" t="n"/>
      <c r="E143" s="74" t="n"/>
      <c r="F143" s="74" t="n"/>
      <c r="G143" s="74" t="n"/>
      <c r="H143" s="74" t="n"/>
      <c r="I143" s="75" t="n"/>
    </row>
    <row r="144" ht="15" customHeight="1">
      <c r="A144" s="73" t="n"/>
      <c r="B144" s="74" t="n"/>
      <c r="C144" s="74" t="n"/>
      <c r="D144" s="74" t="n"/>
      <c r="E144" s="74" t="n"/>
      <c r="F144" s="74" t="n"/>
      <c r="G144" s="74" t="n"/>
      <c r="H144" s="74" t="n"/>
      <c r="I144" s="75" t="n"/>
    </row>
    <row r="145" ht="15" customHeight="1">
      <c r="A145" s="73" t="n"/>
      <c r="B145" s="74" t="n"/>
      <c r="C145" s="74" t="n"/>
      <c r="D145" s="74" t="n"/>
      <c r="E145" s="74" t="n"/>
      <c r="F145" s="74" t="n"/>
      <c r="G145" s="74" t="n"/>
      <c r="H145" s="74" t="n"/>
      <c r="I145" s="75" t="n"/>
    </row>
    <row r="146" ht="15" customHeight="1">
      <c r="B146" s="74" t="n"/>
      <c r="C146" s="74" t="n"/>
      <c r="D146" s="74" t="n"/>
      <c r="E146" s="74" t="n"/>
      <c r="F146" s="74" t="n"/>
      <c r="G146" s="74" t="n"/>
      <c r="H146" s="74" t="n"/>
      <c r="I146" s="75" t="n"/>
    </row>
    <row r="147" ht="15.95" customHeight="1">
      <c r="A147" s="73" t="n"/>
      <c r="B147" s="74" t="n"/>
      <c r="C147" s="74" t="n"/>
      <c r="D147" s="74" t="n"/>
      <c r="E147" s="74" t="n"/>
      <c r="F147" s="74" t="n"/>
      <c r="G147" s="74" t="n"/>
      <c r="H147" s="74" t="n"/>
      <c r="I147" s="75" t="n"/>
    </row>
    <row r="148" ht="30.75" customHeight="1">
      <c r="A148" s="218" t="n"/>
      <c r="E148" s="220" t="n"/>
      <c r="I148" s="271"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A181" s="64" t="n"/>
      <c r="I181" s="65" t="n"/>
    </row>
    <row r="182">
      <c r="A182" s="64" t="n"/>
      <c r="I182" s="65" t="n"/>
    </row>
    <row r="183">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c r="A200" s="64" t="n"/>
      <c r="I200" s="65" t="n"/>
    </row>
    <row r="201">
      <c r="A201" s="64" t="n"/>
      <c r="I201" s="65" t="n"/>
    </row>
    <row r="202">
      <c r="A202" s="64" t="n"/>
      <c r="I202" s="65" t="n"/>
    </row>
    <row r="203">
      <c r="A203" s="64" t="n"/>
      <c r="I203" s="65" t="n"/>
    </row>
    <row r="204">
      <c r="A204" s="64" t="n"/>
      <c r="I204" s="65" t="n"/>
    </row>
    <row r="205">
      <c r="A205" s="64" t="n"/>
      <c r="I205" s="65" t="n"/>
    </row>
    <row r="206">
      <c r="A206" s="64" t="n"/>
      <c r="I206" s="65" t="n"/>
    </row>
    <row r="207">
      <c r="A207" s="64" t="n"/>
      <c r="I207" s="65" t="n"/>
    </row>
    <row r="208">
      <c r="A208" s="64" t="n"/>
      <c r="I208" s="65" t="n"/>
    </row>
    <row r="209">
      <c r="A209" s="64" t="n"/>
      <c r="I209" s="65" t="n"/>
    </row>
    <row r="210">
      <c r="A210" s="64" t="n"/>
      <c r="I210" s="65" t="n"/>
    </row>
    <row r="211">
      <c r="A211" s="64" t="n"/>
      <c r="I211" s="65" t="n"/>
    </row>
  </sheetData>
  <mergeCells count="40">
    <mergeCell ref="A48:B48"/>
    <mergeCell ref="B47:C47"/>
    <mergeCell ref="D13:F13"/>
    <mergeCell ref="G13:I13"/>
    <mergeCell ref="B8:D8"/>
    <mergeCell ref="A66:I66"/>
    <mergeCell ref="B46:C46"/>
    <mergeCell ref="D48:I48"/>
    <mergeCell ref="A55:I55"/>
    <mergeCell ref="A12:I12"/>
    <mergeCell ref="D47:I47"/>
    <mergeCell ref="B56:I56"/>
    <mergeCell ref="A5:I5"/>
    <mergeCell ref="A76:I76"/>
    <mergeCell ref="A51:I54"/>
    <mergeCell ref="A148:D148"/>
    <mergeCell ref="B9:D9"/>
    <mergeCell ref="B60:I60"/>
    <mergeCell ref="C62:I62"/>
    <mergeCell ref="B57:I57"/>
    <mergeCell ref="B6:D6"/>
    <mergeCell ref="C58:I58"/>
    <mergeCell ref="A13:C13"/>
    <mergeCell ref="E148:I148"/>
    <mergeCell ref="A68:I68"/>
    <mergeCell ref="A10:I10"/>
    <mergeCell ref="C64:I64"/>
    <mergeCell ref="A1:I4"/>
    <mergeCell ref="A67:I67"/>
    <mergeCell ref="B7:D7"/>
    <mergeCell ref="C65:I65"/>
    <mergeCell ref="C63:I63"/>
    <mergeCell ref="A49:I49"/>
    <mergeCell ref="A11:I11"/>
    <mergeCell ref="D46:I46"/>
    <mergeCell ref="C59:I59"/>
    <mergeCell ref="B45:C45"/>
    <mergeCell ref="A70:I70"/>
    <mergeCell ref="D45:I45"/>
    <mergeCell ref="A61:I61"/>
  </mergeCells>
  <printOptions horizontalCentered="1"/>
  <pageMargins left="0.2362204724409449" right="0.2362204724409449" top="0.7480314960629921" bottom="0.7480314960629921" header="0.3149606299212598" footer="0.3149606299212598"/>
  <pageSetup orientation="portrait" paperSize="9" scale="34" fitToHeight="0"/>
  <rowBreaks count="2" manualBreakCount="2">
    <brk id="75" min="0" max="8" man="1"/>
    <brk id="213" min="0" max="8" man="1"/>
  </rowBreaks>
</worksheet>
</file>

<file path=xl/worksheets/sheet5.xml><?xml version="1.0" encoding="utf-8"?>
<worksheet xmlns="http://schemas.openxmlformats.org/spreadsheetml/2006/main">
  <sheetPr>
    <outlinePr summaryBelow="1" summaryRight="1"/>
    <pageSetUpPr fitToPage="1"/>
  </sheetPr>
  <dimension ref="A1:S210"/>
  <sheetViews>
    <sheetView view="pageBreakPreview" zoomScale="40" zoomScaleNormal="100" zoomScaleSheetLayoutView="40" workbookViewId="0">
      <selection activeCell="D41" sqref="D41"/>
    </sheetView>
  </sheetViews>
  <sheetFormatPr baseColWidth="8" defaultColWidth="9.140625" defaultRowHeight="14.45"/>
  <cols>
    <col width="62.140625" bestFit="1" customWidth="1" style="232" min="1" max="1"/>
    <col width="41.42578125" bestFit="1" customWidth="1" style="232" min="2" max="2"/>
    <col width="16" customWidth="1" style="232" min="3" max="3"/>
    <col width="28.710937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6384"/>
  </cols>
  <sheetData>
    <row r="1">
      <c r="A1" s="243"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170" t="inlineStr">
        <is>
          <t>TCD DAILY FIELD REPORT</t>
        </is>
      </c>
      <c r="B5" s="275" t="n"/>
      <c r="C5" s="275" t="n"/>
      <c r="D5" s="275" t="n"/>
      <c r="E5" s="275" t="n"/>
      <c r="F5" s="275" t="n"/>
      <c r="G5" s="275" t="n"/>
      <c r="H5" s="275" t="n"/>
      <c r="I5" s="276" t="n"/>
    </row>
    <row r="6" ht="23.1" customHeight="1">
      <c r="A6" s="49" t="inlineStr">
        <is>
          <t>Project Name:</t>
        </is>
      </c>
      <c r="B6" s="173" t="inlineStr">
        <is>
          <t>Batavia Station Square</t>
        </is>
      </c>
      <c r="E6" s="173" t="n"/>
      <c r="F6" s="51" t="n"/>
      <c r="G6" s="51" t="n"/>
      <c r="H6" s="52" t="inlineStr">
        <is>
          <t>Date:</t>
        </is>
      </c>
      <c r="I6" s="53" t="n">
        <v>45876</v>
      </c>
    </row>
    <row r="7" ht="23.1" customHeight="1">
      <c r="A7" s="49" t="inlineStr">
        <is>
          <t>Project Location:</t>
        </is>
      </c>
      <c r="B7" s="173" t="inlineStr">
        <is>
          <t>Geraldton</t>
        </is>
      </c>
      <c r="E7" s="173" t="n"/>
      <c r="F7" s="51" t="n"/>
      <c r="G7" s="51" t="n"/>
      <c r="H7" s="54" t="inlineStr">
        <is>
          <t>Day:</t>
        </is>
      </c>
      <c r="I7" s="55">
        <f>I6</f>
        <v/>
      </c>
    </row>
    <row r="8" ht="23.1" customHeight="1">
      <c r="A8" s="49" t="inlineStr">
        <is>
          <t>Project Number:</t>
        </is>
      </c>
      <c r="B8" s="173" t="inlineStr">
        <is>
          <t>TCD-1816</t>
        </is>
      </c>
      <c r="E8" s="173" t="n"/>
      <c r="F8" s="51" t="n"/>
      <c r="G8" s="51" t="n"/>
      <c r="H8" s="54" t="inlineStr">
        <is>
          <t>Start:</t>
        </is>
      </c>
      <c r="I8" s="56" t="n">
        <v>0.2916666666666667</v>
      </c>
    </row>
    <row r="9" ht="23.1" customHeight="1">
      <c r="A9" s="49" t="inlineStr">
        <is>
          <t>Report Number:</t>
        </is>
      </c>
      <c r="B9" s="159" t="n">
        <v>73</v>
      </c>
      <c r="C9" s="273" t="n"/>
      <c r="D9" s="273" t="n"/>
      <c r="E9" s="160" t="n"/>
      <c r="F9" s="58" t="n"/>
      <c r="G9" s="58" t="n"/>
      <c r="H9" s="54" t="inlineStr">
        <is>
          <t>Finish:</t>
        </is>
      </c>
      <c r="I9" s="56" t="n">
        <v>0.7083333333333334</v>
      </c>
    </row>
    <row r="10" ht="24.95" customHeight="1">
      <c r="A10" s="230" t="inlineStr">
        <is>
          <t>WEATHER &amp; GROUND CONDITIONS</t>
        </is>
      </c>
      <c r="B10" s="275" t="n"/>
      <c r="C10" s="275" t="n"/>
      <c r="D10" s="275" t="n"/>
      <c r="E10" s="275" t="n"/>
      <c r="F10" s="275" t="n"/>
      <c r="G10" s="275" t="n"/>
      <c r="H10" s="275" t="n"/>
      <c r="I10" s="277" t="n"/>
    </row>
    <row r="11" ht="22.5" customHeight="1">
      <c r="A11" s="287" t="inlineStr">
        <is>
          <t xml:space="preserve">Temperature: 24 degrees    Wind 52km/h N  Precip: 0 mm </t>
        </is>
      </c>
      <c r="B11" s="275" t="n"/>
      <c r="C11" s="275" t="n"/>
      <c r="D11" s="275" t="n"/>
      <c r="E11" s="275" t="n"/>
      <c r="F11" s="275" t="n"/>
      <c r="G11" s="275" t="n"/>
      <c r="H11" s="275" t="n"/>
      <c r="I11" s="277" t="n"/>
    </row>
    <row r="12" ht="24.95" customHeight="1">
      <c r="A12" s="231" t="inlineStr">
        <is>
          <t>PERSONNEL</t>
        </is>
      </c>
      <c r="B12" s="278" t="n"/>
      <c r="C12" s="278" t="n"/>
      <c r="D12" s="278" t="n"/>
      <c r="E12" s="278" t="n"/>
      <c r="F12" s="278" t="n"/>
      <c r="G12" s="278" t="n"/>
      <c r="H12" s="278" t="n"/>
      <c r="I12" s="279" t="n"/>
    </row>
    <row r="13" ht="23.1" customHeight="1">
      <c r="A13" s="183" t="inlineStr">
        <is>
          <t>TCD Indirects</t>
        </is>
      </c>
      <c r="B13" s="275" t="n"/>
      <c r="C13" s="276" t="n"/>
      <c r="D13" s="184" t="inlineStr">
        <is>
          <t>TCD Directs</t>
        </is>
      </c>
      <c r="E13" s="275" t="n"/>
      <c r="F13" s="276" t="n"/>
      <c r="G13" s="184" t="inlineStr">
        <is>
          <t>Subcontractors</t>
        </is>
      </c>
      <c r="H13" s="275" t="n"/>
      <c r="I13" s="276" t="n"/>
    </row>
    <row r="14" ht="23.1" customHeight="1">
      <c r="A14" s="183" t="inlineStr">
        <is>
          <t xml:space="preserve"> Name</t>
        </is>
      </c>
      <c r="B14" s="184" t="inlineStr">
        <is>
          <t>Position</t>
        </is>
      </c>
      <c r="C14" s="39" t="inlineStr">
        <is>
          <t>Hours</t>
        </is>
      </c>
      <c r="D14" s="184" t="inlineStr">
        <is>
          <t xml:space="preserve"> Name</t>
        </is>
      </c>
      <c r="E14" s="184" t="inlineStr">
        <is>
          <t>Position</t>
        </is>
      </c>
      <c r="F14" s="39" t="inlineStr">
        <is>
          <t>Hours</t>
        </is>
      </c>
      <c r="G14" s="184" t="inlineStr">
        <is>
          <t xml:space="preserve"> Name</t>
        </is>
      </c>
      <c r="H14" s="184" t="inlineStr">
        <is>
          <t>Position</t>
        </is>
      </c>
      <c r="I14" s="185" t="inlineStr">
        <is>
          <t>Hours</t>
        </is>
      </c>
    </row>
    <row r="15" ht="22.5" customHeight="1">
      <c r="A15" s="25" t="inlineStr">
        <is>
          <t>WATKINS, Steve</t>
        </is>
      </c>
      <c r="B15" s="26" t="inlineStr">
        <is>
          <t>Civil Manager</t>
        </is>
      </c>
      <c r="C15" s="40" t="n"/>
      <c r="D15" s="41" t="n"/>
      <c r="E15" s="41" t="n"/>
      <c r="F15" s="26" t="n"/>
      <c r="G15" s="42" t="inlineStr">
        <is>
          <t>Khegan Brockman</t>
        </is>
      </c>
      <c r="H15" s="26" t="inlineStr">
        <is>
          <t>Labourer</t>
        </is>
      </c>
      <c r="I15" s="28" t="n">
        <v>10</v>
      </c>
    </row>
    <row r="16" ht="22.5" customHeight="1">
      <c r="A16" s="25" t="inlineStr">
        <is>
          <t>GRIFFITHS, Daniel</t>
        </is>
      </c>
      <c r="B16" s="26" t="inlineStr">
        <is>
          <t>Project Manager</t>
        </is>
      </c>
      <c r="C16" s="27" t="n">
        <v>10</v>
      </c>
      <c r="D16" s="43" t="n"/>
      <c r="E16" s="43" t="n"/>
      <c r="F16" s="26" t="n"/>
      <c r="G16" s="42" t="inlineStr">
        <is>
          <t>Laurent Levy</t>
        </is>
      </c>
      <c r="H16" s="26" t="inlineStr">
        <is>
          <t>Operator</t>
        </is>
      </c>
      <c r="I16" s="28" t="n">
        <v>10</v>
      </c>
    </row>
    <row r="17" ht="22.5" customHeight="1">
      <c r="A17" s="25" t="inlineStr">
        <is>
          <t>O"SHEA, John</t>
        </is>
      </c>
      <c r="B17" s="26" t="inlineStr">
        <is>
          <t>Senior Project Engineer</t>
        </is>
      </c>
      <c r="C17" s="27" t="n">
        <v>10</v>
      </c>
      <c r="D17" s="43" t="n"/>
      <c r="E17" s="43" t="n"/>
      <c r="F17" s="26" t="n"/>
      <c r="G17" s="42" t="inlineStr">
        <is>
          <t>Daniel McAuffile</t>
        </is>
      </c>
      <c r="H17" s="26" t="inlineStr">
        <is>
          <t>Operator</t>
        </is>
      </c>
      <c r="I17" s="28" t="n">
        <v>10</v>
      </c>
    </row>
    <row r="18" ht="22.5" customHeight="1">
      <c r="A18" s="25" t="inlineStr">
        <is>
          <t>GRIFFITHS, Ashley</t>
        </is>
      </c>
      <c r="B18" s="26" t="inlineStr">
        <is>
          <t>Supervisor</t>
        </is>
      </c>
      <c r="C18" s="27" t="n">
        <v>10</v>
      </c>
      <c r="D18" s="41" t="n"/>
      <c r="E18" s="41" t="n"/>
      <c r="F18" s="26" t="n"/>
      <c r="G18" s="42" t="inlineStr">
        <is>
          <t>O'Brian, Jamie</t>
        </is>
      </c>
      <c r="H18" s="26" t="inlineStr">
        <is>
          <t>Operator</t>
        </is>
      </c>
      <c r="I18" s="28" t="n">
        <v>10</v>
      </c>
    </row>
    <row r="19" ht="22.5" customHeight="1">
      <c r="A19" s="25" t="inlineStr">
        <is>
          <t>LOW, June</t>
        </is>
      </c>
      <c r="B19" s="26" t="inlineStr">
        <is>
          <t>HSET</t>
        </is>
      </c>
      <c r="C19" s="27" t="n"/>
      <c r="D19" s="41" t="n"/>
      <c r="E19" s="41" t="n"/>
      <c r="F19" s="26" t="n"/>
      <c r="G19" s="42" t="inlineStr">
        <is>
          <t>Simpson, Josh</t>
        </is>
      </c>
      <c r="H19" s="26" t="inlineStr">
        <is>
          <t>Operator</t>
        </is>
      </c>
      <c r="I19" s="28" t="n">
        <v>10</v>
      </c>
    </row>
    <row r="20" ht="22.5" customHeight="1">
      <c r="A20" s="25" t="inlineStr">
        <is>
          <t>SKINNER, Jamie</t>
        </is>
      </c>
      <c r="B20" s="26" t="inlineStr">
        <is>
          <t>Supervisor</t>
        </is>
      </c>
      <c r="C20" s="27" t="n">
        <v>10</v>
      </c>
      <c r="D20" s="41" t="n"/>
      <c r="E20" s="41" t="n"/>
      <c r="F20" s="26" t="n"/>
      <c r="G20" s="42" t="inlineStr">
        <is>
          <t>O'Reilly, James</t>
        </is>
      </c>
      <c r="H20" s="26" t="inlineStr">
        <is>
          <t>Operator</t>
        </is>
      </c>
      <c r="I20" s="28" t="n">
        <v>10</v>
      </c>
    </row>
    <row r="21" ht="22.5" customHeight="1">
      <c r="A21" s="25" t="n"/>
      <c r="B21" s="26" t="n"/>
      <c r="C21" s="27" t="n"/>
      <c r="D21" s="41" t="n"/>
      <c r="E21" s="41" t="n"/>
      <c r="F21" s="26" t="n"/>
      <c r="G21" s="42" t="inlineStr">
        <is>
          <t>Chester, Matt</t>
        </is>
      </c>
      <c r="H21" s="26" t="inlineStr">
        <is>
          <t>Gas Fitter</t>
        </is>
      </c>
      <c r="I21" s="28" t="n"/>
    </row>
    <row r="22" ht="22.5" customHeight="1">
      <c r="A22" s="25" t="n"/>
      <c r="B22" s="26" t="n"/>
      <c r="C22" s="27" t="n"/>
      <c r="D22" s="41" t="n"/>
      <c r="E22" s="41" t="n"/>
      <c r="F22" s="26" t="n"/>
      <c r="G22" s="42" t="inlineStr">
        <is>
          <t>Mounsey, Matt</t>
        </is>
      </c>
      <c r="H22" s="26" t="inlineStr">
        <is>
          <t>Gas Fitter</t>
        </is>
      </c>
      <c r="I22" s="28" t="n"/>
    </row>
    <row r="23" ht="22.5" customHeight="1">
      <c r="A23" s="25" t="n"/>
      <c r="B23" s="26" t="n"/>
      <c r="C23" s="27" t="n"/>
      <c r="D23" s="41" t="n"/>
      <c r="E23" s="41" t="n"/>
      <c r="F23" s="26" t="n"/>
      <c r="G23" s="42" t="inlineStr">
        <is>
          <t>Herring, Levin</t>
        </is>
      </c>
      <c r="H23" s="26" t="inlineStr">
        <is>
          <t>Gas Fitter</t>
        </is>
      </c>
      <c r="I23" s="28" t="n"/>
    </row>
    <row r="24" ht="22.5" customHeight="1">
      <c r="A24" s="25" t="n"/>
      <c r="B24" s="26" t="n"/>
      <c r="C24" s="27" t="n"/>
      <c r="D24" s="41" t="n"/>
      <c r="E24" s="41" t="n"/>
      <c r="F24" s="26" t="n"/>
      <c r="G24" s="42" t="n"/>
      <c r="H24" s="26" t="n"/>
      <c r="I24" s="28" t="n"/>
    </row>
    <row r="25" ht="22.5" customHeight="1">
      <c r="A25" s="25" t="n"/>
      <c r="B25" s="26" t="n"/>
      <c r="C25" s="27" t="n"/>
      <c r="D25" s="41" t="n"/>
      <c r="E25" s="41" t="n"/>
      <c r="F25" s="26" t="n"/>
      <c r="G25" s="44" t="n"/>
      <c r="H25" s="26" t="n"/>
      <c r="I25" s="28" t="n"/>
    </row>
    <row r="26" ht="23.1" customHeight="1">
      <c r="A26" s="239" t="inlineStr">
        <is>
          <t xml:space="preserve">Total Indirect Personnel onsite: </t>
        </is>
      </c>
      <c r="B26" s="45">
        <f>COUNTIF(C15:C25,"&gt;0")</f>
        <v/>
      </c>
      <c r="C26" s="41" t="n"/>
      <c r="D26" s="41" t="n"/>
      <c r="E26" s="41" t="n"/>
      <c r="F26" s="26" t="n"/>
      <c r="G26" s="194" t="inlineStr">
        <is>
          <t>Total Subcontractor on-site:</t>
        </is>
      </c>
      <c r="H26" s="46">
        <f>COUNTIF(I15:I25,"&gt;0")</f>
        <v/>
      </c>
      <c r="I26" s="28" t="n"/>
    </row>
    <row r="27" ht="23.1" customHeight="1">
      <c r="A27" s="239" t="inlineStr">
        <is>
          <t xml:space="preserve">Total Indirect Personnel hours: </t>
        </is>
      </c>
      <c r="B27" s="45">
        <f>SUM(C15:C25)</f>
        <v/>
      </c>
      <c r="C27" s="27" t="n"/>
      <c r="D27" s="41" t="n"/>
      <c r="E27" s="41" t="n"/>
      <c r="F27" s="26" t="n"/>
      <c r="G27" s="194" t="inlineStr">
        <is>
          <t>Total Subcontractor hours:</t>
        </is>
      </c>
      <c r="H27" s="46">
        <f>SUM(I15:I25)</f>
        <v/>
      </c>
      <c r="I27" s="28" t="n"/>
    </row>
    <row r="28" ht="23.1" customHeight="1">
      <c r="A28" s="239" t="inlineStr">
        <is>
          <t xml:space="preserve">Total Direct Personnel onsite:  </t>
        </is>
      </c>
      <c r="B28" s="45">
        <f>COUNTIF(F15:F29,"&gt;0")</f>
        <v/>
      </c>
      <c r="C28" s="45" t="n"/>
      <c r="D28" s="41" t="n"/>
      <c r="E28" s="41" t="n"/>
      <c r="F28" s="47" t="n"/>
      <c r="G28" s="194" t="n"/>
      <c r="H28" s="46" t="n"/>
      <c r="I28" s="238" t="n"/>
    </row>
    <row r="29" ht="23.1" customHeight="1">
      <c r="A29" s="239" t="inlineStr">
        <is>
          <t xml:space="preserve">Total Direct Personnel hours: </t>
        </is>
      </c>
      <c r="B29" s="45">
        <f>SUM(F15:F29)</f>
        <v/>
      </c>
      <c r="C29" s="45" t="n"/>
      <c r="D29" s="45" t="n"/>
      <c r="E29" s="45" t="n"/>
      <c r="F29" s="45" t="n"/>
      <c r="G29" s="45" t="n"/>
      <c r="H29" s="45" t="n"/>
      <c r="I29" s="238" t="n"/>
    </row>
    <row r="30" ht="24.95" customHeight="1">
      <c r="A30" s="10" t="inlineStr">
        <is>
          <t>PLANT &amp; EQUIPMENT</t>
        </is>
      </c>
      <c r="B30" s="1" t="n"/>
      <c r="C30" s="1" t="n"/>
      <c r="D30" s="1" t="n"/>
      <c r="E30" s="1" t="n"/>
      <c r="F30" s="1" t="n"/>
      <c r="G30" s="1" t="n"/>
      <c r="H30" s="1" t="n"/>
      <c r="I30" s="2" t="n"/>
    </row>
    <row r="31" ht="23.1" customHeight="1">
      <c r="A31" s="183" t="inlineStr">
        <is>
          <t>Plant</t>
        </is>
      </c>
      <c r="B31" s="184" t="inlineStr">
        <is>
          <t>ID</t>
        </is>
      </c>
      <c r="C31" s="184" t="inlineStr">
        <is>
          <t>Hours</t>
        </is>
      </c>
      <c r="D31" s="184" t="inlineStr">
        <is>
          <t xml:space="preserve"> Vehicles</t>
        </is>
      </c>
      <c r="E31" s="184" t="inlineStr">
        <is>
          <t>ID</t>
        </is>
      </c>
      <c r="F31" s="184" t="inlineStr">
        <is>
          <t>QTY</t>
        </is>
      </c>
      <c r="G31" s="23" t="inlineStr">
        <is>
          <t>Site Facilities</t>
        </is>
      </c>
      <c r="H31" s="23" t="inlineStr">
        <is>
          <t>ID</t>
        </is>
      </c>
      <c r="I31" s="24" t="inlineStr">
        <is>
          <t>Qty</t>
        </is>
      </c>
    </row>
    <row r="32" ht="22.5" customHeight="1">
      <c r="A32" s="25" t="inlineStr">
        <is>
          <t>Komatsu WA320</t>
        </is>
      </c>
      <c r="B32" s="26" t="inlineStr">
        <is>
          <t>FWL18</t>
        </is>
      </c>
      <c r="C32" s="26" t="n">
        <v>7</v>
      </c>
      <c r="D32" s="27" t="inlineStr">
        <is>
          <t>Hilux</t>
        </is>
      </c>
      <c r="E32" s="27" t="inlineStr">
        <is>
          <t>DLV90</t>
        </is>
      </c>
      <c r="F32" s="27" t="n">
        <v>1</v>
      </c>
      <c r="G32" s="27" t="inlineStr">
        <is>
          <t>Office 40ft</t>
        </is>
      </c>
      <c r="H32" s="27" t="n">
        <v>9255540</v>
      </c>
      <c r="I32" s="28" t="n">
        <v>1</v>
      </c>
    </row>
    <row r="33" ht="22.5" customHeight="1">
      <c r="A33" s="25" t="inlineStr">
        <is>
          <t>Wacker Neuson DPU</t>
        </is>
      </c>
      <c r="B33" s="26" t="inlineStr">
        <is>
          <t>DPC15</t>
        </is>
      </c>
      <c r="C33" s="26" t="n">
        <v>5</v>
      </c>
      <c r="D33" s="27" t="inlineStr">
        <is>
          <t>6 Wheel Tipper</t>
        </is>
      </c>
      <c r="E33" s="27" t="inlineStr">
        <is>
          <t>AMG04</t>
        </is>
      </c>
      <c r="F33" s="27" t="n"/>
      <c r="G33" s="27" t="inlineStr">
        <is>
          <t>Sea Container 20ft</t>
        </is>
      </c>
      <c r="H33" s="26" t="n">
        <v>951200</v>
      </c>
      <c r="I33" s="28" t="n">
        <v>1</v>
      </c>
    </row>
    <row r="34" ht="22.5" customHeight="1">
      <c r="A34" s="29" t="inlineStr">
        <is>
          <t>Positrak</t>
        </is>
      </c>
      <c r="B34" s="27" t="inlineStr">
        <is>
          <t>AMG 025</t>
        </is>
      </c>
      <c r="C34" s="26" t="n">
        <v>5</v>
      </c>
      <c r="D34" s="27" t="n"/>
      <c r="E34" s="26" t="n"/>
      <c r="F34" s="27" t="n"/>
      <c r="G34" s="27" t="inlineStr">
        <is>
          <t>Site Sentry Tower</t>
        </is>
      </c>
      <c r="H34" s="27" t="n"/>
      <c r="I34" s="28" t="n">
        <v>2</v>
      </c>
    </row>
    <row r="35" ht="22.5" customHeight="1">
      <c r="A35" s="29" t="inlineStr">
        <is>
          <t>Watercart</t>
        </is>
      </c>
      <c r="B35" s="27" t="inlineStr">
        <is>
          <t>WC04</t>
        </is>
      </c>
      <c r="C35" s="26" t="n">
        <v>8</v>
      </c>
      <c r="D35" s="27" t="n"/>
      <c r="E35" s="27" t="n"/>
      <c r="F35" s="27" t="n"/>
      <c r="G35" s="27" t="inlineStr">
        <is>
          <t>Skip Bin</t>
        </is>
      </c>
      <c r="H35" s="27" t="n"/>
      <c r="I35" s="28" t="n">
        <v>1</v>
      </c>
    </row>
    <row r="36" ht="22.5" customHeight="1">
      <c r="A36" s="29" t="inlineStr">
        <is>
          <t>8T Excavator</t>
        </is>
      </c>
      <c r="B36" s="30" t="inlineStr">
        <is>
          <t>AMG 014</t>
        </is>
      </c>
      <c r="C36" s="26" t="n">
        <v>6</v>
      </c>
      <c r="D36" s="27" t="n"/>
      <c r="E36" s="27" t="n"/>
      <c r="F36" s="27" t="n"/>
      <c r="G36" s="27" t="inlineStr">
        <is>
          <t>Hydrocarbon Bund</t>
        </is>
      </c>
      <c r="H36" s="27" t="n"/>
      <c r="I36" s="28" t="n">
        <v>1</v>
      </c>
    </row>
    <row r="37" ht="22.5" customHeight="1">
      <c r="A37" s="27" t="inlineStr">
        <is>
          <t>6 Wheel Tipper</t>
        </is>
      </c>
      <c r="B37" s="27" t="inlineStr">
        <is>
          <t>AMG 008</t>
        </is>
      </c>
      <c r="C37" s="27" t="n"/>
      <c r="D37" s="27" t="n"/>
      <c r="E37" s="27" t="n"/>
      <c r="F37" s="27" t="n"/>
      <c r="G37" s="27" t="inlineStr">
        <is>
          <t>Temp Fence</t>
        </is>
      </c>
      <c r="H37" s="26" t="n"/>
      <c r="I37" s="28" t="n">
        <v>1</v>
      </c>
    </row>
    <row r="38" ht="23.45" customHeight="1">
      <c r="A38" s="29" t="inlineStr">
        <is>
          <t>Padfoot/ Smooth Drum Roller</t>
        </is>
      </c>
      <c r="B38" s="27" t="inlineStr">
        <is>
          <t>RR 03</t>
        </is>
      </c>
      <c r="C38" s="26" t="n">
        <v>10</v>
      </c>
      <c r="D38" s="27" t="n"/>
      <c r="E38" s="27" t="n"/>
      <c r="F38" s="27" t="n"/>
      <c r="G38" s="31" t="n"/>
      <c r="H38" s="31" t="n"/>
      <c r="I38" s="32" t="n"/>
    </row>
    <row r="39" ht="23.45" customHeight="1">
      <c r="A39" s="29" t="inlineStr">
        <is>
          <t>Positrak SSL</t>
        </is>
      </c>
      <c r="B39" s="27" t="inlineStr">
        <is>
          <t>SSL08</t>
        </is>
      </c>
      <c r="C39" s="26" t="n">
        <v>10</v>
      </c>
      <c r="D39" s="27" t="n"/>
      <c r="E39" s="27" t="n"/>
      <c r="F39" s="27" t="n"/>
      <c r="G39" s="31" t="n"/>
      <c r="H39" s="31" t="n"/>
      <c r="I39" s="32" t="n"/>
    </row>
    <row r="40" ht="22.5" customHeight="1">
      <c r="A40" s="29" t="inlineStr">
        <is>
          <t>Grader</t>
        </is>
      </c>
      <c r="B40" s="27" t="inlineStr">
        <is>
          <t>SLS01</t>
        </is>
      </c>
      <c r="C40" s="26" t="n">
        <v>10</v>
      </c>
      <c r="D40" s="27" t="n"/>
      <c r="E40" s="27" t="n"/>
      <c r="F40" s="27" t="n"/>
      <c r="G40" s="27" t="n"/>
      <c r="H40" s="26" t="n"/>
      <c r="I40" s="28" t="n"/>
    </row>
    <row r="41" ht="22.5" customHeight="1">
      <c r="A41" s="29" t="inlineStr">
        <is>
          <t>5t Excavator</t>
        </is>
      </c>
      <c r="B41" s="27" t="inlineStr">
        <is>
          <t>AMG 007</t>
        </is>
      </c>
      <c r="C41" s="26" t="n"/>
      <c r="D41" s="27" t="n"/>
      <c r="E41" s="27" t="n"/>
      <c r="F41" s="27" t="n"/>
      <c r="G41" s="27" t="n"/>
      <c r="H41" s="26" t="n"/>
      <c r="I41" s="28" t="n"/>
    </row>
    <row r="42" ht="22.5" customHeight="1">
      <c r="A42" s="29" t="inlineStr">
        <is>
          <t>1.5 Excavator</t>
        </is>
      </c>
      <c r="B42" s="27" t="inlineStr">
        <is>
          <t>AMG 009</t>
        </is>
      </c>
      <c r="C42" s="26" t="n">
        <v>5</v>
      </c>
      <c r="D42" s="27" t="n"/>
      <c r="E42" s="27" t="n"/>
      <c r="F42" s="27" t="n"/>
      <c r="G42" s="27" t="n"/>
      <c r="H42" s="26" t="n"/>
      <c r="I42" s="28" t="n"/>
    </row>
    <row r="43" ht="22.5" customHeight="1">
      <c r="A43" s="29" t="inlineStr">
        <is>
          <t>5t Excavator</t>
        </is>
      </c>
      <c r="B43" s="27" t="inlineStr">
        <is>
          <t>AA 25</t>
        </is>
      </c>
      <c r="C43" s="26" t="n">
        <v>10</v>
      </c>
      <c r="D43" s="27" t="n"/>
      <c r="E43" s="27" t="n"/>
      <c r="F43" s="27" t="n"/>
      <c r="G43" s="27" t="n"/>
      <c r="H43" s="26" t="n"/>
      <c r="I43" s="28" t="n"/>
    </row>
    <row r="44" ht="23.45" customHeight="1">
      <c r="A44" s="29" t="n"/>
      <c r="B44" s="27" t="n"/>
      <c r="C44" s="26" t="n"/>
      <c r="D44" s="31" t="n"/>
      <c r="E44" s="31" t="n"/>
      <c r="F44" s="31" t="n"/>
      <c r="G44" s="31" t="n"/>
      <c r="H44" s="31" t="n"/>
      <c r="I44" s="32" t="n"/>
    </row>
    <row r="45" ht="18" customHeight="1">
      <c r="A45" s="33" t="n">
        <v>0</v>
      </c>
      <c r="B45" s="186" t="inlineStr">
        <is>
          <t xml:space="preserve">Repairs Required </t>
        </is>
      </c>
      <c r="C45" s="276" t="n"/>
      <c r="D45" s="233" t="inlineStr">
        <is>
          <t>N/A</t>
        </is>
      </c>
      <c r="E45" s="275" t="n"/>
      <c r="F45" s="275" t="n"/>
      <c r="G45" s="275" t="n"/>
      <c r="H45" s="275" t="n"/>
      <c r="I45" s="277" t="n"/>
    </row>
    <row r="46" ht="18" customHeight="1">
      <c r="A46" s="34" t="n">
        <v>0</v>
      </c>
      <c r="B46" s="186" t="inlineStr">
        <is>
          <t>Scheduled Service</t>
        </is>
      </c>
      <c r="C46" s="276" t="n"/>
      <c r="D46" s="233" t="inlineStr">
        <is>
          <t>N/A</t>
        </is>
      </c>
      <c r="E46" s="275" t="n"/>
      <c r="F46" s="275" t="n"/>
      <c r="G46" s="275" t="n"/>
      <c r="H46" s="275" t="n"/>
      <c r="I46" s="277" t="n"/>
    </row>
    <row r="47" ht="18" customHeight="1">
      <c r="A47" s="35" t="n">
        <v>0</v>
      </c>
      <c r="B47" s="186" t="inlineStr">
        <is>
          <t>Repairs required but operable</t>
        </is>
      </c>
      <c r="C47" s="276" t="n"/>
      <c r="D47" s="233" t="inlineStr">
        <is>
          <t>N/A</t>
        </is>
      </c>
      <c r="E47" s="275" t="n"/>
      <c r="F47" s="275" t="n"/>
      <c r="G47" s="275" t="n"/>
      <c r="H47" s="275" t="n"/>
      <c r="I47" s="277" t="n"/>
    </row>
    <row r="48" ht="23.1" customHeight="1">
      <c r="A48" s="239" t="inlineStr">
        <is>
          <t xml:space="preserve">Total Plant and Equipment Hours: </t>
        </is>
      </c>
      <c r="B48" s="276" t="n"/>
      <c r="C48" s="195">
        <f>SUM(C32:C44)</f>
        <v/>
      </c>
      <c r="D48" s="185" t="n"/>
      <c r="E48" s="275" t="n"/>
      <c r="F48" s="275" t="n"/>
      <c r="G48" s="275" t="n"/>
      <c r="H48" s="275" t="n"/>
      <c r="I48" s="277" t="n"/>
    </row>
    <row r="49" ht="24.95" customHeight="1">
      <c r="A49" s="230" t="inlineStr">
        <is>
          <t>DELAYS-OPPORTUNITY</t>
        </is>
      </c>
      <c r="B49" s="275" t="n"/>
      <c r="C49" s="275" t="n"/>
      <c r="D49" s="275" t="n"/>
      <c r="E49" s="275" t="n"/>
      <c r="F49" s="275" t="n"/>
      <c r="G49" s="275" t="n"/>
      <c r="H49" s="275" t="n"/>
      <c r="I49" s="277" t="n"/>
    </row>
    <row r="50" ht="20.1" customHeight="1">
      <c r="A50" s="5" t="n"/>
      <c r="B50" s="6" t="n"/>
      <c r="C50" s="6" t="n"/>
      <c r="D50" s="6" t="n"/>
      <c r="E50" s="6" t="n"/>
      <c r="F50" s="6" t="n"/>
      <c r="G50" s="6" t="n"/>
      <c r="H50" s="6" t="n"/>
      <c r="I50" s="7" t="n"/>
    </row>
    <row r="51">
      <c r="A51" s="240" t="n"/>
      <c r="B51" s="278" t="n"/>
      <c r="C51" s="278" t="n"/>
      <c r="D51" s="278" t="n"/>
      <c r="E51" s="278" t="n"/>
      <c r="F51" s="278" t="n"/>
      <c r="G51" s="278" t="n"/>
      <c r="H51" s="278" t="n"/>
      <c r="I51" s="279" t="n"/>
    </row>
    <row r="52">
      <c r="A52" s="270" t="n"/>
      <c r="I52" s="271" t="n"/>
    </row>
    <row r="53">
      <c r="A53" s="270" t="n"/>
      <c r="I53" s="271" t="n"/>
    </row>
    <row r="54" ht="13.5" customHeight="1" thickBot="1">
      <c r="A54" s="280" t="n"/>
      <c r="B54" s="281" t="n"/>
      <c r="C54" s="281" t="n"/>
      <c r="D54" s="281" t="n"/>
      <c r="E54" s="281" t="n"/>
      <c r="F54" s="281" t="n"/>
      <c r="G54" s="281" t="n"/>
      <c r="H54" s="281" t="n"/>
      <c r="I54" s="282" t="n"/>
    </row>
    <row r="55" ht="24.95" customHeight="1">
      <c r="A55" s="236" t="inlineStr">
        <is>
          <t>HSEQ MESSAGES</t>
        </is>
      </c>
      <c r="B55" s="283" t="n"/>
      <c r="C55" s="283" t="n"/>
      <c r="D55" s="283" t="n"/>
      <c r="E55" s="283" t="n"/>
      <c r="F55" s="283" t="n"/>
      <c r="G55" s="283" t="n"/>
      <c r="H55" s="283" t="n"/>
      <c r="I55" s="284" t="n"/>
    </row>
    <row r="56" ht="18" customHeight="1">
      <c r="A56" s="18" t="inlineStr">
        <is>
          <t>TCD - Monthly Safety Focus:</t>
        </is>
      </c>
      <c r="B56" s="211" t="inlineStr">
        <is>
          <t>Speaking up</t>
        </is>
      </c>
      <c r="C56" s="275" t="n"/>
      <c r="D56" s="275" t="n"/>
      <c r="E56" s="275" t="n"/>
      <c r="F56" s="275" t="n"/>
      <c r="G56" s="275" t="n"/>
      <c r="H56" s="275" t="n"/>
      <c r="I56" s="276" t="n"/>
    </row>
    <row r="57" ht="23.1" customHeight="1">
      <c r="A57" s="18" t="inlineStr">
        <is>
          <t>TCD - Daily Safety Focus:</t>
        </is>
      </c>
      <c r="B57" s="212" t="inlineStr">
        <is>
          <t>Wind and dust</t>
        </is>
      </c>
      <c r="C57" s="275" t="n"/>
      <c r="D57" s="275" t="n"/>
      <c r="E57" s="275" t="n"/>
      <c r="F57" s="275" t="n"/>
      <c r="G57" s="275" t="n"/>
      <c r="H57" s="275" t="n"/>
      <c r="I57" s="277" t="n"/>
    </row>
    <row r="58" ht="18" customHeight="1">
      <c r="A58" s="19" t="inlineStr">
        <is>
          <t xml:space="preserve">Hazards Reported: </t>
        </is>
      </c>
      <c r="B58" s="20" t="inlineStr">
        <is>
          <t>Nil</t>
        </is>
      </c>
      <c r="C58" s="212" t="n"/>
      <c r="D58" s="275" t="n"/>
      <c r="E58" s="275" t="n"/>
      <c r="F58" s="275" t="n"/>
      <c r="G58" s="275" t="n"/>
      <c r="H58" s="275" t="n"/>
      <c r="I58" s="277" t="n"/>
    </row>
    <row r="59" ht="18" customHeight="1">
      <c r="A59" s="19" t="inlineStr">
        <is>
          <t>Incident Free Days</t>
        </is>
      </c>
      <c r="B59" s="20">
        <f>B9+2</f>
        <v/>
      </c>
      <c r="C59" s="211" t="n"/>
      <c r="D59" s="275" t="n"/>
      <c r="E59" s="275" t="n"/>
      <c r="F59" s="275" t="n"/>
      <c r="G59" s="275" t="n"/>
      <c r="H59" s="275" t="n"/>
      <c r="I59" s="276" t="n"/>
    </row>
    <row r="60" ht="18" customHeight="1">
      <c r="A60" s="21" t="inlineStr">
        <is>
          <t>Other Notes</t>
        </is>
      </c>
      <c r="B60" s="241" t="n"/>
      <c r="C60" s="278" t="n"/>
      <c r="D60" s="278" t="n"/>
      <c r="E60" s="278" t="n"/>
      <c r="F60" s="278" t="n"/>
      <c r="G60" s="278" t="n"/>
      <c r="H60" s="278" t="n"/>
      <c r="I60" s="279" t="n"/>
    </row>
    <row r="61" ht="20.25" customHeight="1">
      <c r="A61" s="230" t="inlineStr">
        <is>
          <t xml:space="preserve">INCIDENTS &amp; REPORTS </t>
        </is>
      </c>
      <c r="B61" s="275" t="n"/>
      <c r="C61" s="275" t="n"/>
      <c r="D61" s="275" t="n"/>
      <c r="E61" s="275" t="n"/>
      <c r="F61" s="275" t="n"/>
      <c r="G61" s="275" t="n"/>
      <c r="H61" s="275" t="n"/>
      <c r="I61" s="277" t="n"/>
    </row>
    <row r="62" ht="24.95" customHeight="1">
      <c r="A62" s="11" t="n"/>
      <c r="B62" s="184" t="inlineStr">
        <is>
          <t>QTY</t>
        </is>
      </c>
      <c r="C62" s="238" t="inlineStr">
        <is>
          <t>Comments</t>
        </is>
      </c>
      <c r="D62" s="275" t="n"/>
      <c r="E62" s="275" t="n"/>
      <c r="F62" s="275" t="n"/>
      <c r="G62" s="275" t="n"/>
      <c r="H62" s="275" t="n"/>
      <c r="I62" s="277" t="n"/>
    </row>
    <row r="63" ht="24.95" customHeight="1">
      <c r="A63" s="13" t="inlineStr">
        <is>
          <t>INCIDENT</t>
        </is>
      </c>
      <c r="B63" s="184" t="n">
        <v>0</v>
      </c>
      <c r="C63" s="233" t="inlineStr">
        <is>
          <t>NA</t>
        </is>
      </c>
      <c r="D63" s="275" t="n"/>
      <c r="E63" s="275" t="n"/>
      <c r="F63" s="275" t="n"/>
      <c r="G63" s="275" t="n"/>
      <c r="H63" s="275" t="n"/>
      <c r="I63" s="277" t="n"/>
    </row>
    <row r="64" ht="24.95" customHeight="1">
      <c r="A64" s="14" t="inlineStr">
        <is>
          <t>IR</t>
        </is>
      </c>
      <c r="B64" s="15" t="n">
        <v>0</v>
      </c>
      <c r="C64" s="234" t="inlineStr">
        <is>
          <t>NA</t>
        </is>
      </c>
      <c r="D64" s="278" t="n"/>
      <c r="E64" s="278" t="n"/>
      <c r="F64" s="278" t="n"/>
      <c r="G64" s="278" t="n"/>
      <c r="H64" s="278" t="n"/>
      <c r="I64" s="279" t="n"/>
    </row>
    <row r="65" ht="24.95" customHeight="1" thickBot="1">
      <c r="A65" s="16" t="inlineStr">
        <is>
          <t>NCR</t>
        </is>
      </c>
      <c r="B65" s="17" t="n">
        <v>0</v>
      </c>
      <c r="C65" s="235" t="inlineStr">
        <is>
          <t>NA</t>
        </is>
      </c>
      <c r="D65" s="285" t="n"/>
      <c r="E65" s="285" t="n"/>
      <c r="F65" s="285" t="n"/>
      <c r="G65" s="285" t="n"/>
      <c r="H65" s="285" t="n"/>
      <c r="I65" s="286" t="n"/>
    </row>
    <row r="66" ht="20.25" customHeight="1">
      <c r="A66" s="236" t="inlineStr">
        <is>
          <t>COMMUNICATIONS</t>
        </is>
      </c>
      <c r="B66" s="283" t="n"/>
      <c r="C66" s="283" t="n"/>
      <c r="D66" s="283" t="n"/>
      <c r="E66" s="283" t="n"/>
      <c r="F66" s="283" t="n"/>
      <c r="G66" s="283" t="n"/>
      <c r="H66" s="283" t="n"/>
      <c r="I66" s="284" t="n"/>
    </row>
    <row r="67" ht="24.95" customHeight="1">
      <c r="A67" s="237" t="inlineStr">
        <is>
          <t>TGS MB1119-05 Scheme D implemented</t>
        </is>
      </c>
      <c r="B67" s="275" t="n"/>
      <c r="C67" s="275" t="n"/>
      <c r="D67" s="275" t="n"/>
      <c r="E67" s="275" t="n"/>
      <c r="F67" s="275" t="n"/>
      <c r="G67" s="275" t="n"/>
      <c r="H67" s="275" t="n"/>
      <c r="I67" s="277" t="n"/>
    </row>
    <row r="68" ht="24.95" customHeight="1">
      <c r="A68" s="237" t="n"/>
      <c r="B68" s="275" t="n"/>
      <c r="C68" s="275" t="n"/>
      <c r="D68" s="275" t="n"/>
      <c r="E68" s="275" t="n"/>
      <c r="F68" s="275" t="n"/>
      <c r="G68" s="275" t="n"/>
      <c r="H68" s="275" t="n"/>
      <c r="I68" s="277" t="n"/>
    </row>
    <row r="69" ht="24.95" customHeight="1">
      <c r="A69" s="227" t="n"/>
      <c r="B69" s="228" t="n"/>
      <c r="C69" s="228" t="n"/>
      <c r="D69" s="228" t="n"/>
      <c r="E69" s="228" t="n"/>
      <c r="F69" s="228" t="n"/>
      <c r="G69" s="228" t="n"/>
      <c r="H69" s="228" t="n"/>
      <c r="I69" s="229" t="n"/>
    </row>
    <row r="70" ht="24.95" customHeight="1">
      <c r="A70" s="230" t="inlineStr">
        <is>
          <t>PRODUCTION (CONSTRUCTION STATUS &amp; PROGRESS)</t>
        </is>
      </c>
      <c r="B70" s="275" t="n"/>
      <c r="C70" s="275" t="n"/>
      <c r="D70" s="275" t="n"/>
      <c r="E70" s="275" t="n"/>
      <c r="F70" s="275" t="n"/>
      <c r="G70" s="275" t="n"/>
      <c r="H70" s="275" t="n"/>
      <c r="I70" s="277" t="n"/>
    </row>
    <row r="71" ht="24.95" customHeight="1">
      <c r="A71" s="66" t="inlineStr">
        <is>
          <t>Ongoing cutting of Drainage pits</t>
        </is>
      </c>
      <c r="B71" s="62" t="n"/>
      <c r="C71" s="62" t="n"/>
      <c r="D71" s="62" t="n"/>
      <c r="E71" s="62" t="n"/>
      <c r="F71" s="62" t="n"/>
      <c r="G71" s="62" t="n"/>
      <c r="H71" s="62" t="n"/>
      <c r="I71" s="63" t="n"/>
    </row>
    <row r="72" ht="24.95" customHeight="1">
      <c r="A72" s="66" t="inlineStr">
        <is>
          <t>Denso Tape of water risers (inspected by WC)</t>
        </is>
      </c>
      <c r="B72" s="62" t="n"/>
      <c r="C72" s="62" t="n"/>
      <c r="D72" s="62" t="n"/>
      <c r="E72" s="62" t="n"/>
      <c r="F72" s="62" t="n"/>
      <c r="G72" s="62" t="n"/>
      <c r="H72" s="62" t="n"/>
      <c r="I72" s="63" t="n"/>
    </row>
    <row r="73" ht="24.95" customHeight="1">
      <c r="A73" s="66" t="inlineStr">
        <is>
          <t>Install headwall in sump</t>
        </is>
      </c>
      <c r="B73" s="62" t="n"/>
      <c r="C73" s="62" t="n"/>
      <c r="D73" s="62" t="n"/>
      <c r="E73" s="62" t="n"/>
      <c r="F73" s="62" t="n"/>
      <c r="G73" s="62" t="n"/>
      <c r="H73" s="62" t="n"/>
      <c r="I73" s="63" t="n"/>
    </row>
    <row r="74" ht="24.95" customHeight="1">
      <c r="A74" s="66" t="inlineStr">
        <is>
          <t>Ongoing Subgrade Prep</t>
        </is>
      </c>
      <c r="B74" s="62" t="n"/>
      <c r="C74" s="62" t="n"/>
      <c r="D74" s="62" t="n"/>
      <c r="E74" s="62" t="n"/>
      <c r="F74" s="62" t="n"/>
      <c r="G74" s="62" t="n"/>
      <c r="H74" s="62" t="n"/>
      <c r="I74" s="63" t="n"/>
    </row>
    <row r="75" ht="25.5" customHeight="1" thickBot="1">
      <c r="A75" s="231" t="inlineStr">
        <is>
          <t>Photos</t>
        </is>
      </c>
      <c r="B75" s="278" t="n"/>
      <c r="C75" s="278" t="n"/>
      <c r="D75" s="278" t="n"/>
      <c r="E75" s="278" t="n"/>
      <c r="F75" s="278" t="n"/>
      <c r="G75" s="278" t="n"/>
      <c r="H75" s="278" t="n"/>
      <c r="I75" s="279" t="n"/>
    </row>
    <row r="76" ht="22.5" customHeight="1">
      <c r="A76" s="70" t="n"/>
      <c r="B76" s="71" t="n"/>
      <c r="C76" s="71" t="n"/>
      <c r="D76" s="71" t="n"/>
      <c r="E76" s="71" t="n"/>
      <c r="F76" s="71" t="n"/>
      <c r="G76" s="71" t="n"/>
      <c r="H76" s="71" t="n"/>
      <c r="I76" s="72" t="n"/>
    </row>
    <row r="77" ht="22.5" customHeight="1">
      <c r="A77" s="73" t="n"/>
      <c r="B77" s="74" t="n"/>
      <c r="C77" s="74" t="n"/>
      <c r="D77" s="74" t="n"/>
      <c r="E77" s="74" t="n"/>
      <c r="F77" s="74" t="n"/>
      <c r="G77" s="74" t="n"/>
      <c r="H77" s="74" t="n"/>
      <c r="I77" s="75" t="n"/>
    </row>
    <row r="78" ht="15" customHeight="1">
      <c r="A78" s="73" t="n"/>
      <c r="B78" s="74" t="n"/>
      <c r="C78" s="74" t="n"/>
      <c r="D78" s="74" t="n"/>
      <c r="E78" s="74" t="n"/>
      <c r="F78" s="74" t="n"/>
      <c r="G78" s="74" t="n"/>
      <c r="H78" s="74" t="n"/>
      <c r="I78" s="75" t="n"/>
    </row>
    <row r="79" ht="15" customHeight="1">
      <c r="A79" s="73" t="n"/>
      <c r="B79" s="74" t="n"/>
      <c r="C79" s="74" t="n"/>
      <c r="D79" s="74" t="n"/>
      <c r="E79" s="74" t="n"/>
      <c r="F79" s="74" t="n"/>
      <c r="G79" s="74" t="n"/>
      <c r="H79" s="74" t="n"/>
      <c r="I79" s="75" t="n"/>
    </row>
    <row r="80" ht="15" customHeight="1">
      <c r="A80" s="73" t="n"/>
      <c r="B80" s="74" t="n"/>
      <c r="C80" s="74" t="n"/>
      <c r="D80" s="74" t="n"/>
      <c r="E80" s="74" t="n"/>
      <c r="F80" s="74" t="n"/>
      <c r="G80" s="74" t="n"/>
      <c r="H80" s="74" t="n"/>
      <c r="I80" s="75" t="n"/>
    </row>
    <row r="81" ht="15" customHeight="1">
      <c r="A81" s="73" t="n"/>
      <c r="B81" s="74" t="n"/>
      <c r="C81" s="74" t="n"/>
      <c r="D81" s="74" t="n"/>
      <c r="E81" s="74" t="n"/>
      <c r="F81" s="74" t="n"/>
      <c r="G81" s="74" t="n"/>
      <c r="H81" s="74" t="n"/>
      <c r="I81" s="75" t="n"/>
    </row>
    <row r="82" ht="15" customHeight="1">
      <c r="A82" s="73" t="n"/>
      <c r="B82" s="74" t="n"/>
      <c r="C82" s="74" t="n"/>
      <c r="D82" s="74" t="n"/>
      <c r="E82" s="74" t="n"/>
      <c r="F82" s="74" t="n"/>
      <c r="G82" s="74" t="n"/>
      <c r="H82" s="74" t="n"/>
      <c r="I82" s="75" t="n"/>
    </row>
    <row r="83" ht="15" customHeight="1">
      <c r="A83" s="73" t="n"/>
      <c r="B83" s="74" t="n"/>
      <c r="C83" s="74" t="n"/>
      <c r="D83" s="74" t="n"/>
      <c r="E83" s="74" t="n"/>
      <c r="F83" s="74" t="n"/>
      <c r="G83" s="74" t="n"/>
      <c r="H83" s="74" t="n"/>
      <c r="I83" s="75" t="n"/>
    </row>
    <row r="84" ht="15" customHeight="1">
      <c r="A84" s="73" t="n"/>
      <c r="B84" s="74" t="n"/>
      <c r="C84" s="74" t="n"/>
      <c r="D84" s="74" t="n"/>
      <c r="E84" s="74" t="n"/>
      <c r="F84" s="74" t="n"/>
      <c r="G84" s="74" t="n"/>
      <c r="H84" s="74" t="n"/>
      <c r="I84" s="75" t="n"/>
    </row>
    <row r="85" ht="15" customHeight="1">
      <c r="A85" s="73" t="n"/>
      <c r="B85" s="74" t="n"/>
      <c r="C85" s="74" t="n"/>
      <c r="D85" s="74" t="n"/>
      <c r="E85" s="74" t="n"/>
      <c r="F85" s="74" t="n"/>
      <c r="G85" s="74" t="n"/>
      <c r="H85" s="74" t="n"/>
      <c r="I85" s="75" t="n"/>
    </row>
    <row r="86" ht="15" customHeight="1">
      <c r="A86" s="73" t="n"/>
      <c r="B86" s="74" t="n"/>
      <c r="C86" s="74" t="n"/>
      <c r="D86" s="74" t="n"/>
      <c r="E86" s="74" t="n"/>
      <c r="F86" s="74" t="n"/>
      <c r="G86" s="74" t="n"/>
      <c r="H86" s="74" t="n"/>
      <c r="I86" s="75" t="n"/>
    </row>
    <row r="87" ht="15" customHeight="1">
      <c r="A87" s="73" t="n"/>
      <c r="B87" s="74" t="n"/>
      <c r="C87" s="74" t="n"/>
      <c r="D87" s="74" t="n"/>
      <c r="E87" s="74" t="n"/>
      <c r="F87" s="74" t="n"/>
      <c r="G87" s="74" t="n"/>
      <c r="H87" s="74" t="n"/>
      <c r="I87" s="75" t="n"/>
    </row>
    <row r="88" ht="15" customHeight="1">
      <c r="A88" s="73" t="n"/>
      <c r="B88" s="74" t="n"/>
      <c r="C88" s="74" t="n"/>
      <c r="D88" s="74" t="n"/>
      <c r="E88" s="74" t="n"/>
      <c r="F88" s="74" t="n"/>
      <c r="G88" s="74" t="n"/>
      <c r="H88" s="74" t="n"/>
      <c r="I88" s="75" t="n"/>
    </row>
    <row r="89" ht="15" customHeight="1">
      <c r="A89" s="73" t="n"/>
      <c r="B89" s="74" t="n"/>
      <c r="C89" s="74" t="n"/>
      <c r="D89" s="74" t="n"/>
      <c r="E89" s="74" t="n"/>
      <c r="F89" s="74" t="n"/>
      <c r="G89" s="74" t="n"/>
      <c r="H89" s="74" t="n"/>
      <c r="I89" s="75" t="n"/>
    </row>
    <row r="90" ht="15" customHeight="1">
      <c r="A90" s="73" t="n"/>
      <c r="B90" s="74" t="n"/>
      <c r="C90" s="74" t="n"/>
      <c r="D90" s="74" t="n"/>
      <c r="E90" s="74" t="n"/>
      <c r="F90" s="74" t="n"/>
      <c r="G90" s="74" t="n"/>
      <c r="H90" s="74" t="n"/>
      <c r="I90" s="75" t="n"/>
    </row>
    <row r="91" ht="15" customHeight="1">
      <c r="A91" s="73" t="n"/>
      <c r="B91" s="74" t="n"/>
      <c r="C91" s="74" t="n"/>
      <c r="D91" s="74" t="n"/>
      <c r="E91" s="74" t="n"/>
      <c r="F91" s="74" t="n"/>
      <c r="G91" s="74" t="n"/>
      <c r="H91" s="74" t="n"/>
      <c r="I91" s="75" t="n"/>
    </row>
    <row r="92" ht="15" customHeight="1">
      <c r="A92" s="73" t="n"/>
      <c r="B92" s="74" t="n"/>
      <c r="C92" s="74" t="n"/>
      <c r="D92" s="74" t="n"/>
      <c r="E92" s="74" t="n"/>
      <c r="F92" s="74" t="n"/>
      <c r="G92" s="74" t="n"/>
      <c r="H92" s="74" t="n"/>
      <c r="I92" s="75" t="n"/>
    </row>
    <row r="93" ht="15" customHeight="1">
      <c r="A93" s="73" t="n"/>
      <c r="B93" s="74" t="n"/>
      <c r="C93" s="74" t="n"/>
      <c r="D93" s="74" t="n"/>
      <c r="E93" s="74" t="n"/>
      <c r="F93" s="74" t="n"/>
      <c r="G93" s="74" t="n"/>
      <c r="H93" s="74" t="n"/>
      <c r="I93" s="75" t="n"/>
    </row>
    <row r="94" ht="15" customHeight="1">
      <c r="A94" s="73" t="n"/>
      <c r="B94" s="74" t="n"/>
      <c r="C94" s="74" t="n"/>
      <c r="D94" s="74" t="n"/>
      <c r="E94" s="74" t="n"/>
      <c r="F94" s="74" t="n"/>
      <c r="G94" s="74" t="n"/>
      <c r="H94" s="74" t="n"/>
      <c r="I94" s="75" t="n"/>
    </row>
    <row r="95" ht="15" customHeight="1">
      <c r="A95" s="73" t="n"/>
      <c r="B95" s="74" t="n"/>
      <c r="C95" s="74" t="n"/>
      <c r="D95" s="74" t="n"/>
      <c r="E95" s="74" t="n"/>
      <c r="F95" s="74" t="n"/>
      <c r="G95" s="74" t="n"/>
      <c r="H95" s="74" t="n"/>
      <c r="I95" s="75" t="n"/>
    </row>
    <row r="96" ht="15" customHeight="1">
      <c r="A96" s="73" t="n"/>
      <c r="B96" s="74" t="n"/>
      <c r="C96" s="74" t="n"/>
      <c r="D96" s="74" t="n"/>
      <c r="E96" s="74" t="n"/>
      <c r="F96" s="74" t="n"/>
      <c r="G96" s="74" t="n"/>
      <c r="H96" s="74" t="n"/>
      <c r="I96" s="75" t="n"/>
    </row>
    <row r="97" ht="15" customHeight="1">
      <c r="A97" s="73" t="n"/>
      <c r="B97" s="74" t="n"/>
      <c r="C97" s="74" t="n"/>
      <c r="D97" s="74" t="n"/>
      <c r="E97" s="74" t="n"/>
      <c r="F97" s="74" t="n"/>
      <c r="G97" s="74" t="n"/>
      <c r="H97" s="74" t="n"/>
      <c r="I97" s="75" t="n"/>
    </row>
    <row r="98" ht="15" customHeight="1">
      <c r="A98" s="73" t="n"/>
      <c r="B98" s="74" t="n"/>
      <c r="C98" s="74" t="n"/>
      <c r="D98" s="74" t="n"/>
      <c r="E98" s="74" t="n"/>
      <c r="F98" s="74" t="n"/>
      <c r="H98" s="74" t="n"/>
      <c r="I98" s="75" t="n"/>
    </row>
    <row r="99" ht="24.95" customFormat="1" customHeight="1" s="4">
      <c r="A99" s="73" t="n"/>
      <c r="B99" s="74" t="n"/>
      <c r="C99" s="74" t="n"/>
      <c r="D99" s="74" t="n"/>
      <c r="E99" s="74" t="n"/>
      <c r="F99" s="74" t="n"/>
      <c r="G99" s="74" t="n"/>
      <c r="H99" s="74" t="n"/>
      <c r="I99" s="75" t="n"/>
    </row>
    <row r="100" ht="15" customHeight="1">
      <c r="A100" s="73" t="n"/>
      <c r="B100" s="74" t="n"/>
      <c r="C100" s="74" t="n"/>
      <c r="D100" s="74" t="n"/>
      <c r="E100" s="74" t="n"/>
      <c r="F100" s="74" t="n"/>
      <c r="G100" s="74" t="n"/>
      <c r="H100" s="74" t="n"/>
      <c r="I100" s="75" t="n"/>
    </row>
    <row r="101" ht="15" customHeight="1">
      <c r="A101" s="73" t="n"/>
      <c r="B101" s="74" t="n"/>
      <c r="C101" s="74" t="n"/>
      <c r="D101" s="74" t="n"/>
      <c r="E101" s="74" t="n"/>
      <c r="F101" s="74" t="n"/>
      <c r="G101" s="74" t="n"/>
      <c r="H101" s="74" t="n"/>
      <c r="I101" s="75" t="n"/>
    </row>
    <row r="102" ht="15" customHeight="1">
      <c r="A102" s="73" t="n"/>
      <c r="B102" s="74" t="n"/>
      <c r="C102" s="74" t="n"/>
      <c r="D102" s="74" t="n"/>
      <c r="E102" s="74" t="n"/>
      <c r="F102" s="74" t="n"/>
      <c r="G102" s="74" t="n"/>
      <c r="H102" s="74" t="n"/>
      <c r="I102" s="75" t="n"/>
    </row>
    <row r="103" ht="15" customHeight="1">
      <c r="A103" s="73" t="n"/>
      <c r="B103" s="74" t="n"/>
      <c r="C103" s="74" t="n"/>
      <c r="D103" s="74" t="n"/>
      <c r="E103" s="74" t="n"/>
      <c r="F103" s="74" t="n"/>
      <c r="G103" s="74" t="n"/>
      <c r="H103" s="74" t="n"/>
      <c r="I103" s="75" t="n"/>
    </row>
    <row r="104" ht="15" customHeight="1">
      <c r="A104" s="73" t="n"/>
      <c r="B104" s="74" t="n"/>
      <c r="C104" s="74" t="n"/>
      <c r="D104" s="74" t="n"/>
      <c r="E104" s="74" t="n"/>
      <c r="F104" s="74" t="n"/>
      <c r="G104" s="74" t="n"/>
      <c r="H104" s="74" t="n"/>
      <c r="I104" s="75" t="n"/>
    </row>
    <row r="105" ht="15" customHeight="1">
      <c r="A105" s="73" t="n"/>
      <c r="B105" s="74" t="n"/>
      <c r="C105" s="74" t="n"/>
      <c r="D105" s="74" t="n"/>
      <c r="E105" s="74" t="n"/>
      <c r="F105" s="74" t="n"/>
      <c r="G105" s="74" t="n"/>
      <c r="H105" s="74" t="n"/>
      <c r="I105" s="75" t="n"/>
    </row>
    <row r="106" ht="15" customHeight="1">
      <c r="A106" s="73" t="n"/>
      <c r="B106" s="74" t="n"/>
      <c r="C106" s="74" t="n"/>
      <c r="D106" s="74" t="n"/>
      <c r="E106" s="74" t="n"/>
      <c r="F106" s="74" t="n"/>
      <c r="G106" s="74" t="n"/>
      <c r="H106" s="74" t="n"/>
      <c r="I106" s="75" t="n"/>
    </row>
    <row r="107" ht="15" customHeight="1">
      <c r="A107" s="73" t="n"/>
      <c r="B107" s="74" t="n"/>
      <c r="C107" s="74" t="n"/>
      <c r="D107" s="74" t="n"/>
      <c r="E107" s="74" t="n"/>
      <c r="F107" s="74" t="n"/>
      <c r="G107" s="74" t="n"/>
      <c r="H107" s="74" t="n"/>
      <c r="I107" s="75" t="n"/>
    </row>
    <row r="108" ht="15" customHeight="1">
      <c r="A108" s="73" t="n"/>
      <c r="B108" s="74" t="n"/>
      <c r="C108" s="74" t="n"/>
      <c r="D108" s="74" t="n"/>
      <c r="E108" s="74" t="n"/>
      <c r="F108" s="74" t="n"/>
      <c r="G108" s="74" t="n"/>
      <c r="H108" s="74" t="n"/>
      <c r="I108" s="75" t="n"/>
    </row>
    <row r="109" ht="15" customHeight="1">
      <c r="A109" s="73" t="n"/>
      <c r="B109" s="74" t="n"/>
      <c r="C109" s="74" t="n"/>
      <c r="D109" s="74" t="n"/>
      <c r="E109" s="74" t="n"/>
      <c r="F109" s="74" t="n"/>
      <c r="G109" s="74" t="n"/>
      <c r="H109" s="74" t="n"/>
      <c r="I109" s="75" t="n"/>
    </row>
    <row r="110" ht="15" customHeight="1">
      <c r="A110" s="73" t="n"/>
      <c r="B110" s="74" t="n"/>
      <c r="C110" s="74" t="n"/>
      <c r="D110" s="74" t="n"/>
      <c r="E110" s="74" t="n"/>
      <c r="F110" s="74" t="n"/>
      <c r="G110" s="74" t="n"/>
      <c r="H110" s="74" t="n"/>
      <c r="I110" s="75" t="n"/>
    </row>
    <row r="111" ht="15" customHeight="1">
      <c r="A111" s="73" t="n"/>
      <c r="B111" s="74" t="n"/>
      <c r="C111" s="74" t="n"/>
      <c r="D111" s="74" t="n"/>
      <c r="E111" s="74" t="n"/>
      <c r="F111" s="74" t="n"/>
      <c r="G111" s="74" t="n"/>
      <c r="H111" s="74" t="n"/>
      <c r="I111" s="75" t="n"/>
    </row>
    <row r="112" ht="15" customHeight="1">
      <c r="A112" s="73" t="n"/>
      <c r="B112" s="74" t="n"/>
      <c r="C112" s="74" t="n"/>
      <c r="D112" s="74" t="n"/>
      <c r="E112" s="74" t="n"/>
      <c r="F112" s="74" t="n"/>
      <c r="G112" s="74" t="n"/>
      <c r="H112" s="74" t="n"/>
      <c r="I112" s="75" t="n"/>
    </row>
    <row r="113" ht="15" customHeight="1">
      <c r="A113" s="73" t="n"/>
      <c r="B113" s="74" t="n"/>
      <c r="C113" s="74" t="n"/>
      <c r="D113" s="74" t="n"/>
      <c r="E113" s="74" t="n"/>
      <c r="F113" s="74" t="n"/>
      <c r="G113" s="74" t="n"/>
      <c r="H113" s="74" t="n"/>
      <c r="I113" s="75" t="n"/>
    </row>
    <row r="114" ht="15" customHeight="1" thickBot="1">
      <c r="A114" s="76" t="n"/>
      <c r="B114" s="77" t="n"/>
      <c r="C114" s="77" t="n"/>
      <c r="D114" s="77" t="n"/>
      <c r="E114" s="77" t="n"/>
      <c r="F114" s="77" t="n"/>
      <c r="G114" s="77" t="n"/>
      <c r="H114" s="77" t="n"/>
      <c r="I114" s="78" t="n"/>
    </row>
    <row r="115" ht="15" customHeight="1">
      <c r="A115" s="73" t="n"/>
      <c r="B115" s="74" t="n"/>
      <c r="C115" s="74" t="n"/>
      <c r="D115" s="74" t="n"/>
      <c r="E115" s="74" t="n"/>
      <c r="F115" s="74" t="n"/>
      <c r="G115" s="74" t="n"/>
      <c r="H115" s="74" t="n"/>
      <c r="I115" s="75" t="n"/>
    </row>
    <row r="116" ht="15" customHeight="1">
      <c r="A116" s="73" t="n"/>
      <c r="B116" s="74" t="n"/>
      <c r="C116" s="74" t="n"/>
      <c r="D116" s="74" t="n"/>
      <c r="E116" s="74" t="n"/>
      <c r="F116" s="74" t="n"/>
      <c r="G116" s="74" t="n"/>
      <c r="H116" s="74" t="n"/>
      <c r="I116" s="75" t="n"/>
    </row>
    <row r="117" ht="15" customHeight="1">
      <c r="A117" s="73" t="n"/>
      <c r="B117" s="74" t="n"/>
      <c r="C117" s="74" t="n"/>
      <c r="D117" s="74" t="n"/>
      <c r="E117" s="74" t="n"/>
      <c r="F117" s="74" t="n"/>
      <c r="G117" s="74" t="n"/>
      <c r="H117" s="74" t="n"/>
      <c r="I117" s="75" t="n"/>
    </row>
    <row r="118" ht="15" customHeight="1">
      <c r="A118" s="73" t="n"/>
      <c r="B118" s="74" t="n"/>
      <c r="C118" s="74" t="n"/>
      <c r="D118" s="74" t="n"/>
      <c r="E118" s="74" t="n"/>
      <c r="F118" s="74" t="n"/>
      <c r="G118" s="74" t="n"/>
      <c r="H118" s="74" t="n"/>
      <c r="I118" s="75" t="n"/>
    </row>
    <row r="119" ht="15" customHeight="1">
      <c r="A119" s="73" t="n"/>
      <c r="B119" s="74" t="n"/>
      <c r="C119" s="74" t="n"/>
      <c r="D119" s="74" t="n"/>
      <c r="E119" s="74" t="n"/>
      <c r="F119" s="74" t="n"/>
      <c r="G119" s="74" t="n"/>
      <c r="H119" s="74" t="n"/>
      <c r="I119" s="75" t="n"/>
    </row>
    <row r="120" ht="15" customHeight="1">
      <c r="A120" s="73" t="n"/>
      <c r="B120" s="74" t="n"/>
      <c r="C120" s="74" t="n"/>
      <c r="D120" s="74" t="n"/>
      <c r="E120" s="74" t="n"/>
      <c r="F120" s="74" t="n"/>
      <c r="G120" s="74" t="n"/>
      <c r="H120" s="74" t="n"/>
      <c r="I120" s="75" t="n"/>
    </row>
    <row r="121" ht="15" customHeight="1">
      <c r="A121" s="73" t="n"/>
      <c r="B121" s="74" t="n"/>
      <c r="C121" s="74" t="n"/>
      <c r="D121" s="74" t="n"/>
      <c r="E121" s="74" t="n"/>
      <c r="F121" s="74" t="n"/>
      <c r="G121" s="74" t="n"/>
      <c r="H121" s="74" t="n"/>
      <c r="I121" s="75" t="n"/>
    </row>
    <row r="122" ht="15" customHeight="1">
      <c r="A122" s="73" t="n"/>
      <c r="B122" s="74" t="n"/>
      <c r="C122" s="74" t="n"/>
      <c r="D122" s="74" t="n"/>
      <c r="E122" s="74" t="n"/>
      <c r="F122" s="74" t="n"/>
      <c r="G122" s="74" t="n"/>
      <c r="H122" s="74" t="n"/>
      <c r="I122" s="75" t="n"/>
    </row>
    <row r="123" ht="24.95" customHeight="1">
      <c r="A123" s="73" t="n"/>
      <c r="B123" s="74" t="n"/>
      <c r="C123" s="74" t="n"/>
      <c r="D123" s="74" t="n"/>
      <c r="E123" s="74" t="n"/>
      <c r="F123" s="74" t="n"/>
      <c r="G123" s="74" t="n"/>
      <c r="H123" s="74" t="n"/>
      <c r="I123" s="75" t="n"/>
    </row>
    <row r="124" ht="15" customHeight="1">
      <c r="A124" s="73" t="n"/>
      <c r="B124" s="74" t="n"/>
      <c r="C124" s="74" t="n"/>
      <c r="D124" s="74" t="n"/>
      <c r="E124" s="74" t="n"/>
      <c r="F124" s="74" t="n"/>
      <c r="G124" s="74" t="n"/>
      <c r="H124" s="74" t="n"/>
      <c r="I124" s="75" t="n"/>
    </row>
    <row r="125" ht="15" customHeight="1">
      <c r="A125" s="73" t="n"/>
      <c r="B125" s="74" t="n"/>
      <c r="C125" s="74" t="n"/>
      <c r="D125" s="74" t="n"/>
      <c r="E125" s="74" t="n"/>
      <c r="F125" s="74" t="n"/>
      <c r="G125" s="74" t="n"/>
      <c r="H125" s="74" t="n"/>
      <c r="I125" s="75" t="n"/>
    </row>
    <row r="126" ht="27.95" customHeight="1">
      <c r="A126" s="73" t="n"/>
      <c r="B126" s="74" t="n"/>
      <c r="C126" s="74" t="n"/>
      <c r="D126" s="74" t="n"/>
      <c r="E126" s="74" t="n"/>
      <c r="F126" s="74" t="n"/>
      <c r="G126" s="74" t="n"/>
      <c r="H126" s="74" t="n"/>
      <c r="I126" s="75" t="n"/>
    </row>
    <row r="127" ht="15" customHeight="1">
      <c r="A127" s="73" t="n"/>
      <c r="B127" s="74" t="n"/>
      <c r="C127" s="74" t="n"/>
      <c r="D127" s="74" t="n"/>
      <c r="E127" s="74" t="n"/>
      <c r="F127" s="74" t="n"/>
      <c r="G127" s="74" t="n"/>
      <c r="H127" s="74" t="n"/>
      <c r="I127" s="75" t="n"/>
    </row>
    <row r="128" ht="15" customHeight="1">
      <c r="A128" s="73" t="n"/>
      <c r="B128" s="74" t="n"/>
      <c r="C128" s="74" t="n"/>
      <c r="D128" s="74" t="n"/>
      <c r="E128" s="74" t="n"/>
      <c r="F128" s="74" t="n"/>
      <c r="G128" s="74" t="n"/>
      <c r="H128" s="74" t="n"/>
      <c r="I128" s="75" t="n"/>
    </row>
    <row r="129" ht="15" customHeight="1">
      <c r="A129" s="73" t="n"/>
      <c r="B129" s="74" t="n"/>
      <c r="C129" s="74" t="n"/>
      <c r="D129" s="74" t="n"/>
      <c r="E129" s="74" t="n"/>
      <c r="F129" s="74" t="n"/>
      <c r="G129" s="74" t="n"/>
      <c r="H129" s="74" t="n"/>
      <c r="I129" s="75" t="n"/>
    </row>
    <row r="130" ht="15" customHeight="1">
      <c r="A130" s="73" t="n"/>
      <c r="B130" s="74" t="n"/>
      <c r="C130" s="74" t="n"/>
      <c r="D130" s="74" t="n"/>
      <c r="E130" s="74" t="n"/>
      <c r="F130" s="74" t="n"/>
      <c r="G130" s="74" t="n"/>
      <c r="H130" s="74" t="n"/>
      <c r="I130" s="75" t="n"/>
    </row>
    <row r="131" ht="15" customHeight="1">
      <c r="A131" s="73" t="n"/>
      <c r="B131" s="74" t="n"/>
      <c r="C131" s="74" t="n"/>
      <c r="D131" s="74" t="n"/>
      <c r="E131" s="74" t="n"/>
      <c r="F131" s="74" t="n"/>
      <c r="G131" s="74" t="n"/>
      <c r="H131" s="74" t="n"/>
      <c r="I131" s="75" t="n"/>
    </row>
    <row r="132" ht="15" customHeight="1">
      <c r="A132" s="73" t="n"/>
      <c r="B132" s="74" t="n"/>
      <c r="C132" s="74" t="n"/>
      <c r="D132" s="74" t="n"/>
      <c r="E132" s="74" t="n"/>
      <c r="F132" s="74" t="n"/>
      <c r="G132" s="74" t="n"/>
      <c r="H132" s="74" t="n"/>
      <c r="I132" s="75" t="n"/>
    </row>
    <row r="133" ht="15" customHeight="1">
      <c r="A133" s="73" t="n"/>
      <c r="B133" s="74" t="n"/>
      <c r="C133" s="74" t="n"/>
      <c r="D133" s="74" t="n"/>
      <c r="E133" s="74" t="n"/>
      <c r="F133" s="74" t="n"/>
      <c r="G133" s="74" t="n"/>
      <c r="H133" s="74" t="n"/>
      <c r="I133" s="75" t="n"/>
    </row>
    <row r="134" ht="15" customHeight="1">
      <c r="A134" s="73" t="n"/>
      <c r="B134" s="74" t="n"/>
      <c r="C134" s="74" t="n"/>
      <c r="D134" s="74" t="n"/>
      <c r="E134" s="74" t="n"/>
      <c r="F134" s="74" t="n"/>
      <c r="G134" s="74" t="n"/>
      <c r="H134" s="74" t="n"/>
      <c r="I134" s="75" t="n"/>
    </row>
    <row r="135" ht="15" customHeight="1">
      <c r="A135" s="73" t="n"/>
      <c r="B135" s="74" t="n"/>
      <c r="C135" s="74" t="n"/>
      <c r="D135" s="74" t="n"/>
      <c r="E135" s="74" t="n"/>
      <c r="F135" s="74" t="n"/>
      <c r="G135" s="74" t="n"/>
      <c r="H135" s="74" t="n"/>
      <c r="I135" s="75" t="n"/>
    </row>
    <row r="136" ht="15" customHeight="1">
      <c r="A136" s="73" t="n"/>
      <c r="B136" s="74" t="n"/>
      <c r="C136" s="74" t="n"/>
      <c r="D136" s="74" t="n"/>
      <c r="E136" s="74" t="n"/>
      <c r="F136" s="74" t="n"/>
      <c r="G136" s="74" t="n"/>
      <c r="H136" s="74" t="n"/>
      <c r="I136" s="75" t="n"/>
    </row>
    <row r="137" ht="15" customHeight="1">
      <c r="A137" s="73" t="n"/>
      <c r="B137" s="74" t="n"/>
      <c r="C137" s="74" t="n"/>
      <c r="D137" s="74" t="n"/>
      <c r="E137" s="74" t="n"/>
      <c r="F137" s="74" t="n"/>
      <c r="G137" s="74" t="n"/>
      <c r="H137" s="74" t="n"/>
      <c r="I137" s="75" t="n"/>
    </row>
    <row r="138" ht="15" customHeight="1">
      <c r="A138" s="73" t="n"/>
      <c r="B138" s="74" t="n"/>
      <c r="C138" s="74" t="n"/>
      <c r="D138" s="74" t="n"/>
      <c r="E138" s="74" t="n"/>
      <c r="F138" s="74" t="n"/>
      <c r="G138" s="74" t="n"/>
      <c r="H138" s="74" t="n"/>
      <c r="I138" s="75" t="n"/>
    </row>
    <row r="139" ht="15" customHeight="1" thickBot="1">
      <c r="A139" s="73" t="n"/>
      <c r="B139" s="74" t="n"/>
      <c r="C139" s="74" t="n"/>
      <c r="D139" s="74" t="n"/>
      <c r="E139" s="74" t="n"/>
      <c r="F139" s="74" t="n"/>
      <c r="G139" s="74" t="n"/>
      <c r="H139" s="74" t="n"/>
      <c r="I139" s="75" t="n"/>
      <c r="J139" s="8" t="n"/>
    </row>
    <row r="140" ht="15" customHeight="1">
      <c r="A140" s="73" t="n"/>
      <c r="B140" s="74" t="n"/>
      <c r="C140" s="74" t="n"/>
      <c r="D140" s="74" t="n"/>
      <c r="E140" s="74" t="n"/>
      <c r="F140" s="74" t="n"/>
      <c r="G140" s="74" t="n"/>
      <c r="H140" s="74" t="n"/>
      <c r="I140" s="75" t="n"/>
    </row>
    <row r="141" ht="15" customHeight="1">
      <c r="A141" s="73" t="n"/>
      <c r="B141" s="74" t="n"/>
      <c r="C141" s="74" t="n"/>
      <c r="D141" s="74" t="n"/>
      <c r="E141" s="74" t="n"/>
      <c r="F141" s="74" t="n"/>
      <c r="G141" s="74" t="n"/>
      <c r="H141" s="74" t="n"/>
      <c r="I141" s="75" t="n"/>
    </row>
    <row r="142" ht="15" customHeight="1">
      <c r="A142" s="73" t="n"/>
      <c r="B142" s="74" t="n"/>
      <c r="C142" s="74" t="n"/>
      <c r="D142" s="74" t="n"/>
      <c r="E142" s="74" t="n"/>
      <c r="F142" s="74" t="n"/>
      <c r="G142" s="74" t="n"/>
      <c r="H142" s="74" t="n"/>
      <c r="I142" s="75" t="n"/>
    </row>
    <row r="143" ht="15" customHeight="1">
      <c r="A143" s="73" t="n"/>
      <c r="B143" s="74" t="n"/>
      <c r="C143" s="74" t="n"/>
      <c r="D143" s="74" t="n"/>
      <c r="E143" s="74" t="n"/>
      <c r="F143" s="74" t="n"/>
      <c r="G143" s="74" t="n"/>
      <c r="H143" s="74" t="n"/>
      <c r="I143" s="75" t="n"/>
    </row>
    <row r="144" ht="15" customHeight="1">
      <c r="A144" s="73" t="n"/>
      <c r="B144" s="74" t="n"/>
      <c r="C144" s="74" t="n"/>
      <c r="D144" s="74" t="n"/>
      <c r="E144" s="74" t="n"/>
      <c r="F144" s="74" t="n"/>
      <c r="G144" s="74" t="n"/>
      <c r="H144" s="74" t="n"/>
      <c r="I144" s="75" t="n"/>
    </row>
    <row r="145" ht="15" customHeight="1">
      <c r="B145" s="74" t="n"/>
      <c r="C145" s="74" t="n"/>
      <c r="D145" s="74" t="n"/>
      <c r="E145" s="74" t="n"/>
      <c r="F145" s="74" t="n"/>
      <c r="G145" s="74" t="n"/>
      <c r="H145" s="74" t="n"/>
      <c r="I145" s="75" t="n"/>
    </row>
    <row r="146" ht="15.95" customHeight="1">
      <c r="A146" s="73" t="n"/>
      <c r="B146" s="74" t="n"/>
      <c r="C146" s="74" t="n"/>
      <c r="D146" s="74" t="n"/>
      <c r="E146" s="74" t="n"/>
      <c r="F146" s="74" t="n"/>
      <c r="G146" s="74" t="n"/>
      <c r="H146" s="74" t="n"/>
      <c r="I146" s="75" t="n"/>
    </row>
    <row r="147" ht="30.75" customHeight="1">
      <c r="A147" s="218" t="n"/>
      <c r="E147" s="220" t="n"/>
      <c r="I147" s="271"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A181" s="64" t="n"/>
      <c r="I181" s="65" t="n"/>
    </row>
    <row r="182">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c r="A200" s="64" t="n"/>
      <c r="I200" s="65" t="n"/>
    </row>
    <row r="201">
      <c r="A201" s="64" t="n"/>
      <c r="I201" s="65" t="n"/>
    </row>
    <row r="202">
      <c r="A202" s="64" t="n"/>
      <c r="I202" s="65" t="n"/>
    </row>
    <row r="203">
      <c r="A203" s="64" t="n"/>
      <c r="I203" s="65" t="n"/>
    </row>
    <row r="204">
      <c r="A204" s="64" t="n"/>
      <c r="I204" s="65" t="n"/>
    </row>
    <row r="205">
      <c r="A205" s="64" t="n"/>
      <c r="I205" s="65" t="n"/>
    </row>
    <row r="206">
      <c r="A206" s="64" t="n"/>
      <c r="I206" s="65" t="n"/>
    </row>
    <row r="207">
      <c r="A207" s="64" t="n"/>
      <c r="I207" s="65" t="n"/>
    </row>
    <row r="208">
      <c r="A208" s="64" t="n"/>
      <c r="I208" s="65" t="n"/>
    </row>
    <row r="209">
      <c r="A209" s="64" t="n"/>
      <c r="I209" s="65" t="n"/>
    </row>
    <row r="210">
      <c r="A210" s="64" t="n"/>
      <c r="I210" s="65" t="n"/>
    </row>
  </sheetData>
  <mergeCells count="40">
    <mergeCell ref="A48:B48"/>
    <mergeCell ref="B47:C47"/>
    <mergeCell ref="D13:F13"/>
    <mergeCell ref="G13:I13"/>
    <mergeCell ref="A75:I75"/>
    <mergeCell ref="B8:D8"/>
    <mergeCell ref="A66:I66"/>
    <mergeCell ref="A147:D147"/>
    <mergeCell ref="B46:C46"/>
    <mergeCell ref="D48:I48"/>
    <mergeCell ref="A55:I55"/>
    <mergeCell ref="A12:I12"/>
    <mergeCell ref="D47:I47"/>
    <mergeCell ref="B56:I56"/>
    <mergeCell ref="A5:I5"/>
    <mergeCell ref="E147:I147"/>
    <mergeCell ref="A51:I54"/>
    <mergeCell ref="B9:D9"/>
    <mergeCell ref="B60:I60"/>
    <mergeCell ref="C62:I62"/>
    <mergeCell ref="B57:I57"/>
    <mergeCell ref="B6:D6"/>
    <mergeCell ref="C58:I58"/>
    <mergeCell ref="A13:C13"/>
    <mergeCell ref="A68:I68"/>
    <mergeCell ref="A10:I10"/>
    <mergeCell ref="C64:I64"/>
    <mergeCell ref="A1:I4"/>
    <mergeCell ref="A67:I67"/>
    <mergeCell ref="B7:D7"/>
    <mergeCell ref="C65:I65"/>
    <mergeCell ref="C63:I63"/>
    <mergeCell ref="A49:I49"/>
    <mergeCell ref="A11:I11"/>
    <mergeCell ref="D46:I46"/>
    <mergeCell ref="C59:I59"/>
    <mergeCell ref="B45:C45"/>
    <mergeCell ref="A70:I70"/>
    <mergeCell ref="D45:I45"/>
    <mergeCell ref="A61:I61"/>
  </mergeCells>
  <printOptions horizontalCentered="1"/>
  <pageMargins left="0.2362204724409449" right="0.2362204724409449" top="0.7480314960629921" bottom="0.7480314960629921" header="0.3149606299212598" footer="0.3149606299212598"/>
  <pageSetup orientation="portrait" paperSize="9" scale="34" fitToHeight="0"/>
  <rowBreaks count="2" manualBreakCount="2">
    <brk id="74" min="0" max="8" man="1"/>
    <brk id="212" min="0" max="8" man="1"/>
  </rowBreaks>
</worksheet>
</file>

<file path=xl/worksheets/sheet6.xml><?xml version="1.0" encoding="utf-8"?>
<worksheet xmlns="http://schemas.openxmlformats.org/spreadsheetml/2006/main">
  <sheetPr>
    <outlinePr summaryBelow="1" summaryRight="1"/>
    <pageSetUpPr fitToPage="1"/>
  </sheetPr>
  <dimension ref="A1:J206"/>
  <sheetViews>
    <sheetView workbookViewId="0">
      <selection activeCell="A1" sqref="A1:I4"/>
    </sheetView>
  </sheetViews>
  <sheetFormatPr baseColWidth="8" defaultColWidth="9.140625" defaultRowHeight="14.45"/>
  <cols>
    <col width="62.140625" bestFit="1" customWidth="1" style="232" min="1" max="1"/>
    <col width="36.7109375" bestFit="1" customWidth="1" style="232" min="2" max="2"/>
    <col width="16" customWidth="1" style="232" min="3" max="3"/>
    <col width="28.710937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43"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170" t="inlineStr">
        <is>
          <t>TCD DAILY FIELD REPORT</t>
        </is>
      </c>
      <c r="B5" s="275" t="n"/>
      <c r="C5" s="275" t="n"/>
      <c r="D5" s="275" t="n"/>
      <c r="E5" s="275" t="n"/>
      <c r="F5" s="275" t="n"/>
      <c r="G5" s="275" t="n"/>
      <c r="H5" s="275" t="n"/>
      <c r="I5" s="276" t="n"/>
    </row>
    <row r="6" ht="23.1" customHeight="1">
      <c r="A6" s="49" t="inlineStr">
        <is>
          <t>Project Name:</t>
        </is>
      </c>
      <c r="B6" s="173" t="inlineStr">
        <is>
          <t>Batavia Station Square</t>
        </is>
      </c>
      <c r="E6" s="173" t="n"/>
      <c r="F6" s="51" t="n"/>
      <c r="G6" s="51" t="n"/>
      <c r="H6" s="52" t="inlineStr">
        <is>
          <t>Date:</t>
        </is>
      </c>
      <c r="I6" s="53" t="n">
        <v>45876</v>
      </c>
    </row>
    <row r="7" ht="23.1" customHeight="1">
      <c r="A7" s="49" t="inlineStr">
        <is>
          <t>Project Location:</t>
        </is>
      </c>
      <c r="B7" s="173" t="inlineStr">
        <is>
          <t>Geraldton</t>
        </is>
      </c>
      <c r="E7" s="173" t="n"/>
      <c r="F7" s="51" t="n"/>
      <c r="G7" s="51" t="n"/>
      <c r="H7" s="54" t="inlineStr">
        <is>
          <t>Day:</t>
        </is>
      </c>
      <c r="I7" s="55">
        <f>I6</f>
        <v/>
      </c>
    </row>
    <row r="8" ht="23.1" customHeight="1">
      <c r="A8" s="49" t="inlineStr">
        <is>
          <t>Project Number:</t>
        </is>
      </c>
      <c r="B8" s="173" t="inlineStr">
        <is>
          <t>TCD-1816</t>
        </is>
      </c>
      <c r="E8" s="173" t="n"/>
      <c r="F8" s="51" t="n"/>
      <c r="G8" s="51" t="n"/>
      <c r="H8" s="54" t="inlineStr">
        <is>
          <t>Start:</t>
        </is>
      </c>
      <c r="I8" s="56" t="n">
        <v>0.2916666666666667</v>
      </c>
    </row>
    <row r="9" ht="23.1" customHeight="1">
      <c r="A9" s="49" t="inlineStr">
        <is>
          <t>Report Number:</t>
        </is>
      </c>
      <c r="B9" s="159" t="n">
        <v>74</v>
      </c>
      <c r="C9" s="273" t="n"/>
      <c r="D9" s="273" t="n"/>
      <c r="E9" s="160" t="n"/>
      <c r="F9" s="58" t="n"/>
      <c r="G9" s="58" t="n"/>
      <c r="H9" s="54" t="inlineStr">
        <is>
          <t>Finish:</t>
        </is>
      </c>
      <c r="I9" s="56" t="n">
        <v>0.7083333333333334</v>
      </c>
    </row>
    <row r="10" ht="24.95" customHeight="1">
      <c r="A10" s="230" t="inlineStr">
        <is>
          <t>WEATHER &amp; GROUND CONDITIONS</t>
        </is>
      </c>
      <c r="B10" s="275" t="n"/>
      <c r="C10" s="275" t="n"/>
      <c r="D10" s="275" t="n"/>
      <c r="E10" s="275" t="n"/>
      <c r="F10" s="275" t="n"/>
      <c r="G10" s="275" t="n"/>
      <c r="H10" s="275" t="n"/>
      <c r="I10" s="277" t="n"/>
    </row>
    <row r="11" ht="23.1" customHeight="1">
      <c r="A11" s="242" t="inlineStr">
        <is>
          <t xml:space="preserve">Temperature: 19 degrees    Wind: 61 km/h SW Precip: 2.8 (6.4mm Sunday) mm </t>
        </is>
      </c>
      <c r="B11" s="275" t="n"/>
      <c r="C11" s="275" t="n"/>
      <c r="D11" s="275" t="n"/>
      <c r="E11" s="275" t="n"/>
      <c r="F11" s="275" t="n"/>
      <c r="G11" s="275" t="n"/>
      <c r="H11" s="275" t="n"/>
      <c r="I11" s="277" t="n"/>
      <c r="J11" t="inlineStr">
        <is>
          <t>N/A</t>
        </is>
      </c>
    </row>
    <row r="12" ht="24.95" customHeight="1">
      <c r="A12" s="231" t="inlineStr">
        <is>
          <t>PERSONNEL</t>
        </is>
      </c>
      <c r="B12" s="278" t="n"/>
      <c r="C12" s="278" t="n"/>
      <c r="D12" s="278" t="n"/>
      <c r="E12" s="278" t="n"/>
      <c r="F12" s="278" t="n"/>
      <c r="G12" s="278" t="n"/>
      <c r="H12" s="278" t="n"/>
      <c r="I12" s="279" t="n"/>
    </row>
    <row r="13" ht="23.1" customHeight="1">
      <c r="A13" s="183" t="inlineStr">
        <is>
          <t>TCD Indirects</t>
        </is>
      </c>
      <c r="B13" s="275" t="n"/>
      <c r="C13" s="276" t="n"/>
      <c r="D13" s="184" t="inlineStr">
        <is>
          <t>TCD Directs</t>
        </is>
      </c>
      <c r="E13" s="275" t="n"/>
      <c r="F13" s="276" t="n"/>
      <c r="G13" s="184" t="inlineStr">
        <is>
          <t>Subcontractors</t>
        </is>
      </c>
      <c r="H13" s="275" t="n"/>
      <c r="I13" s="276" t="n"/>
    </row>
    <row r="14" ht="24" customHeight="1">
      <c r="A14" s="183" t="inlineStr">
        <is>
          <t xml:space="preserve"> Name</t>
        </is>
      </c>
      <c r="B14" s="184" t="inlineStr">
        <is>
          <t>Position</t>
        </is>
      </c>
      <c r="C14" s="39" t="inlineStr">
        <is>
          <t>Hours</t>
        </is>
      </c>
      <c r="D14" s="184" t="inlineStr">
        <is>
          <t xml:space="preserve"> Name</t>
        </is>
      </c>
      <c r="E14" s="184" t="inlineStr">
        <is>
          <t>Position</t>
        </is>
      </c>
      <c r="F14" s="39" t="inlineStr">
        <is>
          <t>Hours</t>
        </is>
      </c>
      <c r="G14" s="184" t="inlineStr">
        <is>
          <t xml:space="preserve"> Name</t>
        </is>
      </c>
      <c r="H14" s="184" t="inlineStr">
        <is>
          <t>Position</t>
        </is>
      </c>
      <c r="I14" s="185" t="inlineStr">
        <is>
          <t>Hours</t>
        </is>
      </c>
    </row>
    <row r="15" ht="23.1" customHeight="1">
      <c r="A15" s="25" t="inlineStr">
        <is>
          <t>WATKINS, Steve</t>
        </is>
      </c>
      <c r="B15" s="26" t="inlineStr">
        <is>
          <t>Civil Manager</t>
        </is>
      </c>
      <c r="C15" s="40" t="n"/>
      <c r="D15" s="41" t="n"/>
      <c r="E15" s="41" t="n"/>
      <c r="F15" s="26" t="n"/>
      <c r="G15" s="42" t="inlineStr">
        <is>
          <t>Khegan Brockman</t>
        </is>
      </c>
      <c r="H15" s="26" t="inlineStr">
        <is>
          <t>Labourer</t>
        </is>
      </c>
      <c r="I15" s="28" t="n">
        <v>10</v>
      </c>
    </row>
    <row r="16" ht="23.1" customHeight="1">
      <c r="A16" s="25" t="inlineStr">
        <is>
          <t>GRIFFITHS, Daniel</t>
        </is>
      </c>
      <c r="B16" s="26" t="inlineStr">
        <is>
          <t>Project Manager</t>
        </is>
      </c>
      <c r="C16" s="27" t="n">
        <v>10</v>
      </c>
      <c r="D16" s="43" t="n"/>
      <c r="E16" s="43" t="n"/>
      <c r="F16" s="26" t="n"/>
      <c r="G16" s="42" t="inlineStr">
        <is>
          <t>Laurent Levy</t>
        </is>
      </c>
      <c r="H16" s="26" t="inlineStr">
        <is>
          <t>Operator</t>
        </is>
      </c>
      <c r="I16" s="28" t="n">
        <v>10</v>
      </c>
    </row>
    <row r="17" ht="23.1" customHeight="1">
      <c r="A17" s="25" t="inlineStr">
        <is>
          <t>O"SHEA, John</t>
        </is>
      </c>
      <c r="B17" s="26" t="inlineStr">
        <is>
          <t>Senior Project Engineer</t>
        </is>
      </c>
      <c r="C17" s="27" t="n"/>
      <c r="D17" s="43" t="n"/>
      <c r="E17" s="43" t="n"/>
      <c r="F17" s="26" t="n"/>
      <c r="G17" s="42" t="inlineStr">
        <is>
          <t>Daniel McAuffile</t>
        </is>
      </c>
      <c r="H17" s="26" t="inlineStr">
        <is>
          <t>Operator</t>
        </is>
      </c>
      <c r="I17" s="28" t="n">
        <v>10</v>
      </c>
    </row>
    <row r="18" ht="23.1" customHeight="1">
      <c r="A18" s="25" t="inlineStr">
        <is>
          <t>GRIFFITHS, Ashley</t>
        </is>
      </c>
      <c r="B18" s="26" t="inlineStr">
        <is>
          <t>Supervisor</t>
        </is>
      </c>
      <c r="C18" s="27" t="n">
        <v>10</v>
      </c>
      <c r="D18" s="41" t="n"/>
      <c r="E18" s="41" t="n"/>
      <c r="F18" s="26" t="n"/>
      <c r="G18" s="42" t="inlineStr">
        <is>
          <t>Jachai Griffiths</t>
        </is>
      </c>
      <c r="H18" s="26" t="inlineStr">
        <is>
          <t>Operator</t>
        </is>
      </c>
      <c r="I18" s="28" t="n">
        <v>10</v>
      </c>
    </row>
    <row r="19" ht="23.1" customHeight="1">
      <c r="A19" s="25" t="inlineStr">
        <is>
          <t>LOW, June</t>
        </is>
      </c>
      <c r="B19" s="26" t="inlineStr">
        <is>
          <t>HSET</t>
        </is>
      </c>
      <c r="C19" s="27" t="n"/>
      <c r="D19" s="41" t="n"/>
      <c r="E19" s="41" t="n"/>
      <c r="F19" s="26" t="n"/>
      <c r="G19" s="42" t="inlineStr">
        <is>
          <t>O'Brian, Jamie</t>
        </is>
      </c>
      <c r="H19" s="26" t="inlineStr">
        <is>
          <t>Operator</t>
        </is>
      </c>
      <c r="I19" s="28" t="n">
        <v>10</v>
      </c>
    </row>
    <row r="20" ht="23.1" customHeight="1">
      <c r="A20" s="25" t="n"/>
      <c r="B20" s="26" t="n"/>
      <c r="C20" s="27" t="n"/>
      <c r="D20" s="41" t="n"/>
      <c r="E20" s="41" t="n"/>
      <c r="F20" s="26" t="n"/>
      <c r="G20" s="42" t="inlineStr">
        <is>
          <t>Rixon, Ian</t>
        </is>
      </c>
      <c r="H20" s="26" t="inlineStr">
        <is>
          <t>Operator</t>
        </is>
      </c>
      <c r="I20" s="28" t="n">
        <v>10</v>
      </c>
    </row>
    <row r="21" ht="23.1" customHeight="1">
      <c r="A21" s="25" t="n"/>
      <c r="B21" s="26" t="n"/>
      <c r="C21" s="27" t="n"/>
      <c r="D21" s="41" t="n"/>
      <c r="E21" s="41" t="n"/>
      <c r="F21" s="26" t="n"/>
      <c r="G21" s="42" t="inlineStr">
        <is>
          <t>Goodwin, Noah</t>
        </is>
      </c>
      <c r="H21" s="26" t="inlineStr">
        <is>
          <t>Labourer</t>
        </is>
      </c>
      <c r="I21" s="28" t="n">
        <v>10</v>
      </c>
    </row>
    <row r="22" ht="23.1" customHeight="1">
      <c r="A22" s="25" t="n"/>
      <c r="B22" s="26" t="n"/>
      <c r="C22" s="27" t="n"/>
      <c r="D22" s="41" t="n"/>
      <c r="E22" s="41" t="n"/>
      <c r="F22" s="26" t="n"/>
      <c r="G22" s="42" t="inlineStr">
        <is>
          <t>Chester, Matt</t>
        </is>
      </c>
      <c r="H22" s="26" t="inlineStr">
        <is>
          <t>Gas Fitter</t>
        </is>
      </c>
      <c r="I22" s="28" t="n"/>
    </row>
    <row r="23" ht="23.1" customHeight="1">
      <c r="A23" s="25" t="n"/>
      <c r="B23" s="26" t="n"/>
      <c r="C23" s="27" t="n"/>
      <c r="D23" s="41" t="n"/>
      <c r="E23" s="41" t="n"/>
      <c r="F23" s="26" t="n"/>
      <c r="G23" s="42" t="inlineStr">
        <is>
          <t>Mounsey, Matt</t>
        </is>
      </c>
      <c r="H23" s="26" t="inlineStr">
        <is>
          <t>Gas Fitter</t>
        </is>
      </c>
      <c r="I23" s="28" t="n"/>
    </row>
    <row r="24" ht="23.1" customHeight="1">
      <c r="A24" s="25" t="n"/>
      <c r="B24" s="26" t="n"/>
      <c r="C24" s="27" t="n"/>
      <c r="D24" s="41" t="n"/>
      <c r="E24" s="41" t="n"/>
      <c r="F24" s="26" t="n"/>
      <c r="G24" s="42" t="inlineStr">
        <is>
          <t>Herring, Levin</t>
        </is>
      </c>
      <c r="H24" s="26" t="inlineStr">
        <is>
          <t>Gas Fitter</t>
        </is>
      </c>
      <c r="I24" s="28" t="n"/>
    </row>
    <row r="25" ht="23.1" customHeight="1">
      <c r="A25" s="25" t="n"/>
      <c r="B25" s="26" t="n"/>
      <c r="C25" s="27" t="n"/>
      <c r="D25" s="41" t="n"/>
      <c r="E25" s="41" t="n"/>
      <c r="F25" s="26" t="n"/>
      <c r="G25" s="44" t="n"/>
      <c r="H25" s="26" t="n"/>
      <c r="I25" s="28" t="n"/>
    </row>
    <row r="26" ht="23.1" customHeight="1">
      <c r="A26" s="239" t="inlineStr">
        <is>
          <t xml:space="preserve">Total Indirect Personnel onsite: </t>
        </is>
      </c>
      <c r="B26" s="45">
        <f>SUM(F15:F26)</f>
        <v/>
      </c>
      <c r="C26" s="41" t="n"/>
      <c r="D26" s="41" t="n"/>
      <c r="E26" s="41" t="n"/>
      <c r="F26" s="26" t="n"/>
      <c r="G26" s="194" t="inlineStr">
        <is>
          <t>Total Subcontractor on-site:</t>
        </is>
      </c>
      <c r="H26" s="46">
        <f>COUNTIF(I15:I25,"&gt;0")</f>
        <v/>
      </c>
      <c r="I26" s="28" t="n"/>
    </row>
    <row r="27" ht="23.1" customHeight="1">
      <c r="A27" s="239" t="inlineStr">
        <is>
          <t xml:space="preserve">Total Indirect Personnel hours: </t>
        </is>
      </c>
      <c r="B27" s="45">
        <f>SUM(C15:C25)</f>
        <v/>
      </c>
      <c r="C27" s="27" t="n"/>
      <c r="D27" s="41" t="n"/>
      <c r="E27" s="41" t="n"/>
      <c r="F27" s="26" t="n"/>
      <c r="G27" s="194" t="inlineStr">
        <is>
          <t>Total Subcontractor hours:</t>
        </is>
      </c>
      <c r="H27" s="46">
        <f>SUM(I15:I25)</f>
        <v/>
      </c>
      <c r="I27" s="28" t="n"/>
    </row>
    <row r="28" ht="23.1" customHeight="1">
      <c r="A28" s="239" t="inlineStr">
        <is>
          <t xml:space="preserve">Total Direct Personnel onsite:  </t>
        </is>
      </c>
      <c r="B28" s="45">
        <f>COUNTIF(F15:F29,"&gt;0")</f>
        <v/>
      </c>
      <c r="C28" s="45" t="n"/>
      <c r="D28" s="41" t="n"/>
      <c r="E28" s="41" t="n"/>
      <c r="F28" s="47" t="n"/>
      <c r="G28" s="194" t="n"/>
      <c r="H28" s="46" t="n"/>
      <c r="I28" s="238" t="n"/>
    </row>
    <row r="29" ht="23.1" customHeight="1">
      <c r="A29" s="239" t="inlineStr">
        <is>
          <t xml:space="preserve">Total Direct Personnel hours: </t>
        </is>
      </c>
      <c r="B29" s="45">
        <f>SUM(F15:F29)</f>
        <v/>
      </c>
      <c r="C29" s="45" t="n"/>
      <c r="D29" s="45" t="n"/>
      <c r="E29" s="45" t="n"/>
      <c r="F29" s="45" t="n"/>
      <c r="G29" s="45" t="n"/>
      <c r="H29" s="45" t="n"/>
      <c r="I29" s="238" t="n"/>
    </row>
    <row r="30" ht="24.95" customHeight="1">
      <c r="A30" s="10" t="inlineStr">
        <is>
          <t>PLANT &amp; EQUIPMENT</t>
        </is>
      </c>
      <c r="B30" s="1" t="n"/>
      <c r="C30" s="1" t="n"/>
      <c r="D30" s="1" t="n"/>
      <c r="E30" s="1" t="n"/>
      <c r="F30" s="1" t="n"/>
      <c r="G30" s="1" t="n"/>
      <c r="H30" s="1" t="n"/>
      <c r="I30" s="2" t="n"/>
    </row>
    <row r="31" ht="24" customHeight="1">
      <c r="A31" s="183" t="inlineStr">
        <is>
          <t>Plant</t>
        </is>
      </c>
      <c r="B31" s="184" t="inlineStr">
        <is>
          <t>ID</t>
        </is>
      </c>
      <c r="C31" s="184" t="inlineStr">
        <is>
          <t>Hours</t>
        </is>
      </c>
      <c r="D31" s="184" t="inlineStr">
        <is>
          <t xml:space="preserve"> Vehicles</t>
        </is>
      </c>
      <c r="E31" s="184" t="inlineStr">
        <is>
          <t>ID</t>
        </is>
      </c>
      <c r="F31" s="184" t="inlineStr">
        <is>
          <t>QTY</t>
        </is>
      </c>
      <c r="G31" s="23" t="inlineStr">
        <is>
          <t>Site Facilities</t>
        </is>
      </c>
      <c r="H31" s="23" t="inlineStr">
        <is>
          <t>ID</t>
        </is>
      </c>
      <c r="I31" s="24" t="inlineStr">
        <is>
          <t>Qty</t>
        </is>
      </c>
    </row>
    <row r="32" ht="23.1" customHeight="1">
      <c r="A32" s="25" t="inlineStr">
        <is>
          <t>Komatsu WA320</t>
        </is>
      </c>
      <c r="B32" s="26" t="inlineStr">
        <is>
          <t>FWL18</t>
        </is>
      </c>
      <c r="C32" s="26" t="n">
        <v>5</v>
      </c>
      <c r="D32" s="27" t="inlineStr">
        <is>
          <t>Hilux</t>
        </is>
      </c>
      <c r="E32" s="27" t="inlineStr">
        <is>
          <t>DLV90</t>
        </is>
      </c>
      <c r="F32" s="27" t="n">
        <v>1</v>
      </c>
      <c r="G32" s="27" t="inlineStr">
        <is>
          <t>Office 40ft</t>
        </is>
      </c>
      <c r="H32" s="27" t="n">
        <v>9255540</v>
      </c>
      <c r="I32" s="28" t="n">
        <v>1</v>
      </c>
    </row>
    <row r="33" ht="23.1" customHeight="1">
      <c r="A33" s="25" t="inlineStr">
        <is>
          <t>Wacker Neuson DPU</t>
        </is>
      </c>
      <c r="B33" s="26" t="inlineStr">
        <is>
          <t>DPC15</t>
        </is>
      </c>
      <c r="C33" s="26" t="n"/>
      <c r="D33" s="27" t="inlineStr">
        <is>
          <t>6 Wheel Tipper</t>
        </is>
      </c>
      <c r="E33" s="27" t="inlineStr">
        <is>
          <t>AMG04</t>
        </is>
      </c>
      <c r="F33" s="27" t="n"/>
      <c r="G33" s="27" t="inlineStr">
        <is>
          <t>Sea Container 20ft</t>
        </is>
      </c>
      <c r="H33" s="26" t="n">
        <v>951200</v>
      </c>
      <c r="I33" s="28" t="n">
        <v>1</v>
      </c>
    </row>
    <row r="34" ht="23.1" customHeight="1">
      <c r="A34" s="29" t="inlineStr">
        <is>
          <t>Positrak</t>
        </is>
      </c>
      <c r="B34" s="27" t="inlineStr">
        <is>
          <t>AMG 025</t>
        </is>
      </c>
      <c r="C34" s="26" t="n">
        <v>10</v>
      </c>
      <c r="D34" s="27" t="n"/>
      <c r="E34" s="26" t="n"/>
      <c r="F34" s="27" t="n"/>
      <c r="G34" s="27" t="inlineStr">
        <is>
          <t>Site Sentry Tower</t>
        </is>
      </c>
      <c r="H34" s="27" t="n"/>
      <c r="I34" s="28" t="n">
        <v>2</v>
      </c>
    </row>
    <row r="35" ht="23.1" customHeight="1">
      <c r="A35" s="29" t="inlineStr">
        <is>
          <t>Watercart</t>
        </is>
      </c>
      <c r="B35" s="27" t="inlineStr">
        <is>
          <t>WC04</t>
        </is>
      </c>
      <c r="C35" s="26" t="n">
        <v>5</v>
      </c>
      <c r="D35" s="27" t="n"/>
      <c r="E35" s="27" t="n"/>
      <c r="F35" s="27" t="n"/>
      <c r="G35" s="27" t="inlineStr">
        <is>
          <t>Skip Bin</t>
        </is>
      </c>
      <c r="H35" s="27" t="n"/>
      <c r="I35" s="28" t="n">
        <v>1</v>
      </c>
    </row>
    <row r="36" ht="23.1" customHeight="1">
      <c r="A36" s="29" t="inlineStr">
        <is>
          <t>8T Excavator</t>
        </is>
      </c>
      <c r="B36" s="30" t="inlineStr">
        <is>
          <t>AMG 014</t>
        </is>
      </c>
      <c r="C36" s="26" t="n">
        <v>10</v>
      </c>
      <c r="D36" s="27" t="n"/>
      <c r="E36" s="27" t="n"/>
      <c r="F36" s="27" t="n"/>
      <c r="G36" s="27" t="inlineStr">
        <is>
          <t>Hydrocarbon Bund</t>
        </is>
      </c>
      <c r="H36" s="27" t="n"/>
      <c r="I36" s="28" t="n">
        <v>1</v>
      </c>
    </row>
    <row r="37" ht="23.1" customHeight="1">
      <c r="A37" s="27" t="inlineStr">
        <is>
          <t>6 Wheel Tipper</t>
        </is>
      </c>
      <c r="B37" s="27" t="inlineStr">
        <is>
          <t>AMG 008</t>
        </is>
      </c>
      <c r="C37" s="27" t="n"/>
      <c r="D37" s="27" t="n"/>
      <c r="E37" s="27" t="n"/>
      <c r="F37" s="27" t="n"/>
      <c r="G37" s="27" t="inlineStr">
        <is>
          <t>Temp Fence</t>
        </is>
      </c>
      <c r="H37" s="26" t="n"/>
      <c r="I37" s="28" t="n">
        <v>1</v>
      </c>
    </row>
    <row r="38" ht="24" customHeight="1">
      <c r="A38" s="29" t="inlineStr">
        <is>
          <t>Padfoot/ Smooth Drum Roller</t>
        </is>
      </c>
      <c r="B38" s="27" t="inlineStr">
        <is>
          <t>RR 03</t>
        </is>
      </c>
      <c r="C38" s="26" t="n"/>
      <c r="D38" s="27" t="n"/>
      <c r="E38" s="27" t="n"/>
      <c r="F38" s="27" t="n"/>
      <c r="G38" s="31" t="n"/>
      <c r="H38" s="31" t="n"/>
      <c r="I38" s="32" t="n"/>
    </row>
    <row r="39" ht="24" customHeight="1">
      <c r="A39" s="29" t="inlineStr">
        <is>
          <t>Positrak SSL</t>
        </is>
      </c>
      <c r="B39" s="27" t="inlineStr">
        <is>
          <t>SSL08</t>
        </is>
      </c>
      <c r="C39" s="26" t="n">
        <v>10</v>
      </c>
      <c r="D39" s="27" t="n"/>
      <c r="E39" s="27" t="n"/>
      <c r="F39" s="27" t="n"/>
      <c r="G39" s="31" t="n"/>
      <c r="H39" s="31" t="n"/>
      <c r="I39" s="32" t="n"/>
    </row>
    <row r="40" ht="23.1" customHeight="1">
      <c r="A40" s="29" t="inlineStr">
        <is>
          <t>Grader</t>
        </is>
      </c>
      <c r="B40" s="27" t="inlineStr">
        <is>
          <t>SLS01</t>
        </is>
      </c>
      <c r="C40" s="26" t="n"/>
      <c r="D40" s="27" t="n"/>
      <c r="E40" s="27" t="n"/>
      <c r="F40" s="27" t="n"/>
      <c r="G40" s="27" t="n"/>
      <c r="H40" s="26" t="n"/>
      <c r="I40" s="28" t="n"/>
    </row>
    <row r="41" ht="23.1" customHeight="1">
      <c r="A41" s="29" t="inlineStr">
        <is>
          <t>5t Excavator</t>
        </is>
      </c>
      <c r="B41" s="27" t="inlineStr">
        <is>
          <t>AMG 007</t>
        </is>
      </c>
      <c r="C41" s="26" t="n">
        <v>10</v>
      </c>
      <c r="D41" s="27" t="n"/>
      <c r="E41" s="27" t="n"/>
      <c r="F41" s="27" t="n"/>
      <c r="G41" s="27" t="n"/>
      <c r="H41" s="26" t="n"/>
      <c r="I41" s="28" t="n"/>
    </row>
    <row r="42" ht="23.1" customHeight="1">
      <c r="A42" s="29" t="inlineStr">
        <is>
          <t>1.5 Excavator</t>
        </is>
      </c>
      <c r="B42" s="27" t="inlineStr">
        <is>
          <t>AMG 009</t>
        </is>
      </c>
      <c r="C42" s="26" t="n">
        <v>10</v>
      </c>
      <c r="D42" s="27" t="n"/>
      <c r="E42" s="27" t="n"/>
      <c r="F42" s="27" t="n"/>
      <c r="G42" s="27" t="n"/>
      <c r="H42" s="26" t="n"/>
      <c r="I42" s="28" t="n"/>
    </row>
    <row r="43" ht="24" customHeight="1">
      <c r="A43" s="29" t="n"/>
      <c r="B43" s="27" t="n"/>
      <c r="C43" s="26" t="n"/>
      <c r="D43" s="31" t="n"/>
      <c r="E43" s="31" t="n"/>
      <c r="F43" s="31" t="n"/>
      <c r="G43" s="31" t="n"/>
      <c r="H43" s="31" t="n"/>
      <c r="I43" s="32" t="n"/>
    </row>
    <row r="44" ht="18" customHeight="1">
      <c r="A44" s="33" t="n">
        <v>0</v>
      </c>
      <c r="B44" s="186" t="inlineStr">
        <is>
          <t xml:space="preserve">Repairs Required </t>
        </is>
      </c>
      <c r="C44" s="276" t="n"/>
      <c r="D44" s="233" t="inlineStr">
        <is>
          <t>N/A</t>
        </is>
      </c>
      <c r="E44" s="275" t="n"/>
      <c r="F44" s="275" t="n"/>
      <c r="G44" s="275" t="n"/>
      <c r="H44" s="275" t="n"/>
      <c r="I44" s="277" t="n"/>
    </row>
    <row r="45" ht="18" customHeight="1">
      <c r="A45" s="34" t="n">
        <v>0</v>
      </c>
      <c r="B45" s="186" t="inlineStr">
        <is>
          <t>Scheduled Service</t>
        </is>
      </c>
      <c r="C45" s="276" t="n"/>
      <c r="D45" s="233" t="inlineStr">
        <is>
          <t>N/A</t>
        </is>
      </c>
      <c r="E45" s="275" t="n"/>
      <c r="F45" s="275" t="n"/>
      <c r="G45" s="275" t="n"/>
      <c r="H45" s="275" t="n"/>
      <c r="I45" s="277" t="n"/>
    </row>
    <row r="46" ht="18" customHeight="1">
      <c r="A46" s="35" t="n">
        <v>0</v>
      </c>
      <c r="B46" s="186" t="inlineStr">
        <is>
          <t>Repairs required but operable</t>
        </is>
      </c>
      <c r="C46" s="276" t="n"/>
      <c r="D46" s="233" t="inlineStr">
        <is>
          <t>N/A</t>
        </is>
      </c>
      <c r="E46" s="275" t="n"/>
      <c r="F46" s="275" t="n"/>
      <c r="G46" s="275" t="n"/>
      <c r="H46" s="275" t="n"/>
      <c r="I46" s="277" t="n"/>
    </row>
    <row r="47" ht="23.1" customHeight="1">
      <c r="A47" s="239" t="inlineStr">
        <is>
          <t xml:space="preserve">Total Plant and Equipment Hours: </t>
        </is>
      </c>
      <c r="B47" s="276" t="n"/>
      <c r="C47" s="195">
        <f>SUM(C32:C43)</f>
        <v/>
      </c>
      <c r="D47" s="185" t="n"/>
      <c r="E47" s="275" t="n"/>
      <c r="F47" s="275" t="n"/>
      <c r="G47" s="275" t="n"/>
      <c r="H47" s="275" t="n"/>
      <c r="I47" s="277" t="n"/>
    </row>
    <row r="48" ht="24.95" customHeight="1">
      <c r="A48" s="230" t="inlineStr">
        <is>
          <t>DELAYS-OPPORTUNITY</t>
        </is>
      </c>
      <c r="B48" s="275" t="n"/>
      <c r="C48" s="275" t="n"/>
      <c r="D48" s="275" t="n"/>
      <c r="E48" s="275" t="n"/>
      <c r="F48" s="275" t="n"/>
      <c r="G48" s="275" t="n"/>
      <c r="H48" s="275" t="n"/>
      <c r="I48" s="277" t="n"/>
    </row>
    <row r="49" ht="20.1" customHeight="1">
      <c r="A49" s="5" t="n"/>
      <c r="B49" s="6" t="n"/>
      <c r="C49" s="6" t="n"/>
      <c r="D49" s="6" t="n"/>
      <c r="E49" s="6" t="n"/>
      <c r="F49" s="6" t="n"/>
      <c r="G49" s="6" t="n"/>
      <c r="H49" s="6" t="n"/>
      <c r="I49" s="7" t="n"/>
    </row>
    <row r="50">
      <c r="A50" s="240" t="inlineStr">
        <is>
          <t>APRA Shutdown</t>
        </is>
      </c>
      <c r="B50" s="278" t="n"/>
      <c r="C50" s="278" t="n"/>
      <c r="D50" s="278" t="n"/>
      <c r="E50" s="278" t="n"/>
      <c r="F50" s="278" t="n"/>
      <c r="G50" s="278" t="n"/>
      <c r="H50" s="278" t="n"/>
      <c r="I50" s="279" t="n"/>
    </row>
    <row r="51">
      <c r="A51" s="270" t="n"/>
      <c r="I51" s="271" t="n"/>
    </row>
    <row r="52">
      <c r="A52" s="270" t="n"/>
      <c r="I52" s="271" t="n"/>
    </row>
    <row r="53" ht="13.5" customHeight="1" thickBot="1">
      <c r="A53" s="280" t="n"/>
      <c r="B53" s="281" t="n"/>
      <c r="C53" s="281" t="n"/>
      <c r="D53" s="281" t="n"/>
      <c r="E53" s="281" t="n"/>
      <c r="F53" s="281" t="n"/>
      <c r="G53" s="281" t="n"/>
      <c r="H53" s="281" t="n"/>
      <c r="I53" s="282" t="n"/>
    </row>
    <row r="54" ht="24.95" customHeight="1">
      <c r="A54" s="236" t="inlineStr">
        <is>
          <t>HSEQ MESSAGES</t>
        </is>
      </c>
      <c r="B54" s="283" t="n"/>
      <c r="C54" s="283" t="n"/>
      <c r="D54" s="283" t="n"/>
      <c r="E54" s="283" t="n"/>
      <c r="F54" s="283" t="n"/>
      <c r="G54" s="283" t="n"/>
      <c r="H54" s="283" t="n"/>
      <c r="I54" s="284" t="n"/>
    </row>
    <row r="55" ht="18" customHeight="1">
      <c r="A55" s="18" t="inlineStr">
        <is>
          <t>TCD - Monthly Safety Focus:</t>
        </is>
      </c>
      <c r="B55" s="211" t="inlineStr">
        <is>
          <t>Return to Work</t>
        </is>
      </c>
      <c r="C55" s="275" t="n"/>
      <c r="D55" s="275" t="n"/>
      <c r="E55" s="275" t="n"/>
      <c r="F55" s="275" t="n"/>
      <c r="G55" s="275" t="n"/>
      <c r="H55" s="275" t="n"/>
      <c r="I55" s="276" t="n"/>
    </row>
    <row r="56" ht="24" customHeight="1">
      <c r="A56" s="18" t="inlineStr">
        <is>
          <t>TCD - Daily Safety Focus:</t>
        </is>
      </c>
      <c r="B56" s="212" t="inlineStr">
        <is>
          <t>Simops</t>
        </is>
      </c>
      <c r="C56" s="275" t="n"/>
      <c r="D56" s="275" t="n"/>
      <c r="E56" s="275" t="n"/>
      <c r="F56" s="275" t="n"/>
      <c r="G56" s="275" t="n"/>
      <c r="H56" s="275" t="n"/>
      <c r="I56" s="277" t="n"/>
    </row>
    <row r="57" ht="18" customHeight="1">
      <c r="A57" s="19" t="inlineStr">
        <is>
          <t xml:space="preserve">Hazards Reported: </t>
        </is>
      </c>
      <c r="B57" s="20" t="inlineStr">
        <is>
          <t>Nil</t>
        </is>
      </c>
      <c r="C57" s="212" t="n"/>
      <c r="D57" s="275" t="n"/>
      <c r="E57" s="275" t="n"/>
      <c r="F57" s="275" t="n"/>
      <c r="G57" s="275" t="n"/>
      <c r="H57" s="275" t="n"/>
      <c r="I57" s="277" t="n"/>
    </row>
    <row r="58" ht="18" customHeight="1">
      <c r="A58" s="19" t="inlineStr">
        <is>
          <t>Incident Free Days</t>
        </is>
      </c>
      <c r="B58" s="20" t="n">
        <v>55</v>
      </c>
      <c r="C58" s="211" t="n"/>
      <c r="D58" s="275" t="n"/>
      <c r="E58" s="275" t="n"/>
      <c r="F58" s="275" t="n"/>
      <c r="G58" s="275" t="n"/>
      <c r="H58" s="275" t="n"/>
      <c r="I58" s="276" t="n"/>
    </row>
    <row r="59" ht="18" customHeight="1">
      <c r="A59" s="21" t="inlineStr">
        <is>
          <t>Other Notes</t>
        </is>
      </c>
      <c r="B59" s="241" t="n"/>
      <c r="C59" s="278" t="n"/>
      <c r="D59" s="278" t="n"/>
      <c r="E59" s="278" t="n"/>
      <c r="F59" s="278" t="n"/>
      <c r="G59" s="278" t="n"/>
      <c r="H59" s="278" t="n"/>
      <c r="I59" s="279" t="n"/>
    </row>
    <row r="60" ht="20.25" customHeight="1">
      <c r="A60" s="230" t="inlineStr">
        <is>
          <t xml:space="preserve">INCIDENTS &amp; REPORTS </t>
        </is>
      </c>
      <c r="B60" s="275" t="n"/>
      <c r="C60" s="275" t="n"/>
      <c r="D60" s="275" t="n"/>
      <c r="E60" s="275" t="n"/>
      <c r="F60" s="275" t="n"/>
      <c r="G60" s="275" t="n"/>
      <c r="H60" s="275" t="n"/>
      <c r="I60" s="277" t="n"/>
    </row>
    <row r="61" ht="24.95" customHeight="1">
      <c r="A61" s="11" t="n"/>
      <c r="B61" s="184" t="inlineStr">
        <is>
          <t>QTY</t>
        </is>
      </c>
      <c r="C61" s="238" t="inlineStr">
        <is>
          <t>Comments</t>
        </is>
      </c>
      <c r="D61" s="275" t="n"/>
      <c r="E61" s="275" t="n"/>
      <c r="F61" s="275" t="n"/>
      <c r="G61" s="275" t="n"/>
      <c r="H61" s="275" t="n"/>
      <c r="I61" s="277" t="n"/>
    </row>
    <row r="62" ht="24.95" customHeight="1">
      <c r="A62" s="13" t="inlineStr">
        <is>
          <t>INCIDENT</t>
        </is>
      </c>
      <c r="B62" s="184" t="n">
        <v>0</v>
      </c>
      <c r="C62" s="233" t="inlineStr">
        <is>
          <t>NA</t>
        </is>
      </c>
      <c r="D62" s="275" t="n"/>
      <c r="E62" s="275" t="n"/>
      <c r="F62" s="275" t="n"/>
      <c r="G62" s="275" t="n"/>
      <c r="H62" s="275" t="n"/>
      <c r="I62" s="277" t="n"/>
    </row>
    <row r="63" ht="24.95" customHeight="1">
      <c r="A63" s="14" t="inlineStr">
        <is>
          <t>IR</t>
        </is>
      </c>
      <c r="B63" s="15" t="n">
        <v>0</v>
      </c>
      <c r="C63" s="234" t="inlineStr">
        <is>
          <t>NA</t>
        </is>
      </c>
      <c r="D63" s="278" t="n"/>
      <c r="E63" s="278" t="n"/>
      <c r="F63" s="278" t="n"/>
      <c r="G63" s="278" t="n"/>
      <c r="H63" s="278" t="n"/>
      <c r="I63" s="279" t="n"/>
    </row>
    <row r="64" ht="24.95" customHeight="1" thickBot="1">
      <c r="A64" s="16" t="inlineStr">
        <is>
          <t>NCR</t>
        </is>
      </c>
      <c r="B64" s="17" t="n">
        <v>0</v>
      </c>
      <c r="C64" s="235" t="inlineStr">
        <is>
          <t>NA</t>
        </is>
      </c>
      <c r="D64" s="285" t="n"/>
      <c r="E64" s="285" t="n"/>
      <c r="F64" s="285" t="n"/>
      <c r="G64" s="285" t="n"/>
      <c r="H64" s="285" t="n"/>
      <c r="I64" s="286" t="n"/>
    </row>
    <row r="65" ht="20.25" customHeight="1">
      <c r="A65" s="236" t="inlineStr">
        <is>
          <t>COMMUNICATIONS</t>
        </is>
      </c>
      <c r="B65" s="283" t="n"/>
      <c r="C65" s="283" t="n"/>
      <c r="D65" s="283" t="n"/>
      <c r="E65" s="283" t="n"/>
      <c r="F65" s="283" t="n"/>
      <c r="G65" s="283" t="n"/>
      <c r="H65" s="283" t="n"/>
      <c r="I65" s="284" t="n"/>
    </row>
    <row r="66" ht="24.95" customHeight="1">
      <c r="A66" s="237" t="inlineStr">
        <is>
          <t>TGS MB1119-05 Scheme D impletmented</t>
        </is>
      </c>
      <c r="B66" s="275" t="n"/>
      <c r="C66" s="275" t="n"/>
      <c r="D66" s="275" t="n"/>
      <c r="E66" s="275" t="n"/>
      <c r="F66" s="275" t="n"/>
      <c r="G66" s="275" t="n"/>
      <c r="H66" s="275" t="n"/>
      <c r="I66" s="277" t="n"/>
    </row>
    <row r="67" ht="24.95" customHeight="1">
      <c r="A67" s="237" t="n"/>
      <c r="B67" s="275" t="n"/>
      <c r="C67" s="275" t="n"/>
      <c r="D67" s="275" t="n"/>
      <c r="E67" s="275" t="n"/>
      <c r="F67" s="275" t="n"/>
      <c r="G67" s="275" t="n"/>
      <c r="H67" s="275" t="n"/>
      <c r="I67" s="277" t="n"/>
    </row>
    <row r="68" ht="24.95" customHeight="1">
      <c r="A68" s="230" t="inlineStr">
        <is>
          <t>PRODUCTION (CONSTRUCTION STATUS &amp; PROGRESS)</t>
        </is>
      </c>
      <c r="B68" s="275" t="n"/>
      <c r="C68" s="275" t="n"/>
      <c r="D68" s="275" t="n"/>
      <c r="E68" s="275" t="n"/>
      <c r="F68" s="275" t="n"/>
      <c r="G68" s="275" t="n"/>
      <c r="H68" s="275" t="n"/>
      <c r="I68" s="277" t="n"/>
    </row>
    <row r="69" ht="24.95" customHeight="1">
      <c r="A69" s="66" t="inlineStr">
        <is>
          <t>Ongoing underground services</t>
        </is>
      </c>
      <c r="B69" s="62" t="n"/>
      <c r="C69" s="62" t="n"/>
      <c r="D69" s="62" t="n"/>
      <c r="E69" s="62" t="n"/>
      <c r="F69" s="62" t="n"/>
      <c r="G69" s="62" t="n"/>
      <c r="H69" s="62" t="n"/>
      <c r="I69" s="63" t="n"/>
    </row>
    <row r="70" ht="24.95" customHeight="1">
      <c r="A70" s="66" t="inlineStr">
        <is>
          <t>Complete 525 Culvert (Extend into Future Area)</t>
        </is>
      </c>
      <c r="B70" s="62" t="n"/>
      <c r="C70" s="62" t="n"/>
      <c r="D70" s="62" t="n"/>
      <c r="E70" s="62" t="n"/>
      <c r="F70" s="62" t="n"/>
      <c r="G70" s="62" t="n"/>
      <c r="H70" s="62" t="n"/>
      <c r="I70" s="63" t="n"/>
    </row>
    <row r="71" ht="24.95" customHeight="1">
      <c r="A71" s="66" t="n"/>
      <c r="B71" s="62" t="n"/>
      <c r="C71" s="62" t="n"/>
      <c r="D71" s="62" t="n"/>
      <c r="E71" s="62" t="n"/>
      <c r="F71" s="62" t="n"/>
      <c r="G71" s="62" t="n"/>
      <c r="H71" s="62" t="n"/>
      <c r="I71" s="63" t="n"/>
    </row>
    <row r="72" ht="24.95" customHeight="1">
      <c r="A72" s="66" t="n"/>
      <c r="B72" s="62" t="n"/>
      <c r="C72" s="62" t="n"/>
      <c r="D72" s="62" t="n"/>
      <c r="E72" s="62" t="n"/>
      <c r="F72" s="62" t="n"/>
      <c r="G72" s="62" t="n"/>
      <c r="H72" s="62" t="n"/>
      <c r="I72" s="63" t="n"/>
    </row>
    <row r="73" ht="26.1" customHeight="1" thickBot="1">
      <c r="A73" s="231" t="inlineStr">
        <is>
          <t>PHOTOS</t>
        </is>
      </c>
      <c r="B73" s="278" t="n"/>
      <c r="C73" s="278" t="n"/>
      <c r="D73" s="278" t="n"/>
      <c r="E73" s="278" t="n"/>
      <c r="F73" s="278" t="n"/>
      <c r="G73" s="278" t="n"/>
      <c r="H73" s="278" t="n"/>
      <c r="I73" s="279" t="n"/>
    </row>
    <row r="74" ht="23.1" customHeight="1">
      <c r="A74" s="70" t="n"/>
      <c r="B74" s="71" t="n"/>
      <c r="C74" s="71" t="n"/>
      <c r="D74" s="71" t="n"/>
      <c r="E74" s="71" t="n"/>
      <c r="F74" s="71" t="n"/>
      <c r="G74" s="71" t="n"/>
      <c r="H74" s="71" t="n"/>
      <c r="I74" s="72" t="n"/>
    </row>
    <row r="75" ht="23.1" customHeight="1">
      <c r="A75" s="73" t="n"/>
      <c r="B75" s="74" t="n"/>
      <c r="C75" s="74" t="n"/>
      <c r="D75" s="74" t="n"/>
      <c r="E75" s="74" t="n"/>
      <c r="F75" s="74" t="n"/>
      <c r="G75" s="74" t="n"/>
      <c r="H75" s="74" t="n"/>
      <c r="I75" s="75" t="n"/>
    </row>
    <row r="76" ht="15" customHeight="1">
      <c r="A76" s="73" t="n"/>
      <c r="B76" s="74" t="n"/>
      <c r="C76" s="74" t="n"/>
      <c r="D76" s="74" t="n"/>
      <c r="E76" s="74" t="n"/>
      <c r="F76" s="74" t="n"/>
      <c r="G76" s="74" t="n"/>
      <c r="H76" s="74" t="n"/>
      <c r="I76" s="75" t="n"/>
    </row>
    <row r="77" ht="15" customHeight="1">
      <c r="A77" s="73" t="n"/>
      <c r="B77" s="74" t="n"/>
      <c r="C77" s="74" t="n"/>
      <c r="D77" s="74" t="n"/>
      <c r="E77" s="74" t="n"/>
      <c r="F77" s="74" t="n"/>
      <c r="G77" s="74" t="n"/>
      <c r="H77" s="74" t="n"/>
      <c r="I77" s="75" t="n"/>
    </row>
    <row r="78" ht="15" customHeight="1">
      <c r="A78" s="73" t="n"/>
      <c r="B78" s="74" t="n"/>
      <c r="C78" s="74" t="n"/>
      <c r="D78" s="74" t="n"/>
      <c r="E78" s="74" t="n"/>
      <c r="F78" s="74" t="n"/>
      <c r="G78" s="74" t="n"/>
      <c r="H78" s="74" t="n"/>
      <c r="I78" s="75" t="n"/>
    </row>
    <row r="79" ht="15" customHeight="1">
      <c r="A79" s="73" t="n"/>
      <c r="B79" s="74" t="n"/>
      <c r="C79" s="74" t="n"/>
      <c r="D79" s="74" t="n"/>
      <c r="E79" s="74" t="n"/>
      <c r="F79" s="74" t="n"/>
      <c r="G79" s="74" t="n"/>
      <c r="H79" s="74" t="n"/>
      <c r="I79" s="75" t="n"/>
    </row>
    <row r="80" ht="15" customHeight="1">
      <c r="A80" s="73" t="n"/>
      <c r="B80" s="74" t="n"/>
      <c r="C80" s="74" t="n"/>
      <c r="D80" s="74" t="n"/>
      <c r="E80" s="74" t="n"/>
      <c r="F80" s="74" t="n"/>
      <c r="G80" s="74" t="n"/>
      <c r="H80" s="74" t="n"/>
      <c r="I80" s="75" t="n"/>
    </row>
    <row r="81" ht="15" customHeight="1">
      <c r="A81" s="73" t="n"/>
      <c r="B81" s="74" t="n"/>
      <c r="C81" s="74" t="n"/>
      <c r="D81" s="74" t="n"/>
      <c r="E81" s="74" t="n"/>
      <c r="F81" s="74" t="n"/>
      <c r="G81" s="74" t="n"/>
      <c r="H81" s="74" t="n"/>
      <c r="I81" s="75" t="n"/>
    </row>
    <row r="82" ht="15" customHeight="1">
      <c r="A82" s="73" t="n"/>
      <c r="B82" s="74" t="n"/>
      <c r="C82" s="74" t="n"/>
      <c r="D82" s="74" t="n"/>
      <c r="E82" s="74" t="n"/>
      <c r="F82" s="74" t="n"/>
      <c r="G82" s="74" t="n"/>
      <c r="H82" s="74" t="n"/>
      <c r="I82" s="75" t="n"/>
    </row>
    <row r="83" ht="15" customHeight="1">
      <c r="A83" s="73" t="n"/>
      <c r="B83" s="74" t="n"/>
      <c r="C83" s="74" t="n"/>
      <c r="D83" s="74" t="n"/>
      <c r="E83" s="74" t="n"/>
      <c r="F83" s="74" t="n"/>
      <c r="G83" s="74" t="n"/>
      <c r="H83" s="74" t="n"/>
      <c r="I83" s="75" t="n"/>
    </row>
    <row r="84" ht="15" customHeight="1">
      <c r="A84" s="73" t="n"/>
      <c r="B84" s="74" t="n"/>
      <c r="C84" s="74" t="n"/>
      <c r="D84" s="74" t="n"/>
      <c r="E84" s="74" t="n"/>
      <c r="F84" s="74" t="n"/>
      <c r="G84" s="74" t="n"/>
      <c r="H84" s="74" t="n"/>
      <c r="I84" s="75" t="n"/>
    </row>
    <row r="85" ht="15" customHeight="1">
      <c r="A85" s="73" t="n"/>
      <c r="B85" s="74" t="n"/>
      <c r="C85" s="74" t="n"/>
      <c r="D85" s="74" t="n"/>
      <c r="E85" s="74" t="n"/>
      <c r="F85" s="74" t="n"/>
      <c r="G85" s="74" t="n"/>
      <c r="H85" s="74" t="n"/>
      <c r="I85" s="75" t="n"/>
    </row>
    <row r="86" ht="15" customHeight="1">
      <c r="A86" s="73" t="n"/>
      <c r="B86" s="74" t="n"/>
      <c r="C86" s="74" t="n"/>
      <c r="D86" s="74" t="n"/>
      <c r="E86" s="74" t="n"/>
      <c r="F86" s="74" t="n"/>
      <c r="G86" s="74" t="n"/>
      <c r="H86" s="74" t="n"/>
      <c r="I86" s="75" t="n"/>
    </row>
    <row r="87" ht="15" customHeight="1">
      <c r="A87" s="73" t="n"/>
      <c r="B87" s="74" t="n"/>
      <c r="C87" s="74" t="n"/>
      <c r="D87" s="74" t="n"/>
      <c r="E87" s="74" t="n"/>
      <c r="F87" s="74" t="n"/>
      <c r="G87" s="74" t="n"/>
      <c r="H87" s="74" t="n"/>
      <c r="I87" s="75" t="n"/>
    </row>
    <row r="88" ht="15" customHeight="1">
      <c r="A88" s="73" t="n"/>
      <c r="B88" s="74" t="n"/>
      <c r="C88" s="74" t="n"/>
      <c r="D88" s="74" t="n"/>
      <c r="E88" s="74" t="n"/>
      <c r="F88" s="74" t="n"/>
      <c r="G88" s="74" t="n"/>
      <c r="H88" s="74" t="n"/>
      <c r="I88" s="75" t="n"/>
    </row>
    <row r="89" ht="15" customHeight="1">
      <c r="A89" s="73" t="n"/>
      <c r="B89" s="74" t="n"/>
      <c r="C89" s="74" t="n"/>
      <c r="D89" s="74" t="n"/>
      <c r="E89" s="74" t="n"/>
      <c r="F89" s="74" t="n"/>
      <c r="G89" s="74" t="n"/>
      <c r="H89" s="74" t="n"/>
      <c r="I89" s="75" t="n"/>
    </row>
    <row r="90" ht="15" customHeight="1">
      <c r="A90" s="73" t="n"/>
      <c r="B90" s="74" t="n"/>
      <c r="C90" s="74" t="n"/>
      <c r="D90" s="74" t="n"/>
      <c r="E90" s="74" t="n"/>
      <c r="F90" s="74" t="n"/>
      <c r="G90" s="74" t="n"/>
      <c r="H90" s="74" t="n"/>
      <c r="I90" s="75" t="n"/>
    </row>
    <row r="91" ht="15" customHeight="1">
      <c r="A91" s="73" t="n"/>
      <c r="B91" s="74" t="n"/>
      <c r="C91" s="74" t="n"/>
      <c r="D91" s="74" t="n"/>
      <c r="E91" s="74" t="n"/>
      <c r="F91" s="74" t="n"/>
      <c r="G91" s="74" t="n"/>
      <c r="H91" s="74" t="n"/>
      <c r="I91" s="75" t="n"/>
    </row>
    <row r="92" ht="15" customHeight="1">
      <c r="A92" s="73" t="n"/>
      <c r="B92" s="74" t="n"/>
      <c r="C92" s="74" t="n"/>
      <c r="D92" s="74" t="n"/>
      <c r="E92" s="74" t="n"/>
      <c r="F92" s="74" t="n"/>
      <c r="G92" s="74" t="n"/>
      <c r="H92" s="74" t="n"/>
      <c r="I92" s="75" t="n"/>
    </row>
    <row r="93" ht="15" customHeight="1">
      <c r="A93" s="73" t="n"/>
      <c r="B93" s="74" t="n"/>
      <c r="C93" s="74" t="n"/>
      <c r="D93" s="74" t="n"/>
      <c r="E93" s="74" t="n"/>
      <c r="F93" s="74" t="n"/>
      <c r="G93" s="74" t="n"/>
      <c r="H93" s="74" t="n"/>
      <c r="I93" s="75" t="n"/>
    </row>
    <row r="94" ht="15" customHeight="1">
      <c r="A94" s="73" t="n"/>
      <c r="B94" s="74" t="n"/>
      <c r="C94" s="74" t="n"/>
      <c r="D94" s="74" t="n"/>
      <c r="E94" s="74" t="n"/>
      <c r="F94" s="74" t="n"/>
      <c r="G94" s="74" t="n"/>
      <c r="H94" s="74" t="n"/>
      <c r="I94" s="75" t="n"/>
    </row>
    <row r="95" ht="15" customHeight="1">
      <c r="A95" s="73" t="n"/>
      <c r="B95" s="74" t="n"/>
      <c r="C95" s="74" t="n"/>
      <c r="D95" s="74" t="n"/>
      <c r="E95" s="74" t="n"/>
      <c r="F95" s="74" t="n"/>
      <c r="G95" s="74" t="n"/>
      <c r="H95" s="74" t="n"/>
      <c r="I95" s="75" t="n"/>
    </row>
    <row r="96" ht="15" customHeight="1">
      <c r="A96" s="73" t="n"/>
      <c r="B96" s="74" t="n"/>
      <c r="C96" s="74" t="n"/>
      <c r="D96" s="74" t="n"/>
      <c r="E96" s="74" t="n"/>
      <c r="F96" s="74" t="n"/>
      <c r="H96" s="74" t="n"/>
      <c r="I96" s="75" t="n"/>
    </row>
    <row r="97" ht="24.95" customFormat="1" customHeight="1" s="4">
      <c r="A97" s="73" t="n"/>
      <c r="B97" s="74" t="n"/>
      <c r="C97" s="74" t="n"/>
      <c r="D97" s="74" t="n"/>
      <c r="E97" s="74" t="n"/>
      <c r="F97" s="74" t="n"/>
      <c r="G97" s="74" t="n"/>
      <c r="H97" s="74" t="n"/>
      <c r="I97" s="75" t="n"/>
    </row>
    <row r="98" ht="15" customHeight="1">
      <c r="A98" s="73" t="n"/>
      <c r="B98" s="74" t="n"/>
      <c r="C98" s="74" t="n"/>
      <c r="D98" s="74" t="n"/>
      <c r="E98" s="74" t="n"/>
      <c r="F98" s="74" t="n"/>
      <c r="G98" s="74" t="n"/>
      <c r="H98" s="74" t="n"/>
      <c r="I98" s="75" t="n"/>
    </row>
    <row r="99" ht="15" customHeight="1">
      <c r="A99" s="73" t="n"/>
      <c r="B99" s="74" t="n"/>
      <c r="C99" s="74" t="n"/>
      <c r="D99" s="74" t="n"/>
      <c r="E99" s="74" t="n"/>
      <c r="F99" s="74" t="n"/>
      <c r="G99" s="74" t="n"/>
      <c r="H99" s="74" t="n"/>
      <c r="I99" s="75" t="n"/>
    </row>
    <row r="100" ht="15" customHeight="1">
      <c r="A100" s="73" t="n"/>
      <c r="B100" s="74" t="n"/>
      <c r="C100" s="74" t="n"/>
      <c r="D100" s="74" t="n"/>
      <c r="E100" s="74" t="n"/>
      <c r="F100" s="74" t="n"/>
      <c r="G100" s="74" t="n"/>
      <c r="H100" s="74" t="n"/>
      <c r="I100" s="75" t="n"/>
    </row>
    <row r="101" ht="15" customHeight="1">
      <c r="A101" s="73" t="n"/>
      <c r="B101" s="74" t="n"/>
      <c r="C101" s="74" t="n"/>
      <c r="D101" s="74" t="n"/>
      <c r="E101" s="74" t="n"/>
      <c r="F101" s="74" t="n"/>
      <c r="G101" s="74" t="n"/>
      <c r="H101" s="74" t="n"/>
      <c r="I101" s="75" t="n"/>
    </row>
    <row r="102" ht="15" customHeight="1">
      <c r="A102" s="73" t="n"/>
      <c r="B102" s="74" t="n"/>
      <c r="C102" s="74" t="n"/>
      <c r="D102" s="74" t="n"/>
      <c r="E102" s="74" t="n"/>
      <c r="F102" s="74" t="n"/>
      <c r="G102" s="74" t="n"/>
      <c r="H102" s="74" t="n"/>
      <c r="I102" s="75" t="n"/>
    </row>
    <row r="103" ht="15" customHeight="1">
      <c r="A103" s="73" t="n"/>
      <c r="B103" s="74" t="n"/>
      <c r="C103" s="74" t="n"/>
      <c r="D103" s="74" t="n"/>
      <c r="E103" s="74" t="n"/>
      <c r="F103" s="74" t="n"/>
      <c r="G103" s="74" t="n"/>
      <c r="H103" s="74" t="n"/>
      <c r="I103" s="75" t="n"/>
    </row>
    <row r="104" ht="15" customHeight="1">
      <c r="A104" s="73" t="n"/>
      <c r="B104" s="74" t="n"/>
      <c r="C104" s="74" t="n"/>
      <c r="D104" s="74" t="n"/>
      <c r="E104" s="74" t="n"/>
      <c r="F104" s="74" t="n"/>
      <c r="G104" s="74" t="n"/>
      <c r="H104" s="74" t="n"/>
      <c r="I104" s="75" t="n"/>
    </row>
    <row r="105" ht="15" customHeight="1">
      <c r="A105" s="73" t="n"/>
      <c r="B105" s="74" t="n"/>
      <c r="C105" s="74" t="n"/>
      <c r="D105" s="74" t="n"/>
      <c r="E105" s="74" t="n"/>
      <c r="F105" s="74" t="n"/>
      <c r="G105" s="74" t="n"/>
      <c r="H105" s="74" t="n"/>
      <c r="I105" s="75" t="n"/>
    </row>
    <row r="106" ht="15" customHeight="1">
      <c r="A106" s="73" t="n"/>
      <c r="B106" s="74" t="n"/>
      <c r="C106" s="74" t="n"/>
      <c r="D106" s="74" t="n"/>
      <c r="E106" s="74" t="n"/>
      <c r="F106" s="74" t="n"/>
      <c r="G106" s="74" t="n"/>
      <c r="H106" s="74" t="n"/>
      <c r="I106" s="75" t="n"/>
    </row>
    <row r="107" ht="15" customHeight="1">
      <c r="A107" s="73" t="n"/>
      <c r="B107" s="74" t="n"/>
      <c r="C107" s="74" t="n"/>
      <c r="D107" s="74" t="n"/>
      <c r="E107" s="74" t="n"/>
      <c r="F107" s="74" t="n"/>
      <c r="G107" s="74" t="n"/>
      <c r="H107" s="74" t="n"/>
      <c r="I107" s="75" t="n"/>
    </row>
    <row r="108" ht="15" customHeight="1">
      <c r="A108" s="73" t="n"/>
      <c r="B108" s="74" t="n"/>
      <c r="C108" s="74" t="n"/>
      <c r="D108" s="74" t="n"/>
      <c r="E108" s="74" t="n"/>
      <c r="F108" s="74" t="n"/>
      <c r="G108" s="74" t="n"/>
      <c r="H108" s="74" t="n"/>
      <c r="I108" s="75" t="n"/>
    </row>
    <row r="109" ht="15" customHeight="1">
      <c r="A109" s="73" t="n"/>
      <c r="B109" s="74" t="n"/>
      <c r="C109" s="74" t="n"/>
      <c r="D109" s="74" t="n"/>
      <c r="E109" s="74" t="n"/>
      <c r="F109" s="74" t="n"/>
      <c r="G109" s="74" t="n"/>
      <c r="H109" s="74" t="n"/>
      <c r="I109" s="75" t="n"/>
    </row>
    <row r="110" ht="15" customHeight="1">
      <c r="A110" s="73" t="n"/>
      <c r="B110" s="74" t="n"/>
      <c r="C110" s="74" t="n"/>
      <c r="D110" s="74" t="n"/>
      <c r="E110" s="74" t="n"/>
      <c r="F110" s="74" t="n"/>
      <c r="G110" s="74" t="n"/>
      <c r="H110" s="74" t="n"/>
      <c r="I110" s="75" t="n"/>
    </row>
    <row r="111" ht="15" customHeight="1">
      <c r="A111" s="73" t="n"/>
      <c r="B111" s="74" t="n"/>
      <c r="C111" s="74" t="n"/>
      <c r="D111" s="74" t="n"/>
      <c r="E111" s="74" t="n"/>
      <c r="F111" s="74" t="n"/>
      <c r="G111" s="74" t="n"/>
      <c r="H111" s="74" t="n"/>
      <c r="I111" s="75" t="n"/>
    </row>
    <row r="112" ht="15" customHeight="1" thickBot="1">
      <c r="A112" s="76" t="n"/>
      <c r="B112" s="77" t="n"/>
      <c r="C112" s="77" t="n"/>
      <c r="D112" s="77" t="n"/>
      <c r="E112" s="77" t="n"/>
      <c r="F112" s="77" t="n"/>
      <c r="G112" s="77" t="n"/>
      <c r="H112" s="77" t="n"/>
      <c r="I112" s="78" t="n"/>
    </row>
    <row r="113" ht="15" customHeight="1">
      <c r="A113" s="73" t="n"/>
      <c r="B113" s="74" t="n"/>
      <c r="C113" s="74" t="n"/>
      <c r="D113" s="74" t="n"/>
      <c r="E113" s="74" t="n"/>
      <c r="F113" s="74" t="n"/>
      <c r="G113" s="74" t="n"/>
      <c r="H113" s="74" t="n"/>
      <c r="I113" s="75" t="n"/>
    </row>
    <row r="114" ht="15" customHeight="1">
      <c r="A114" s="73" t="n"/>
      <c r="B114" s="74" t="n"/>
      <c r="C114" s="74" t="n"/>
      <c r="D114" s="74" t="n"/>
      <c r="E114" s="74" t="n"/>
      <c r="F114" s="74" t="n"/>
      <c r="G114" s="74" t="n"/>
      <c r="H114" s="74" t="n"/>
      <c r="I114" s="75" t="n"/>
    </row>
    <row r="115" ht="15" customHeight="1">
      <c r="A115" s="73" t="n"/>
      <c r="B115" s="74" t="n"/>
      <c r="C115" s="74" t="n"/>
      <c r="D115" s="74" t="n"/>
      <c r="E115" s="74" t="n"/>
      <c r="F115" s="74" t="n"/>
      <c r="G115" s="74" t="n"/>
      <c r="H115" s="74" t="n"/>
      <c r="I115" s="75" t="n"/>
    </row>
    <row r="116" ht="15" customHeight="1">
      <c r="A116" s="73" t="n"/>
      <c r="B116" s="74" t="n"/>
      <c r="C116" s="74" t="n"/>
      <c r="D116" s="74" t="n"/>
      <c r="E116" s="74" t="n"/>
      <c r="F116" s="74" t="n"/>
      <c r="G116" s="74" t="n"/>
      <c r="H116" s="74" t="n"/>
      <c r="I116" s="75" t="n"/>
    </row>
    <row r="117" ht="15" customHeight="1">
      <c r="A117" s="73" t="n"/>
      <c r="B117" s="74" t="n"/>
      <c r="C117" s="74" t="n"/>
      <c r="D117" s="74" t="n"/>
      <c r="E117" s="74" t="n"/>
      <c r="F117" s="74" t="n"/>
      <c r="G117" s="74" t="n"/>
      <c r="H117" s="74" t="n"/>
      <c r="I117" s="75" t="n"/>
    </row>
    <row r="118" ht="15" customHeight="1">
      <c r="A118" s="73" t="n"/>
      <c r="B118" s="74" t="n"/>
      <c r="C118" s="74" t="n"/>
      <c r="D118" s="74" t="n"/>
      <c r="E118" s="74" t="n"/>
      <c r="F118" s="74" t="n"/>
      <c r="G118" s="74" t="n"/>
      <c r="H118" s="74" t="n"/>
      <c r="I118" s="75" t="n"/>
    </row>
    <row r="119" ht="15" customHeight="1">
      <c r="A119" s="73" t="n"/>
      <c r="B119" s="74" t="n"/>
      <c r="C119" s="74" t="n"/>
      <c r="D119" s="74" t="n"/>
      <c r="E119" s="74" t="n"/>
      <c r="F119" s="74" t="n"/>
      <c r="G119" s="74" t="n"/>
      <c r="H119" s="74" t="n"/>
      <c r="I119" s="75" t="n"/>
    </row>
    <row r="120" ht="15" customHeight="1">
      <c r="A120" s="73" t="n"/>
      <c r="B120" s="74" t="n"/>
      <c r="C120" s="74" t="n"/>
      <c r="D120" s="74" t="n"/>
      <c r="E120" s="74" t="n"/>
      <c r="F120" s="74" t="n"/>
      <c r="G120" s="74" t="n"/>
      <c r="H120" s="74" t="n"/>
      <c r="I120" s="75" t="n"/>
    </row>
    <row r="121" ht="24.95" customHeight="1">
      <c r="A121" s="73" t="n"/>
      <c r="B121" s="74" t="n"/>
      <c r="C121" s="74" t="n"/>
      <c r="D121" s="74" t="n"/>
      <c r="E121" s="74" t="n"/>
      <c r="F121" s="74" t="n"/>
      <c r="G121" s="74" t="n"/>
      <c r="H121" s="74" t="n"/>
      <c r="I121" s="75" t="n"/>
    </row>
    <row r="122" ht="15" customHeight="1">
      <c r="A122" s="73" t="n"/>
      <c r="B122" s="74" t="n"/>
      <c r="C122" s="74" t="n"/>
      <c r="D122" s="74" t="n"/>
      <c r="E122" s="74" t="n"/>
      <c r="F122" s="74" t="n"/>
      <c r="G122" s="74" t="n"/>
      <c r="H122" s="74" t="n"/>
      <c r="I122" s="75" t="n"/>
    </row>
    <row r="123" ht="15" customHeight="1">
      <c r="A123" s="73" t="n"/>
      <c r="B123" s="74" t="n"/>
      <c r="C123" s="74" t="n"/>
      <c r="D123" s="74" t="n"/>
      <c r="E123" s="74" t="n"/>
      <c r="F123" s="74" t="n"/>
      <c r="G123" s="74" t="n"/>
      <c r="H123" s="74" t="n"/>
      <c r="I123" s="75" t="n"/>
    </row>
    <row r="124" ht="27.95" customHeight="1">
      <c r="A124" s="73" t="n"/>
      <c r="B124" s="74" t="n"/>
      <c r="C124" s="74" t="n"/>
      <c r="D124" s="74" t="n"/>
      <c r="E124" s="74" t="n"/>
      <c r="F124" s="74" t="n"/>
      <c r="G124" s="74" t="n"/>
      <c r="H124" s="74" t="n"/>
      <c r="I124" s="75" t="n"/>
    </row>
    <row r="125" ht="15" customHeight="1">
      <c r="A125" s="73" t="n"/>
      <c r="B125" s="74" t="n"/>
      <c r="C125" s="74" t="n"/>
      <c r="D125" s="74" t="n"/>
      <c r="E125" s="74" t="n"/>
      <c r="F125" s="74" t="n"/>
      <c r="G125" s="74" t="n"/>
      <c r="H125" s="74" t="n"/>
      <c r="I125" s="75" t="n"/>
    </row>
    <row r="126" ht="15" customHeight="1">
      <c r="A126" s="73" t="n"/>
      <c r="B126" s="74" t="n"/>
      <c r="C126" s="74" t="n"/>
      <c r="D126" s="74" t="n"/>
      <c r="E126" s="74" t="n"/>
      <c r="F126" s="74" t="n"/>
      <c r="G126" s="74" t="n"/>
      <c r="H126" s="74" t="n"/>
      <c r="I126" s="75" t="n"/>
    </row>
    <row r="127" ht="15" customHeight="1">
      <c r="A127" s="73" t="n"/>
      <c r="B127" s="74" t="n"/>
      <c r="C127" s="74" t="n"/>
      <c r="D127" s="74" t="n"/>
      <c r="E127" s="74" t="n"/>
      <c r="F127" s="74" t="n"/>
      <c r="G127" s="74" t="n"/>
      <c r="H127" s="74" t="n"/>
      <c r="I127" s="75" t="n"/>
    </row>
    <row r="128" ht="15" customHeight="1">
      <c r="A128" s="73" t="n"/>
      <c r="B128" s="74" t="n"/>
      <c r="C128" s="74" t="n"/>
      <c r="D128" s="74" t="n"/>
      <c r="E128" s="74" t="n"/>
      <c r="F128" s="74" t="n"/>
      <c r="G128" s="74" t="n"/>
      <c r="H128" s="74" t="n"/>
      <c r="I128" s="75" t="n"/>
    </row>
    <row r="129" ht="15" customHeight="1">
      <c r="A129" s="73" t="n"/>
      <c r="B129" s="74" t="n"/>
      <c r="C129" s="74" t="n"/>
      <c r="D129" s="74" t="n"/>
      <c r="E129" s="74" t="n"/>
      <c r="F129" s="74" t="n"/>
      <c r="G129" s="74" t="n"/>
      <c r="H129" s="74" t="n"/>
      <c r="I129" s="75" t="n"/>
    </row>
    <row r="130" ht="15" customHeight="1">
      <c r="A130" s="73" t="n"/>
      <c r="B130" s="74" t="n"/>
      <c r="C130" s="74" t="n"/>
      <c r="D130" s="74" t="n"/>
      <c r="E130" s="74" t="n"/>
      <c r="F130" s="74" t="n"/>
      <c r="G130" s="74" t="n"/>
      <c r="H130" s="74" t="n"/>
      <c r="I130" s="75" t="n"/>
    </row>
    <row r="131" ht="15" customHeight="1">
      <c r="A131" s="73" t="n"/>
      <c r="B131" s="74" t="n"/>
      <c r="C131" s="74" t="n"/>
      <c r="D131" s="74" t="n"/>
      <c r="E131" s="74" t="n"/>
      <c r="F131" s="74" t="n"/>
      <c r="G131" s="74" t="n"/>
      <c r="H131" s="74" t="n"/>
      <c r="I131" s="75" t="n"/>
    </row>
    <row r="132" ht="15" customHeight="1">
      <c r="A132" s="73" t="n"/>
      <c r="B132" s="74" t="n"/>
      <c r="C132" s="74" t="n"/>
      <c r="D132" s="74" t="n"/>
      <c r="E132" s="74" t="n"/>
      <c r="F132" s="74" t="n"/>
      <c r="G132" s="74" t="n"/>
      <c r="H132" s="74" t="n"/>
      <c r="I132" s="75" t="n"/>
    </row>
    <row r="133" ht="15" customHeight="1">
      <c r="A133" s="73" t="n"/>
      <c r="B133" s="74" t="n"/>
      <c r="C133" s="74" t="n"/>
      <c r="D133" s="74" t="n"/>
      <c r="E133" s="74" t="n"/>
      <c r="F133" s="74" t="n"/>
      <c r="G133" s="74" t="n"/>
      <c r="H133" s="74" t="n"/>
      <c r="I133" s="75" t="n"/>
    </row>
    <row r="134" ht="15" customHeight="1">
      <c r="A134" s="73" t="n"/>
      <c r="B134" s="74" t="n"/>
      <c r="C134" s="74" t="n"/>
      <c r="D134" s="74" t="n"/>
      <c r="E134" s="74" t="n"/>
      <c r="F134" s="74" t="n"/>
      <c r="G134" s="74" t="n"/>
      <c r="H134" s="74" t="n"/>
      <c r="I134" s="75" t="n"/>
    </row>
    <row r="135" ht="15" customHeight="1">
      <c r="A135" s="73" t="n"/>
      <c r="B135" s="74" t="n"/>
      <c r="C135" s="74" t="n"/>
      <c r="D135" s="74" t="n"/>
      <c r="E135" s="74" t="n"/>
      <c r="F135" s="74" t="n"/>
      <c r="G135" s="74" t="n"/>
      <c r="H135" s="74" t="n"/>
      <c r="I135" s="75" t="n"/>
    </row>
    <row r="136" ht="15" customHeight="1">
      <c r="A136" s="73" t="n"/>
      <c r="B136" s="74" t="n"/>
      <c r="C136" s="74" t="n"/>
      <c r="D136" s="74" t="n"/>
      <c r="E136" s="74" t="n"/>
      <c r="F136" s="74" t="n"/>
      <c r="G136" s="74" t="n"/>
      <c r="H136" s="74" t="n"/>
      <c r="I136" s="75" t="n"/>
    </row>
    <row r="137" ht="15" customHeight="1" thickBot="1">
      <c r="A137" s="73" t="n"/>
      <c r="B137" s="74" t="n"/>
      <c r="C137" s="74" t="n"/>
      <c r="D137" s="74" t="n"/>
      <c r="E137" s="74" t="n"/>
      <c r="F137" s="74" t="n"/>
      <c r="G137" s="74" t="n"/>
      <c r="H137" s="74" t="n"/>
      <c r="I137" s="75" t="n"/>
      <c r="J137" s="8" t="n"/>
    </row>
    <row r="138" ht="15" customHeight="1">
      <c r="A138" s="73" t="n"/>
      <c r="B138" s="74" t="n"/>
      <c r="C138" s="74" t="n"/>
      <c r="D138" s="74" t="n"/>
      <c r="E138" s="74" t="n"/>
      <c r="F138" s="74" t="n"/>
      <c r="G138" s="74" t="n"/>
      <c r="H138" s="74" t="n"/>
      <c r="I138" s="75" t="n"/>
    </row>
    <row r="139" ht="15" customHeight="1">
      <c r="A139" s="73" t="n"/>
      <c r="B139" s="74" t="n"/>
      <c r="C139" s="74" t="n"/>
      <c r="D139" s="74" t="n"/>
      <c r="E139" s="74" t="n"/>
      <c r="F139" s="74" t="n"/>
      <c r="G139" s="74" t="n"/>
      <c r="H139" s="74" t="n"/>
      <c r="I139" s="75" t="n"/>
    </row>
    <row r="140" ht="15" customHeight="1">
      <c r="A140" s="73" t="n"/>
      <c r="B140" s="74" t="n"/>
      <c r="C140" s="74" t="n"/>
      <c r="D140" s="74" t="n"/>
      <c r="E140" s="74" t="n"/>
      <c r="F140" s="74" t="n"/>
      <c r="G140" s="74" t="n"/>
      <c r="H140" s="74" t="n"/>
      <c r="I140" s="75" t="n"/>
    </row>
    <row r="141" ht="15" customHeight="1">
      <c r="A141" s="73" t="n"/>
      <c r="B141" s="74" t="n"/>
      <c r="C141" s="74" t="n"/>
      <c r="D141" s="74" t="n"/>
      <c r="E141" s="74" t="n"/>
      <c r="F141" s="74" t="n"/>
      <c r="G141" s="74" t="n"/>
      <c r="H141" s="74" t="n"/>
      <c r="I141" s="75" t="n"/>
    </row>
    <row r="142" ht="15" customHeight="1">
      <c r="A142" s="73" t="n"/>
      <c r="B142" s="74" t="n"/>
      <c r="C142" s="74" t="n"/>
      <c r="D142" s="74" t="n"/>
      <c r="E142" s="74" t="n"/>
      <c r="F142" s="74" t="n"/>
      <c r="G142" s="74" t="n"/>
      <c r="H142" s="74" t="n"/>
      <c r="I142" s="75" t="n"/>
    </row>
    <row r="143" ht="15" customHeight="1">
      <c r="A143" s="73" t="n"/>
      <c r="B143" s="74" t="n"/>
      <c r="C143" s="74" t="n"/>
      <c r="D143" s="74" t="n"/>
      <c r="E143" s="74" t="n"/>
      <c r="F143" s="74" t="n"/>
      <c r="G143" s="74" t="n"/>
      <c r="H143" s="74" t="n"/>
      <c r="I143" s="75" t="n"/>
    </row>
    <row r="144" ht="15.95" customHeight="1">
      <c r="A144" s="73" t="n"/>
      <c r="B144" s="74" t="n"/>
      <c r="C144" s="74" t="n"/>
      <c r="D144" s="74" t="n"/>
      <c r="E144" s="74" t="n"/>
      <c r="F144" s="74" t="n"/>
      <c r="G144" s="74" t="n"/>
      <c r="H144" s="74" t="n"/>
      <c r="I144" s="75" t="n"/>
    </row>
    <row r="145" ht="30.75" customHeight="1">
      <c r="A145" s="218" t="n"/>
      <c r="E145" s="220" t="n"/>
      <c r="I145" s="271" t="n"/>
    </row>
    <row r="146">
      <c r="A146" s="64" t="n"/>
      <c r="I146" s="65"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I180" s="65" t="n"/>
    </row>
    <row r="181">
      <c r="A181" s="64" t="n"/>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ht="15.95" customHeight="1" thickBot="1">
      <c r="A199" s="59" t="n"/>
      <c r="B199" s="60" t="n"/>
      <c r="C199" s="60" t="n"/>
      <c r="D199" s="60" t="n"/>
      <c r="E199" s="60" t="n"/>
      <c r="F199" s="60" t="n"/>
      <c r="G199" s="60" t="n"/>
      <c r="H199" s="60" t="n"/>
      <c r="I199" s="61" t="n"/>
    </row>
    <row r="200">
      <c r="A200" s="64" t="n"/>
      <c r="I200" s="65" t="n"/>
    </row>
    <row r="201">
      <c r="A201" s="64" t="n"/>
      <c r="I201" s="65" t="n"/>
    </row>
    <row r="202">
      <c r="A202" s="64" t="n"/>
      <c r="I202" s="65" t="n"/>
    </row>
    <row r="203">
      <c r="A203" s="64" t="n"/>
      <c r="I203" s="65" t="n"/>
    </row>
    <row r="204">
      <c r="A204" s="64" t="n"/>
      <c r="I204" s="65" t="n"/>
    </row>
    <row r="205">
      <c r="A205" s="64" t="n"/>
      <c r="I205" s="65" t="n"/>
    </row>
    <row r="206" ht="15.95" customHeight="1" thickBot="1">
      <c r="A206" s="59" t="n"/>
      <c r="B206" s="60" t="n"/>
      <c r="C206" s="60" t="n"/>
      <c r="D206" s="60" t="n"/>
      <c r="E206" s="60" t="n"/>
      <c r="F206" s="60" t="n"/>
      <c r="G206" s="60" t="n"/>
      <c r="H206" s="60" t="n"/>
      <c r="I206" s="61" t="n"/>
    </row>
  </sheetData>
  <mergeCells count="40">
    <mergeCell ref="C61:I61"/>
    <mergeCell ref="A65:I65"/>
    <mergeCell ref="D13:F13"/>
    <mergeCell ref="A54:I54"/>
    <mergeCell ref="G13:I13"/>
    <mergeCell ref="B8:D8"/>
    <mergeCell ref="A66:I66"/>
    <mergeCell ref="B46:C46"/>
    <mergeCell ref="B59:I59"/>
    <mergeCell ref="A12:I12"/>
    <mergeCell ref="C57:I57"/>
    <mergeCell ref="D47:I47"/>
    <mergeCell ref="B56:I56"/>
    <mergeCell ref="A5:I5"/>
    <mergeCell ref="B9:D9"/>
    <mergeCell ref="C62:I62"/>
    <mergeCell ref="B6:D6"/>
    <mergeCell ref="C58:I58"/>
    <mergeCell ref="B44:C44"/>
    <mergeCell ref="A13:C13"/>
    <mergeCell ref="A68:I68"/>
    <mergeCell ref="A10:I10"/>
    <mergeCell ref="A1:I4"/>
    <mergeCell ref="C64:I64"/>
    <mergeCell ref="A47:B47"/>
    <mergeCell ref="A67:I67"/>
    <mergeCell ref="D44:I44"/>
    <mergeCell ref="B7:D7"/>
    <mergeCell ref="C63:I63"/>
    <mergeCell ref="A48:I48"/>
    <mergeCell ref="A50:I53"/>
    <mergeCell ref="A73:I73"/>
    <mergeCell ref="A11:I11"/>
    <mergeCell ref="D46:I46"/>
    <mergeCell ref="B55:I55"/>
    <mergeCell ref="A60:I60"/>
    <mergeCell ref="A145:D145"/>
    <mergeCell ref="B45:C45"/>
    <mergeCell ref="D45:I45"/>
    <mergeCell ref="E145:I145"/>
  </mergeCells>
  <printOptions horizontalCentered="1"/>
  <pageMargins left="0.2362204724409449" right="0.2362204724409449" top="0.7480314960629921" bottom="0.7480314960629921" header="0.3149606299212598" footer="0.3149606299212598"/>
  <pageSetup orientation="portrait" paperSize="9" scale="33" fitToHeight="0"/>
</worksheet>
</file>

<file path=xl/worksheets/sheet7.xml><?xml version="1.0" encoding="utf-8"?>
<worksheet xmlns="http://schemas.openxmlformats.org/spreadsheetml/2006/main">
  <sheetPr>
    <outlinePr summaryBelow="1" summaryRight="1"/>
    <pageSetUpPr fitToPage="1"/>
  </sheetPr>
  <dimension ref="A1:J206"/>
  <sheetViews>
    <sheetView topLeftCell="A54" zoomScale="70" zoomScaleNormal="70" workbookViewId="0">
      <selection activeCell="E21" sqref="A21:E21"/>
    </sheetView>
  </sheetViews>
  <sheetFormatPr baseColWidth="8" defaultColWidth="9.140625" defaultRowHeight="14.45"/>
  <cols>
    <col width="62.140625" bestFit="1" customWidth="1" style="232" min="1" max="1"/>
    <col width="36.7109375" bestFit="1" customWidth="1" style="232" min="2" max="2"/>
    <col width="16" customWidth="1" style="232" min="3" max="3"/>
    <col width="28.710937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43"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170" t="inlineStr">
        <is>
          <t>TCD DAILY FIELD REPORT</t>
        </is>
      </c>
      <c r="B5" s="275" t="n"/>
      <c r="C5" s="275" t="n"/>
      <c r="D5" s="275" t="n"/>
      <c r="E5" s="275" t="n"/>
      <c r="F5" s="275" t="n"/>
      <c r="G5" s="275" t="n"/>
      <c r="H5" s="275" t="n"/>
      <c r="I5" s="276" t="n"/>
    </row>
    <row r="6" ht="23.1" customHeight="1">
      <c r="A6" s="49" t="inlineStr">
        <is>
          <t>Project Name:</t>
        </is>
      </c>
      <c r="B6" s="173" t="inlineStr">
        <is>
          <t>Batavia Station Square</t>
        </is>
      </c>
      <c r="E6" s="173" t="n"/>
      <c r="F6" s="51" t="n"/>
      <c r="G6" s="51" t="n"/>
      <c r="H6" s="52" t="inlineStr">
        <is>
          <t>Date:</t>
        </is>
      </c>
      <c r="I6" s="53" t="n">
        <v>45877</v>
      </c>
    </row>
    <row r="7" ht="23.1" customHeight="1">
      <c r="A7" s="49" t="inlineStr">
        <is>
          <t>Project Location:</t>
        </is>
      </c>
      <c r="B7" s="173" t="inlineStr">
        <is>
          <t>Geraldton</t>
        </is>
      </c>
      <c r="E7" s="173" t="n"/>
      <c r="F7" s="51" t="n"/>
      <c r="G7" s="51" t="n"/>
      <c r="H7" s="54" t="inlineStr">
        <is>
          <t>Day:</t>
        </is>
      </c>
      <c r="I7" s="55">
        <f>I6</f>
        <v/>
      </c>
    </row>
    <row r="8" ht="23.1" customHeight="1">
      <c r="A8" s="49" t="inlineStr">
        <is>
          <t>Project Number:</t>
        </is>
      </c>
      <c r="B8" s="173" t="inlineStr">
        <is>
          <t>TCD-1816</t>
        </is>
      </c>
      <c r="E8" s="173" t="n"/>
      <c r="F8" s="51" t="n"/>
      <c r="G8" s="51" t="n"/>
      <c r="H8" s="54" t="inlineStr">
        <is>
          <t>Start:</t>
        </is>
      </c>
      <c r="I8" s="56" t="n">
        <v>0.2916666666666667</v>
      </c>
    </row>
    <row r="9" ht="23.1" customHeight="1">
      <c r="A9" s="49" t="inlineStr">
        <is>
          <t>Report Number:</t>
        </is>
      </c>
      <c r="B9" s="159" t="n">
        <v>75</v>
      </c>
      <c r="C9" s="273" t="n"/>
      <c r="D9" s="273" t="n"/>
      <c r="E9" s="160" t="n"/>
      <c r="F9" s="58" t="n"/>
      <c r="G9" s="58" t="n"/>
      <c r="H9" s="54" t="inlineStr">
        <is>
          <t>Finish:</t>
        </is>
      </c>
      <c r="I9" s="56" t="n">
        <v>0.7083333333333334</v>
      </c>
    </row>
    <row r="10" ht="24.95" customHeight="1">
      <c r="A10" s="230" t="inlineStr">
        <is>
          <t>WEATHER &amp; GROUND CONDITIONS</t>
        </is>
      </c>
      <c r="B10" s="275" t="n"/>
      <c r="C10" s="275" t="n"/>
      <c r="D10" s="275" t="n"/>
      <c r="E10" s="275" t="n"/>
      <c r="F10" s="275" t="n"/>
      <c r="G10" s="275" t="n"/>
      <c r="H10" s="275" t="n"/>
      <c r="I10" s="277" t="n"/>
    </row>
    <row r="11" ht="23.1" customHeight="1">
      <c r="A11" s="242" t="inlineStr">
        <is>
          <t xml:space="preserve">Temperature: 19 degrees    Wind: 61 km/h SW Precip: 2.8 (6.4mm Sunday) mm </t>
        </is>
      </c>
      <c r="B11" s="275" t="n"/>
      <c r="C11" s="275" t="n"/>
      <c r="D11" s="275" t="n"/>
      <c r="E11" s="275" t="n"/>
      <c r="F11" s="275" t="n"/>
      <c r="G11" s="275" t="n"/>
      <c r="H11" s="275" t="n"/>
      <c r="I11" s="277" t="n"/>
      <c r="J11" t="inlineStr">
        <is>
          <t>0.0 mm</t>
        </is>
      </c>
    </row>
    <row r="12" ht="24.95" customHeight="1">
      <c r="A12" s="231" t="inlineStr">
        <is>
          <t>PERSONNEL</t>
        </is>
      </c>
      <c r="B12" s="278" t="n"/>
      <c r="C12" s="278" t="n"/>
      <c r="D12" s="278" t="n"/>
      <c r="E12" s="278" t="n"/>
      <c r="F12" s="278" t="n"/>
      <c r="G12" s="278" t="n"/>
      <c r="H12" s="278" t="n"/>
      <c r="I12" s="279" t="n"/>
    </row>
    <row r="13" ht="23.1" customHeight="1">
      <c r="A13" s="183" t="inlineStr">
        <is>
          <t>TCD Indirects</t>
        </is>
      </c>
      <c r="B13" s="275" t="n"/>
      <c r="C13" s="276" t="n"/>
      <c r="D13" s="184" t="inlineStr">
        <is>
          <t>TCD Directs</t>
        </is>
      </c>
      <c r="E13" s="275" t="n"/>
      <c r="F13" s="276" t="n"/>
      <c r="G13" s="184" t="inlineStr">
        <is>
          <t>Subcontractors</t>
        </is>
      </c>
      <c r="H13" s="275" t="n"/>
      <c r="I13" s="276" t="n"/>
    </row>
    <row r="14" ht="24" customHeight="1">
      <c r="A14" s="183" t="inlineStr">
        <is>
          <t xml:space="preserve"> Name</t>
        </is>
      </c>
      <c r="B14" s="184" t="inlineStr">
        <is>
          <t>Position</t>
        </is>
      </c>
      <c r="C14" s="39" t="inlineStr">
        <is>
          <t>Hours</t>
        </is>
      </c>
      <c r="D14" s="184" t="inlineStr">
        <is>
          <t xml:space="preserve"> Name</t>
        </is>
      </c>
      <c r="E14" s="184" t="inlineStr">
        <is>
          <t>Position</t>
        </is>
      </c>
      <c r="F14" s="39" t="inlineStr">
        <is>
          <t>Hours</t>
        </is>
      </c>
      <c r="G14" s="184" t="inlineStr">
        <is>
          <t xml:space="preserve"> Name</t>
        </is>
      </c>
      <c r="H14" s="184" t="inlineStr">
        <is>
          <t>Position</t>
        </is>
      </c>
      <c r="I14" s="185" t="inlineStr">
        <is>
          <t>Hours</t>
        </is>
      </c>
    </row>
    <row r="15" ht="23.1" customHeight="1">
      <c r="A15" s="25" t="inlineStr">
        <is>
          <t>WATKINS, Steve</t>
        </is>
      </c>
      <c r="B15" s="26" t="inlineStr">
        <is>
          <t>Civil Manager</t>
        </is>
      </c>
      <c r="C15" s="40" t="n"/>
      <c r="D15" s="41" t="n"/>
      <c r="E15" s="41" t="n"/>
      <c r="F15" s="26" t="n"/>
      <c r="G15" s="42" t="inlineStr">
        <is>
          <t>Khegan Brockman</t>
        </is>
      </c>
      <c r="H15" s="26" t="inlineStr">
        <is>
          <t>Labourer</t>
        </is>
      </c>
      <c r="I15" s="28" t="n">
        <v>10</v>
      </c>
    </row>
    <row r="16" ht="23.1" customHeight="1">
      <c r="A16" s="25" t="inlineStr">
        <is>
          <t>GRIFFITHS, Daniel</t>
        </is>
      </c>
      <c r="B16" s="26" t="inlineStr">
        <is>
          <t>Project Manager</t>
        </is>
      </c>
      <c r="C16" s="27" t="n">
        <v>10</v>
      </c>
      <c r="D16" s="43" t="n"/>
      <c r="E16" s="43" t="n"/>
      <c r="F16" s="26" t="n"/>
      <c r="G16" s="42" t="inlineStr">
        <is>
          <t>Laurent Levy</t>
        </is>
      </c>
      <c r="H16" s="26" t="inlineStr">
        <is>
          <t>Operator</t>
        </is>
      </c>
      <c r="I16" s="28" t="n">
        <v>10</v>
      </c>
    </row>
    <row r="17" ht="23.1" customHeight="1">
      <c r="A17" s="25" t="inlineStr">
        <is>
          <t>O"SHEA, John</t>
        </is>
      </c>
      <c r="B17" s="26" t="inlineStr">
        <is>
          <t>Senior Project Engineer</t>
        </is>
      </c>
      <c r="C17" s="27" t="n"/>
      <c r="D17" s="43" t="n"/>
      <c r="E17" s="43" t="n"/>
      <c r="F17" s="26" t="n"/>
      <c r="G17" s="42" t="inlineStr">
        <is>
          <t>Daniel McAuffile</t>
        </is>
      </c>
      <c r="H17" s="26" t="inlineStr">
        <is>
          <t>Operator</t>
        </is>
      </c>
      <c r="I17" s="28" t="n">
        <v>10</v>
      </c>
    </row>
    <row r="18" ht="23.1" customHeight="1">
      <c r="A18" s="25" t="inlineStr">
        <is>
          <t>GRIFFITHS, Ashley</t>
        </is>
      </c>
      <c r="B18" s="26" t="inlineStr">
        <is>
          <t>Supervisor</t>
        </is>
      </c>
      <c r="C18" s="27" t="n">
        <v>10</v>
      </c>
      <c r="D18" s="41" t="n"/>
      <c r="E18" s="41" t="n"/>
      <c r="F18" s="26" t="n"/>
      <c r="G18" s="42" t="inlineStr">
        <is>
          <t>Jachai Griffiths</t>
        </is>
      </c>
      <c r="H18" s="26" t="inlineStr">
        <is>
          <t>Operator</t>
        </is>
      </c>
      <c r="I18" s="28" t="n">
        <v>10</v>
      </c>
    </row>
    <row r="19" ht="23.1" customHeight="1">
      <c r="A19" s="25" t="inlineStr">
        <is>
          <t>LOW, June</t>
        </is>
      </c>
      <c r="B19" s="26" t="inlineStr">
        <is>
          <t>HSET</t>
        </is>
      </c>
      <c r="C19" s="27" t="n"/>
      <c r="D19" s="41" t="n"/>
      <c r="E19" s="41" t="n"/>
      <c r="F19" s="26" t="n"/>
      <c r="G19" s="42" t="inlineStr">
        <is>
          <t>O'Brian, Jamie</t>
        </is>
      </c>
      <c r="H19" s="26" t="inlineStr">
        <is>
          <t>Operator</t>
        </is>
      </c>
      <c r="I19" s="28" t="n">
        <v>10</v>
      </c>
    </row>
    <row r="20" ht="23.1" customHeight="1">
      <c r="A20" s="25" t="n"/>
      <c r="B20" s="26" t="n"/>
      <c r="C20" s="27" t="n"/>
      <c r="D20" s="41" t="n"/>
      <c r="E20" s="41" t="n"/>
      <c r="F20" s="26" t="n"/>
      <c r="G20" s="42" t="inlineStr">
        <is>
          <t>Rixon, Ian</t>
        </is>
      </c>
      <c r="H20" s="26" t="inlineStr">
        <is>
          <t>Operator</t>
        </is>
      </c>
      <c r="I20" s="28" t="n">
        <v>10</v>
      </c>
    </row>
    <row r="21" ht="23.1" customHeight="1">
      <c r="A21" s="25" t="n"/>
      <c r="B21" s="26" t="n"/>
      <c r="C21" s="27" t="n"/>
      <c r="D21" s="41" t="n"/>
      <c r="E21" s="41" t="n"/>
      <c r="F21" s="26" t="n"/>
      <c r="G21" s="42" t="inlineStr">
        <is>
          <t>Goodwin, Noah</t>
        </is>
      </c>
      <c r="H21" s="26" t="inlineStr">
        <is>
          <t>Labourer</t>
        </is>
      </c>
      <c r="I21" s="28" t="n">
        <v>10</v>
      </c>
    </row>
    <row r="22" ht="23.1" customHeight="1">
      <c r="A22" s="25" t="n"/>
      <c r="B22" s="26" t="n"/>
      <c r="C22" s="27" t="n"/>
      <c r="D22" s="41" t="n"/>
      <c r="E22" s="41" t="n"/>
      <c r="F22" s="26" t="n"/>
      <c r="G22" s="42" t="inlineStr">
        <is>
          <t>Chester, Matt</t>
        </is>
      </c>
      <c r="H22" s="26" t="inlineStr">
        <is>
          <t>Gas Fitter</t>
        </is>
      </c>
      <c r="I22" s="28" t="n"/>
    </row>
    <row r="23" ht="23.1" customHeight="1">
      <c r="A23" s="25" t="n"/>
      <c r="B23" s="26" t="n"/>
      <c r="C23" s="27" t="n"/>
      <c r="D23" s="41" t="n"/>
      <c r="E23" s="41" t="n"/>
      <c r="F23" s="26" t="n"/>
      <c r="G23" s="42" t="inlineStr">
        <is>
          <t>Mounsey, Matt</t>
        </is>
      </c>
      <c r="H23" s="26" t="inlineStr">
        <is>
          <t>Gas Fitter</t>
        </is>
      </c>
      <c r="I23" s="28" t="n"/>
    </row>
    <row r="24" ht="23.1" customHeight="1">
      <c r="A24" s="25" t="n"/>
      <c r="B24" s="26" t="n"/>
      <c r="C24" s="27" t="n"/>
      <c r="D24" s="41" t="n"/>
      <c r="E24" s="41" t="n"/>
      <c r="F24" s="26" t="n"/>
      <c r="G24" s="42" t="inlineStr">
        <is>
          <t>Herring, Levin</t>
        </is>
      </c>
      <c r="H24" s="26" t="inlineStr">
        <is>
          <t>Gas Fitter</t>
        </is>
      </c>
      <c r="I24" s="28" t="n"/>
    </row>
    <row r="25" ht="23.1" customHeight="1">
      <c r="A25" s="25" t="n"/>
      <c r="B25" s="26" t="n"/>
      <c r="C25" s="27" t="n"/>
      <c r="D25" s="41" t="n"/>
      <c r="E25" s="41" t="n"/>
      <c r="F25" s="26" t="n"/>
      <c r="G25" s="44" t="n"/>
      <c r="H25" s="26" t="n"/>
      <c r="I25" s="28" t="n"/>
    </row>
    <row r="26" ht="23.1" customHeight="1">
      <c r="A26" s="239" t="inlineStr">
        <is>
          <t xml:space="preserve">Total Indirect Personnel onsite: </t>
        </is>
      </c>
      <c r="B26" s="45">
        <f>SUM(F15:F26)</f>
        <v/>
      </c>
      <c r="C26" s="41" t="n"/>
      <c r="D26" s="41" t="n"/>
      <c r="E26" s="41" t="n"/>
      <c r="F26" s="26" t="n"/>
      <c r="G26" s="194" t="inlineStr">
        <is>
          <t>Total Subcontractor on-site:</t>
        </is>
      </c>
      <c r="H26" s="46">
        <f>COUNTIF(I15:I25,"&gt;0")</f>
        <v/>
      </c>
      <c r="I26" s="28" t="n"/>
    </row>
    <row r="27" ht="23.1" customHeight="1">
      <c r="A27" s="239" t="inlineStr">
        <is>
          <t xml:space="preserve">Total Indirect Personnel hours: </t>
        </is>
      </c>
      <c r="B27" s="45">
        <f>SUM(C15:C25)</f>
        <v/>
      </c>
      <c r="C27" s="27" t="n"/>
      <c r="D27" s="41" t="n"/>
      <c r="E27" s="41" t="n"/>
      <c r="F27" s="26" t="n"/>
      <c r="G27" s="194" t="inlineStr">
        <is>
          <t>Total Subcontractor hours:</t>
        </is>
      </c>
      <c r="H27" s="46">
        <f>SUM(I15:I25)</f>
        <v/>
      </c>
      <c r="I27" s="28" t="n"/>
    </row>
    <row r="28" ht="23.1" customHeight="1">
      <c r="A28" s="239" t="inlineStr">
        <is>
          <t xml:space="preserve">Total Direct Personnel onsite:  </t>
        </is>
      </c>
      <c r="B28" s="45">
        <f>COUNTIF(F15:F29,"&gt;0")</f>
        <v/>
      </c>
      <c r="C28" s="45" t="n"/>
      <c r="D28" s="41" t="n"/>
      <c r="E28" s="41" t="n"/>
      <c r="F28" s="47" t="n"/>
      <c r="G28" s="194" t="n"/>
      <c r="H28" s="46" t="n"/>
      <c r="I28" s="238" t="n"/>
    </row>
    <row r="29" ht="23.1" customHeight="1">
      <c r="A29" s="239" t="inlineStr">
        <is>
          <t xml:space="preserve">Total Direct Personnel hours: </t>
        </is>
      </c>
      <c r="B29" s="45">
        <f>SUM(F15:F29)</f>
        <v/>
      </c>
      <c r="C29" s="45" t="n"/>
      <c r="D29" s="45" t="n"/>
      <c r="E29" s="45" t="n"/>
      <c r="F29" s="45" t="n"/>
      <c r="G29" s="45" t="n"/>
      <c r="H29" s="45" t="n"/>
      <c r="I29" s="238" t="n"/>
    </row>
    <row r="30" ht="24.95" customHeight="1">
      <c r="A30" s="10" t="inlineStr">
        <is>
          <t>PLANT &amp; EQUIPMENT</t>
        </is>
      </c>
      <c r="B30" s="1" t="n"/>
      <c r="C30" s="1" t="n"/>
      <c r="D30" s="1" t="n"/>
      <c r="E30" s="1" t="n"/>
      <c r="F30" s="1" t="n"/>
      <c r="G30" s="1" t="n"/>
      <c r="H30" s="1" t="n"/>
      <c r="I30" s="2" t="n"/>
    </row>
    <row r="31" ht="24" customHeight="1">
      <c r="A31" s="183" t="inlineStr">
        <is>
          <t>Plant</t>
        </is>
      </c>
      <c r="B31" s="184" t="inlineStr">
        <is>
          <t>ID</t>
        </is>
      </c>
      <c r="C31" s="184" t="inlineStr">
        <is>
          <t>Hours</t>
        </is>
      </c>
      <c r="D31" s="184" t="inlineStr">
        <is>
          <t xml:space="preserve"> Vehicles</t>
        </is>
      </c>
      <c r="E31" s="184" t="inlineStr">
        <is>
          <t>ID</t>
        </is>
      </c>
      <c r="F31" s="184" t="inlineStr">
        <is>
          <t>QTY</t>
        </is>
      </c>
      <c r="G31" s="23" t="inlineStr">
        <is>
          <t>Site Facilities</t>
        </is>
      </c>
      <c r="H31" s="23" t="inlineStr">
        <is>
          <t>ID</t>
        </is>
      </c>
      <c r="I31" s="24" t="inlineStr">
        <is>
          <t>Qty</t>
        </is>
      </c>
    </row>
    <row r="32" ht="23.1" customHeight="1">
      <c r="A32" s="25" t="inlineStr">
        <is>
          <t>Komatsu WA320</t>
        </is>
      </c>
      <c r="B32" s="26" t="inlineStr">
        <is>
          <t>FWL18</t>
        </is>
      </c>
      <c r="C32" s="26" t="n">
        <v>5</v>
      </c>
      <c r="D32" s="27" t="inlineStr">
        <is>
          <t>Hilux</t>
        </is>
      </c>
      <c r="E32" s="27" t="inlineStr">
        <is>
          <t>DLV90</t>
        </is>
      </c>
      <c r="F32" s="27" t="n">
        <v>1</v>
      </c>
      <c r="G32" s="27" t="inlineStr">
        <is>
          <t>Office 40ft</t>
        </is>
      </c>
      <c r="H32" s="27" t="n">
        <v>9255540</v>
      </c>
      <c r="I32" s="28" t="n">
        <v>1</v>
      </c>
    </row>
    <row r="33" ht="23.1" customHeight="1">
      <c r="A33" s="25" t="inlineStr">
        <is>
          <t>Wacker Neuson DPU</t>
        </is>
      </c>
      <c r="B33" s="26" t="inlineStr">
        <is>
          <t>DPC15</t>
        </is>
      </c>
      <c r="C33" s="26" t="n"/>
      <c r="D33" s="27" t="inlineStr">
        <is>
          <t>6 Wheel Tipper</t>
        </is>
      </c>
      <c r="E33" s="27" t="inlineStr">
        <is>
          <t>AMG04</t>
        </is>
      </c>
      <c r="F33" s="27" t="n"/>
      <c r="G33" s="27" t="inlineStr">
        <is>
          <t>Sea Container 20ft</t>
        </is>
      </c>
      <c r="H33" s="26" t="n">
        <v>951200</v>
      </c>
      <c r="I33" s="28" t="n">
        <v>1</v>
      </c>
    </row>
    <row r="34" ht="23.1" customHeight="1">
      <c r="A34" s="29" t="inlineStr">
        <is>
          <t>Positrak</t>
        </is>
      </c>
      <c r="B34" s="27" t="inlineStr">
        <is>
          <t>AMG 025</t>
        </is>
      </c>
      <c r="C34" s="26" t="n">
        <v>10</v>
      </c>
      <c r="D34" s="27" t="n"/>
      <c r="E34" s="26" t="n"/>
      <c r="F34" s="27" t="n"/>
      <c r="G34" s="27" t="inlineStr">
        <is>
          <t>Site Sentry Tower</t>
        </is>
      </c>
      <c r="H34" s="27" t="n"/>
      <c r="I34" s="28" t="n">
        <v>2</v>
      </c>
    </row>
    <row r="35" ht="23.1" customHeight="1">
      <c r="A35" s="29" t="inlineStr">
        <is>
          <t>Watercart</t>
        </is>
      </c>
      <c r="B35" s="27" t="inlineStr">
        <is>
          <t>WC04</t>
        </is>
      </c>
      <c r="C35" s="26" t="n">
        <v>5</v>
      </c>
      <c r="D35" s="27" t="n"/>
      <c r="E35" s="27" t="n"/>
      <c r="F35" s="27" t="n"/>
      <c r="G35" s="27" t="inlineStr">
        <is>
          <t>Skip Bin</t>
        </is>
      </c>
      <c r="H35" s="27" t="n"/>
      <c r="I35" s="28" t="n">
        <v>1</v>
      </c>
    </row>
    <row r="36" ht="23.1" customHeight="1">
      <c r="A36" s="29" t="inlineStr">
        <is>
          <t>8T Excavator</t>
        </is>
      </c>
      <c r="B36" s="30" t="inlineStr">
        <is>
          <t>AMG 014</t>
        </is>
      </c>
      <c r="C36" s="26" t="n">
        <v>10</v>
      </c>
      <c r="D36" s="27" t="n"/>
      <c r="E36" s="27" t="n"/>
      <c r="F36" s="27" t="n"/>
      <c r="G36" s="27" t="inlineStr">
        <is>
          <t>Hydrocarbon Bund</t>
        </is>
      </c>
      <c r="H36" s="27" t="n"/>
      <c r="I36" s="28" t="n">
        <v>1</v>
      </c>
    </row>
    <row r="37" ht="23.1" customHeight="1">
      <c r="A37" s="27" t="inlineStr">
        <is>
          <t>6 Wheel Tipper</t>
        </is>
      </c>
      <c r="B37" s="27" t="inlineStr">
        <is>
          <t>AMG 008</t>
        </is>
      </c>
      <c r="C37" s="27" t="n"/>
      <c r="D37" s="27" t="n"/>
      <c r="E37" s="27" t="n"/>
      <c r="F37" s="27" t="n"/>
      <c r="G37" s="27" t="inlineStr">
        <is>
          <t>Temp Fence</t>
        </is>
      </c>
      <c r="H37" s="26" t="n"/>
      <c r="I37" s="28" t="n">
        <v>1</v>
      </c>
    </row>
    <row r="38" ht="24" customHeight="1">
      <c r="A38" s="29" t="inlineStr">
        <is>
          <t>Padfoot/ Smooth Drum Roller</t>
        </is>
      </c>
      <c r="B38" s="27" t="inlineStr">
        <is>
          <t>RR 03</t>
        </is>
      </c>
      <c r="C38" s="26" t="n"/>
      <c r="D38" s="27" t="n"/>
      <c r="E38" s="27" t="n"/>
      <c r="F38" s="27" t="n"/>
      <c r="G38" s="31" t="n"/>
      <c r="H38" s="31" t="n"/>
      <c r="I38" s="32" t="n"/>
    </row>
    <row r="39" ht="24" customHeight="1">
      <c r="A39" s="29" t="inlineStr">
        <is>
          <t>Positrak SSL</t>
        </is>
      </c>
      <c r="B39" s="27" t="inlineStr">
        <is>
          <t>SSL08</t>
        </is>
      </c>
      <c r="C39" s="26" t="n">
        <v>10</v>
      </c>
      <c r="D39" s="27" t="n"/>
      <c r="E39" s="27" t="n"/>
      <c r="F39" s="27" t="n"/>
      <c r="G39" s="31" t="n"/>
      <c r="H39" s="31" t="n"/>
      <c r="I39" s="32" t="n"/>
    </row>
    <row r="40" ht="23.1" customHeight="1">
      <c r="A40" s="29" t="inlineStr">
        <is>
          <t>Grader</t>
        </is>
      </c>
      <c r="B40" s="27" t="inlineStr">
        <is>
          <t>SLS01</t>
        </is>
      </c>
      <c r="C40" s="26" t="n"/>
      <c r="D40" s="27" t="n"/>
      <c r="E40" s="27" t="n"/>
      <c r="F40" s="27" t="n"/>
      <c r="G40" s="27" t="n"/>
      <c r="H40" s="26" t="n"/>
      <c r="I40" s="28" t="n"/>
    </row>
    <row r="41" ht="23.1" customHeight="1">
      <c r="A41" s="29" t="inlineStr">
        <is>
          <t>5t Excavator</t>
        </is>
      </c>
      <c r="B41" s="27" t="inlineStr">
        <is>
          <t>AMG 007</t>
        </is>
      </c>
      <c r="C41" s="26" t="n">
        <v>10</v>
      </c>
      <c r="D41" s="27" t="n"/>
      <c r="E41" s="27" t="n"/>
      <c r="F41" s="27" t="n"/>
      <c r="G41" s="27" t="n"/>
      <c r="H41" s="26" t="n"/>
      <c r="I41" s="28" t="n"/>
    </row>
    <row r="42" ht="23.1" customHeight="1">
      <c r="A42" s="29" t="inlineStr">
        <is>
          <t>1.5 Excavator</t>
        </is>
      </c>
      <c r="B42" s="27" t="inlineStr">
        <is>
          <t>AMG 009</t>
        </is>
      </c>
      <c r="C42" s="26" t="n">
        <v>10</v>
      </c>
      <c r="D42" s="27" t="n"/>
      <c r="E42" s="27" t="n"/>
      <c r="F42" s="27" t="n"/>
      <c r="G42" s="27" t="n"/>
      <c r="H42" s="26" t="n"/>
      <c r="I42" s="28" t="n"/>
    </row>
    <row r="43" ht="24" customHeight="1">
      <c r="A43" s="29" t="n"/>
      <c r="B43" s="27" t="n"/>
      <c r="C43" s="26" t="n"/>
      <c r="D43" s="31" t="n"/>
      <c r="E43" s="31" t="n"/>
      <c r="F43" s="31" t="n"/>
      <c r="G43" s="31" t="n"/>
      <c r="H43" s="31" t="n"/>
      <c r="I43" s="32" t="n"/>
    </row>
    <row r="44" ht="18" customHeight="1">
      <c r="A44" s="33" t="n">
        <v>0</v>
      </c>
      <c r="B44" s="186" t="inlineStr">
        <is>
          <t xml:space="preserve">Repairs Required </t>
        </is>
      </c>
      <c r="C44" s="276" t="n"/>
      <c r="D44" s="233" t="inlineStr">
        <is>
          <t>N/A</t>
        </is>
      </c>
      <c r="E44" s="275" t="n"/>
      <c r="F44" s="275" t="n"/>
      <c r="G44" s="275" t="n"/>
      <c r="H44" s="275" t="n"/>
      <c r="I44" s="277" t="n"/>
    </row>
    <row r="45" ht="18" customHeight="1">
      <c r="A45" s="34" t="n">
        <v>0</v>
      </c>
      <c r="B45" s="186" t="inlineStr">
        <is>
          <t>Scheduled Service</t>
        </is>
      </c>
      <c r="C45" s="276" t="n"/>
      <c r="D45" s="233" t="inlineStr">
        <is>
          <t>N/A</t>
        </is>
      </c>
      <c r="E45" s="275" t="n"/>
      <c r="F45" s="275" t="n"/>
      <c r="G45" s="275" t="n"/>
      <c r="H45" s="275" t="n"/>
      <c r="I45" s="277" t="n"/>
    </row>
    <row r="46" ht="18" customHeight="1">
      <c r="A46" s="35" t="n">
        <v>0</v>
      </c>
      <c r="B46" s="186" t="inlineStr">
        <is>
          <t>Repairs required but operable</t>
        </is>
      </c>
      <c r="C46" s="276" t="n"/>
      <c r="D46" s="233" t="inlineStr">
        <is>
          <t>N/A</t>
        </is>
      </c>
      <c r="E46" s="275" t="n"/>
      <c r="F46" s="275" t="n"/>
      <c r="G46" s="275" t="n"/>
      <c r="H46" s="275" t="n"/>
      <c r="I46" s="277" t="n"/>
    </row>
    <row r="47" ht="23.1" customHeight="1">
      <c r="A47" s="239" t="inlineStr">
        <is>
          <t xml:space="preserve">Total Plant and Equipment Hours: </t>
        </is>
      </c>
      <c r="B47" s="276" t="n"/>
      <c r="C47" s="195">
        <f>SUM(C32:C43)</f>
        <v/>
      </c>
      <c r="D47" s="185" t="n"/>
      <c r="E47" s="275" t="n"/>
      <c r="F47" s="275" t="n"/>
      <c r="G47" s="275" t="n"/>
      <c r="H47" s="275" t="n"/>
      <c r="I47" s="277" t="n"/>
    </row>
    <row r="48" ht="24.95" customHeight="1">
      <c r="A48" s="230" t="inlineStr">
        <is>
          <t>DELAYS-OPPORTUNITY</t>
        </is>
      </c>
      <c r="B48" s="275" t="n"/>
      <c r="C48" s="275" t="n"/>
      <c r="D48" s="275" t="n"/>
      <c r="E48" s="275" t="n"/>
      <c r="F48" s="275" t="n"/>
      <c r="G48" s="275" t="n"/>
      <c r="H48" s="275" t="n"/>
      <c r="I48" s="277" t="n"/>
    </row>
    <row r="49" ht="20.1" customHeight="1">
      <c r="A49" s="5" t="n"/>
      <c r="B49" s="6" t="n"/>
      <c r="C49" s="6" t="n"/>
      <c r="D49" s="6" t="n"/>
      <c r="E49" s="6" t="n"/>
      <c r="F49" s="6" t="n"/>
      <c r="G49" s="6" t="n"/>
      <c r="H49" s="6" t="n"/>
      <c r="I49" s="7" t="n"/>
    </row>
    <row r="50">
      <c r="A50" s="240" t="inlineStr">
        <is>
          <t>APRA Shutdown</t>
        </is>
      </c>
      <c r="B50" s="278" t="n"/>
      <c r="C50" s="278" t="n"/>
      <c r="D50" s="278" t="n"/>
      <c r="E50" s="278" t="n"/>
      <c r="F50" s="278" t="n"/>
      <c r="G50" s="278" t="n"/>
      <c r="H50" s="278" t="n"/>
      <c r="I50" s="279" t="n"/>
    </row>
    <row r="51">
      <c r="A51" s="270" t="n"/>
      <c r="I51" s="271" t="n"/>
    </row>
    <row r="52">
      <c r="A52" s="270" t="n"/>
      <c r="I52" s="271" t="n"/>
    </row>
    <row r="53" ht="13.5" customHeight="1" thickBot="1">
      <c r="A53" s="280" t="n"/>
      <c r="B53" s="281" t="n"/>
      <c r="C53" s="281" t="n"/>
      <c r="D53" s="281" t="n"/>
      <c r="E53" s="281" t="n"/>
      <c r="F53" s="281" t="n"/>
      <c r="G53" s="281" t="n"/>
      <c r="H53" s="281" t="n"/>
      <c r="I53" s="282" t="n"/>
    </row>
    <row r="54" ht="24.95" customHeight="1">
      <c r="A54" s="236" t="inlineStr">
        <is>
          <t>HSEQ MESSAGES</t>
        </is>
      </c>
      <c r="B54" s="283" t="n"/>
      <c r="C54" s="283" t="n"/>
      <c r="D54" s="283" t="n"/>
      <c r="E54" s="283" t="n"/>
      <c r="F54" s="283" t="n"/>
      <c r="G54" s="283" t="n"/>
      <c r="H54" s="283" t="n"/>
      <c r="I54" s="284" t="n"/>
    </row>
    <row r="55" ht="18" customHeight="1">
      <c r="A55" s="18" t="inlineStr">
        <is>
          <t>TCD - Monthly Safety Focus:</t>
        </is>
      </c>
      <c r="B55" s="211" t="inlineStr">
        <is>
          <t>Return to Work</t>
        </is>
      </c>
      <c r="C55" s="275" t="n"/>
      <c r="D55" s="275" t="n"/>
      <c r="E55" s="275" t="n"/>
      <c r="F55" s="275" t="n"/>
      <c r="G55" s="275" t="n"/>
      <c r="H55" s="275" t="n"/>
      <c r="I55" s="276" t="n"/>
    </row>
    <row r="56" ht="24" customHeight="1">
      <c r="A56" s="18" t="inlineStr">
        <is>
          <t>TCD - Daily Safety Focus:</t>
        </is>
      </c>
      <c r="B56" s="212" t="inlineStr">
        <is>
          <t>Simops</t>
        </is>
      </c>
      <c r="C56" s="275" t="n"/>
      <c r="D56" s="275" t="n"/>
      <c r="E56" s="275" t="n"/>
      <c r="F56" s="275" t="n"/>
      <c r="G56" s="275" t="n"/>
      <c r="H56" s="275" t="n"/>
      <c r="I56" s="277" t="n"/>
    </row>
    <row r="57" ht="18" customHeight="1">
      <c r="A57" s="19" t="inlineStr">
        <is>
          <t xml:space="preserve">Hazards Reported: </t>
        </is>
      </c>
      <c r="B57" s="20" t="inlineStr">
        <is>
          <t>Nil</t>
        </is>
      </c>
      <c r="C57" s="212" t="n"/>
      <c r="D57" s="275" t="n"/>
      <c r="E57" s="275" t="n"/>
      <c r="F57" s="275" t="n"/>
      <c r="G57" s="275" t="n"/>
      <c r="H57" s="275" t="n"/>
      <c r="I57" s="277" t="n"/>
    </row>
    <row r="58" ht="18" customHeight="1">
      <c r="A58" s="19" t="inlineStr">
        <is>
          <t>Incident Free Days</t>
        </is>
      </c>
      <c r="B58" s="20" t="n">
        <v>55</v>
      </c>
      <c r="C58" s="211" t="n"/>
      <c r="D58" s="275" t="n"/>
      <c r="E58" s="275" t="n"/>
      <c r="F58" s="275" t="n"/>
      <c r="G58" s="275" t="n"/>
      <c r="H58" s="275" t="n"/>
      <c r="I58" s="276" t="n"/>
    </row>
    <row r="59" ht="18" customHeight="1">
      <c r="A59" s="21" t="inlineStr">
        <is>
          <t>Other Notes</t>
        </is>
      </c>
      <c r="B59" s="241" t="n"/>
      <c r="C59" s="278" t="n"/>
      <c r="D59" s="278" t="n"/>
      <c r="E59" s="278" t="n"/>
      <c r="F59" s="278" t="n"/>
      <c r="G59" s="278" t="n"/>
      <c r="H59" s="278" t="n"/>
      <c r="I59" s="279" t="n"/>
    </row>
    <row r="60" ht="20.25" customHeight="1">
      <c r="A60" s="230" t="inlineStr">
        <is>
          <t xml:space="preserve">INCIDENTS &amp; REPORTS </t>
        </is>
      </c>
      <c r="B60" s="275" t="n"/>
      <c r="C60" s="275" t="n"/>
      <c r="D60" s="275" t="n"/>
      <c r="E60" s="275" t="n"/>
      <c r="F60" s="275" t="n"/>
      <c r="G60" s="275" t="n"/>
      <c r="H60" s="275" t="n"/>
      <c r="I60" s="277" t="n"/>
    </row>
    <row r="61" ht="24.95" customHeight="1">
      <c r="A61" s="11" t="n"/>
      <c r="B61" s="184" t="inlineStr">
        <is>
          <t>QTY</t>
        </is>
      </c>
      <c r="C61" s="238" t="inlineStr">
        <is>
          <t>Comments</t>
        </is>
      </c>
      <c r="D61" s="275" t="n"/>
      <c r="E61" s="275" t="n"/>
      <c r="F61" s="275" t="n"/>
      <c r="G61" s="275" t="n"/>
      <c r="H61" s="275" t="n"/>
      <c r="I61" s="277" t="n"/>
    </row>
    <row r="62" ht="24.95" customHeight="1">
      <c r="A62" s="13" t="inlineStr">
        <is>
          <t>INCIDENT</t>
        </is>
      </c>
      <c r="B62" s="184" t="n">
        <v>0</v>
      </c>
      <c r="C62" s="233" t="inlineStr">
        <is>
          <t>NA</t>
        </is>
      </c>
      <c r="D62" s="275" t="n"/>
      <c r="E62" s="275" t="n"/>
      <c r="F62" s="275" t="n"/>
      <c r="G62" s="275" t="n"/>
      <c r="H62" s="275" t="n"/>
      <c r="I62" s="277" t="n"/>
    </row>
    <row r="63" ht="24.95" customHeight="1">
      <c r="A63" s="14" t="inlineStr">
        <is>
          <t>IR</t>
        </is>
      </c>
      <c r="B63" s="15" t="n">
        <v>0</v>
      </c>
      <c r="C63" s="234" t="inlineStr">
        <is>
          <t>NA</t>
        </is>
      </c>
      <c r="D63" s="278" t="n"/>
      <c r="E63" s="278" t="n"/>
      <c r="F63" s="278" t="n"/>
      <c r="G63" s="278" t="n"/>
      <c r="H63" s="278" t="n"/>
      <c r="I63" s="279" t="n"/>
    </row>
    <row r="64" ht="24.95" customHeight="1" thickBot="1">
      <c r="A64" s="16" t="inlineStr">
        <is>
          <t>NCR</t>
        </is>
      </c>
      <c r="B64" s="17" t="n">
        <v>0</v>
      </c>
      <c r="C64" s="235" t="inlineStr">
        <is>
          <t>NA</t>
        </is>
      </c>
      <c r="D64" s="285" t="n"/>
      <c r="E64" s="285" t="n"/>
      <c r="F64" s="285" t="n"/>
      <c r="G64" s="285" t="n"/>
      <c r="H64" s="285" t="n"/>
      <c r="I64" s="286" t="n"/>
    </row>
    <row r="65" ht="20.25" customHeight="1">
      <c r="A65" s="236" t="inlineStr">
        <is>
          <t>COMMUNICATIONS</t>
        </is>
      </c>
      <c r="B65" s="283" t="n"/>
      <c r="C65" s="283" t="n"/>
      <c r="D65" s="283" t="n"/>
      <c r="E65" s="283" t="n"/>
      <c r="F65" s="283" t="n"/>
      <c r="G65" s="283" t="n"/>
      <c r="H65" s="283" t="n"/>
      <c r="I65" s="284" t="n"/>
    </row>
    <row r="66" ht="24.95" customHeight="1">
      <c r="A66" s="237" t="inlineStr">
        <is>
          <t>TGS MB1119-05 Scheme D impletmented</t>
        </is>
      </c>
      <c r="B66" s="275" t="n"/>
      <c r="C66" s="275" t="n"/>
      <c r="D66" s="275" t="n"/>
      <c r="E66" s="275" t="n"/>
      <c r="F66" s="275" t="n"/>
      <c r="G66" s="275" t="n"/>
      <c r="H66" s="275" t="n"/>
      <c r="I66" s="277" t="n"/>
    </row>
    <row r="67" ht="24.95" customHeight="1">
      <c r="A67" s="237" t="n"/>
      <c r="B67" s="275" t="n"/>
      <c r="C67" s="275" t="n"/>
      <c r="D67" s="275" t="n"/>
      <c r="E67" s="275" t="n"/>
      <c r="F67" s="275" t="n"/>
      <c r="G67" s="275" t="n"/>
      <c r="H67" s="275" t="n"/>
      <c r="I67" s="277" t="n"/>
    </row>
    <row r="68" ht="24.95" customHeight="1">
      <c r="A68" s="230" t="inlineStr">
        <is>
          <t>PRODUCTION (CONSTRUCTION STATUS &amp; PROGRESS)</t>
        </is>
      </c>
      <c r="B68" s="275" t="n"/>
      <c r="C68" s="275" t="n"/>
      <c r="D68" s="275" t="n"/>
      <c r="E68" s="275" t="n"/>
      <c r="F68" s="275" t="n"/>
      <c r="G68" s="275" t="n"/>
      <c r="H68" s="275" t="n"/>
      <c r="I68" s="277" t="n"/>
    </row>
    <row r="69" ht="24.95" customHeight="1">
      <c r="A69" s="66" t="inlineStr">
        <is>
          <t>Ongoing underground services</t>
        </is>
      </c>
      <c r="B69" s="62" t="n"/>
      <c r="C69" s="62" t="n"/>
      <c r="D69" s="62" t="n"/>
      <c r="E69" s="62" t="n"/>
      <c r="F69" s="62" t="n"/>
      <c r="G69" s="62" t="n"/>
      <c r="H69" s="62" t="n"/>
      <c r="I69" s="63" t="n"/>
    </row>
    <row r="70" ht="24.95" customHeight="1">
      <c r="A70" s="66" t="inlineStr">
        <is>
          <t>Complete 525 Culvert (Extend into Future Area)</t>
        </is>
      </c>
      <c r="B70" s="62" t="n"/>
      <c r="C70" s="62" t="n"/>
      <c r="D70" s="62" t="n"/>
      <c r="E70" s="62" t="n"/>
      <c r="F70" s="62" t="n"/>
      <c r="G70" s="62" t="n"/>
      <c r="H70" s="62" t="n"/>
      <c r="I70" s="63" t="n"/>
    </row>
    <row r="71" ht="24.95" customHeight="1">
      <c r="A71" s="66" t="n"/>
      <c r="B71" s="62" t="n"/>
      <c r="C71" s="62" t="n"/>
      <c r="D71" s="62" t="n"/>
      <c r="E71" s="62" t="n"/>
      <c r="F71" s="62" t="n"/>
      <c r="G71" s="62" t="n"/>
      <c r="H71" s="62" t="n"/>
      <c r="I71" s="63" t="n"/>
    </row>
    <row r="72" ht="24.95" customHeight="1">
      <c r="A72" s="66" t="n"/>
      <c r="B72" s="62" t="n"/>
      <c r="C72" s="62" t="n"/>
      <c r="D72" s="62" t="n"/>
      <c r="E72" s="62" t="n"/>
      <c r="F72" s="62" t="n"/>
      <c r="G72" s="62" t="n"/>
      <c r="H72" s="62" t="n"/>
      <c r="I72" s="63" t="n"/>
    </row>
    <row r="73" ht="26.1" customHeight="1" thickBot="1">
      <c r="A73" s="231" t="inlineStr">
        <is>
          <t>PHOTOS</t>
        </is>
      </c>
      <c r="B73" s="278" t="n"/>
      <c r="C73" s="278" t="n"/>
      <c r="D73" s="278" t="n"/>
      <c r="E73" s="278" t="n"/>
      <c r="F73" s="278" t="n"/>
      <c r="G73" s="278" t="n"/>
      <c r="H73" s="278" t="n"/>
      <c r="I73" s="279" t="n"/>
    </row>
    <row r="74" ht="23.1" customHeight="1">
      <c r="A74" s="70" t="n"/>
      <c r="B74" s="71" t="n"/>
      <c r="C74" s="71" t="n"/>
      <c r="D74" s="71" t="n"/>
      <c r="E74" s="71" t="n"/>
      <c r="F74" s="71" t="n"/>
      <c r="G74" s="71" t="n"/>
      <c r="H74" s="71" t="n"/>
      <c r="I74" s="72" t="n"/>
    </row>
    <row r="75" ht="23.1" customHeight="1">
      <c r="A75" s="73" t="n"/>
      <c r="B75" s="74" t="n"/>
      <c r="C75" s="74" t="n"/>
      <c r="D75" s="74" t="n"/>
      <c r="E75" s="74" t="n"/>
      <c r="F75" s="74" t="n"/>
      <c r="G75" s="74" t="n"/>
      <c r="H75" s="74" t="n"/>
      <c r="I75" s="75" t="n"/>
    </row>
    <row r="76" ht="15" customHeight="1">
      <c r="A76" s="73" t="n"/>
      <c r="B76" s="74" t="n"/>
      <c r="C76" s="74" t="n"/>
      <c r="D76" s="74" t="n"/>
      <c r="E76" s="74" t="n"/>
      <c r="F76" s="74" t="n"/>
      <c r="G76" s="74" t="n"/>
      <c r="H76" s="74" t="n"/>
      <c r="I76" s="75" t="n"/>
    </row>
    <row r="77" ht="15" customHeight="1">
      <c r="A77" s="73" t="n"/>
      <c r="B77" s="74" t="n"/>
      <c r="C77" s="74" t="n"/>
      <c r="D77" s="74" t="n"/>
      <c r="E77" s="74" t="n"/>
      <c r="F77" s="74" t="n"/>
      <c r="G77" s="74" t="n"/>
      <c r="H77" s="74" t="n"/>
      <c r="I77" s="75" t="n"/>
    </row>
    <row r="78" ht="15" customHeight="1">
      <c r="A78" s="73" t="n"/>
      <c r="B78" s="74" t="n"/>
      <c r="C78" s="74" t="n"/>
      <c r="D78" s="74" t="n"/>
      <c r="E78" s="74" t="n"/>
      <c r="F78" s="74" t="n"/>
      <c r="G78" s="74" t="n"/>
      <c r="H78" s="74" t="n"/>
      <c r="I78" s="75" t="n"/>
    </row>
    <row r="79" ht="15" customHeight="1">
      <c r="A79" s="73" t="n"/>
      <c r="B79" s="74" t="n"/>
      <c r="C79" s="74" t="n"/>
      <c r="D79" s="74" t="n"/>
      <c r="E79" s="74" t="n"/>
      <c r="F79" s="74" t="n"/>
      <c r="G79" s="74" t="n"/>
      <c r="H79" s="74" t="n"/>
      <c r="I79" s="75" t="n"/>
    </row>
    <row r="80" ht="15" customHeight="1">
      <c r="A80" s="73" t="n"/>
      <c r="B80" s="74" t="n"/>
      <c r="C80" s="74" t="n"/>
      <c r="D80" s="74" t="n"/>
      <c r="E80" s="74" t="n"/>
      <c r="F80" s="74" t="n"/>
      <c r="G80" s="74" t="n"/>
      <c r="H80" s="74" t="n"/>
      <c r="I80" s="75" t="n"/>
    </row>
    <row r="81" ht="15" customHeight="1">
      <c r="A81" s="73" t="n"/>
      <c r="B81" s="74" t="n"/>
      <c r="C81" s="74" t="n"/>
      <c r="D81" s="74" t="n"/>
      <c r="E81" s="74" t="n"/>
      <c r="F81" s="74" t="n"/>
      <c r="G81" s="74" t="n"/>
      <c r="H81" s="74" t="n"/>
      <c r="I81" s="75" t="n"/>
    </row>
    <row r="82" ht="15" customHeight="1">
      <c r="A82" s="73" t="n"/>
      <c r="B82" s="74" t="n"/>
      <c r="C82" s="74" t="n"/>
      <c r="D82" s="74" t="n"/>
      <c r="E82" s="74" t="n"/>
      <c r="F82" s="74" t="n"/>
      <c r="G82" s="74" t="n"/>
      <c r="H82" s="74" t="n"/>
      <c r="I82" s="75" t="n"/>
    </row>
    <row r="83" ht="15" customHeight="1">
      <c r="A83" s="73" t="n"/>
      <c r="B83" s="74" t="n"/>
      <c r="C83" s="74" t="n"/>
      <c r="D83" s="74" t="n"/>
      <c r="E83" s="74" t="n"/>
      <c r="F83" s="74" t="n"/>
      <c r="G83" s="74" t="n"/>
      <c r="H83" s="74" t="n"/>
      <c r="I83" s="75" t="n"/>
    </row>
    <row r="84" ht="15" customHeight="1">
      <c r="A84" s="73" t="n"/>
      <c r="B84" s="74" t="n"/>
      <c r="C84" s="74" t="n"/>
      <c r="D84" s="74" t="n"/>
      <c r="E84" s="74" t="n"/>
      <c r="F84" s="74" t="n"/>
      <c r="G84" s="74" t="n"/>
      <c r="H84" s="74" t="n"/>
      <c r="I84" s="75" t="n"/>
    </row>
    <row r="85" ht="15" customHeight="1">
      <c r="A85" s="73" t="n"/>
      <c r="B85" s="74" t="n"/>
      <c r="C85" s="74" t="n"/>
      <c r="D85" s="74" t="n"/>
      <c r="E85" s="74" t="n"/>
      <c r="F85" s="74" t="n"/>
      <c r="G85" s="74" t="n"/>
      <c r="H85" s="74" t="n"/>
      <c r="I85" s="75" t="n"/>
    </row>
    <row r="86" ht="15" customHeight="1">
      <c r="A86" s="73" t="n"/>
      <c r="B86" s="74" t="n"/>
      <c r="C86" s="74" t="n"/>
      <c r="D86" s="74" t="n"/>
      <c r="E86" s="74" t="n"/>
      <c r="F86" s="74" t="n"/>
      <c r="G86" s="74" t="n"/>
      <c r="H86" s="74" t="n"/>
      <c r="I86" s="75" t="n"/>
    </row>
    <row r="87" ht="15" customHeight="1">
      <c r="A87" s="73" t="n"/>
      <c r="B87" s="74" t="n"/>
      <c r="C87" s="74" t="n"/>
      <c r="D87" s="74" t="n"/>
      <c r="E87" s="74" t="n"/>
      <c r="F87" s="74" t="n"/>
      <c r="G87" s="74" t="n"/>
      <c r="H87" s="74" t="n"/>
      <c r="I87" s="75" t="n"/>
    </row>
    <row r="88" ht="15" customHeight="1">
      <c r="A88" s="73" t="n"/>
      <c r="B88" s="74" t="n"/>
      <c r="C88" s="74" t="n"/>
      <c r="D88" s="74" t="n"/>
      <c r="E88" s="74" t="n"/>
      <c r="F88" s="74" t="n"/>
      <c r="G88" s="74" t="n"/>
      <c r="H88" s="74" t="n"/>
      <c r="I88" s="75" t="n"/>
    </row>
    <row r="89" ht="15" customHeight="1">
      <c r="A89" s="73" t="n"/>
      <c r="B89" s="74" t="n"/>
      <c r="C89" s="74" t="n"/>
      <c r="D89" s="74" t="n"/>
      <c r="E89" s="74" t="n"/>
      <c r="F89" s="74" t="n"/>
      <c r="G89" s="74" t="n"/>
      <c r="H89" s="74" t="n"/>
      <c r="I89" s="75" t="n"/>
    </row>
    <row r="90" ht="15" customHeight="1">
      <c r="A90" s="73" t="n"/>
      <c r="B90" s="74" t="n"/>
      <c r="C90" s="74" t="n"/>
      <c r="D90" s="74" t="n"/>
      <c r="E90" s="74" t="n"/>
      <c r="F90" s="74" t="n"/>
      <c r="G90" s="74" t="n"/>
      <c r="H90" s="74" t="n"/>
      <c r="I90" s="75" t="n"/>
    </row>
    <row r="91" ht="15" customHeight="1">
      <c r="A91" s="73" t="n"/>
      <c r="B91" s="74" t="n"/>
      <c r="C91" s="74" t="n"/>
      <c r="D91" s="74" t="n"/>
      <c r="E91" s="74" t="n"/>
      <c r="F91" s="74" t="n"/>
      <c r="G91" s="74" t="n"/>
      <c r="H91" s="74" t="n"/>
      <c r="I91" s="75" t="n"/>
    </row>
    <row r="92" ht="15" customHeight="1">
      <c r="A92" s="73" t="n"/>
      <c r="B92" s="74" t="n"/>
      <c r="C92" s="74" t="n"/>
      <c r="D92" s="74" t="n"/>
      <c r="E92" s="74" t="n"/>
      <c r="F92" s="74" t="n"/>
      <c r="G92" s="74" t="n"/>
      <c r="H92" s="74" t="n"/>
      <c r="I92" s="75" t="n"/>
    </row>
    <row r="93" ht="15" customHeight="1">
      <c r="A93" s="73" t="n"/>
      <c r="B93" s="74" t="n"/>
      <c r="C93" s="74" t="n"/>
      <c r="D93" s="74" t="n"/>
      <c r="E93" s="74" t="n"/>
      <c r="F93" s="74" t="n"/>
      <c r="G93" s="74" t="n"/>
      <c r="H93" s="74" t="n"/>
      <c r="I93" s="75" t="n"/>
    </row>
    <row r="94" ht="15" customHeight="1">
      <c r="A94" s="73" t="n"/>
      <c r="B94" s="74" t="n"/>
      <c r="C94" s="74" t="n"/>
      <c r="D94" s="74" t="n"/>
      <c r="E94" s="74" t="n"/>
      <c r="F94" s="74" t="n"/>
      <c r="G94" s="74" t="n"/>
      <c r="H94" s="74" t="n"/>
      <c r="I94" s="75" t="n"/>
    </row>
    <row r="95" ht="15" customHeight="1">
      <c r="A95" s="73" t="n"/>
      <c r="B95" s="74" t="n"/>
      <c r="C95" s="74" t="n"/>
      <c r="D95" s="74" t="n"/>
      <c r="E95" s="74" t="n"/>
      <c r="F95" s="74" t="n"/>
      <c r="G95" s="74" t="n"/>
      <c r="H95" s="74" t="n"/>
      <c r="I95" s="75" t="n"/>
    </row>
    <row r="96" ht="15" customHeight="1">
      <c r="A96" s="73" t="n"/>
      <c r="B96" s="74" t="n"/>
      <c r="C96" s="74" t="n"/>
      <c r="D96" s="74" t="n"/>
      <c r="E96" s="74" t="n"/>
      <c r="F96" s="74" t="n"/>
      <c r="H96" s="74" t="n"/>
      <c r="I96" s="75" t="n"/>
    </row>
    <row r="97" ht="24.95" customFormat="1" customHeight="1" s="4">
      <c r="A97" s="73" t="n"/>
      <c r="B97" s="74" t="n"/>
      <c r="C97" s="74" t="n"/>
      <c r="D97" s="74" t="n"/>
      <c r="E97" s="74" t="n"/>
      <c r="F97" s="74" t="n"/>
      <c r="G97" s="74" t="n"/>
      <c r="H97" s="74" t="n"/>
      <c r="I97" s="75" t="n"/>
    </row>
    <row r="98" ht="15" customHeight="1">
      <c r="A98" s="73" t="n"/>
      <c r="B98" s="74" t="n"/>
      <c r="C98" s="74" t="n"/>
      <c r="D98" s="74" t="n"/>
      <c r="E98" s="74" t="n"/>
      <c r="F98" s="74" t="n"/>
      <c r="G98" s="74" t="n"/>
      <c r="H98" s="74" t="n"/>
      <c r="I98" s="75" t="n"/>
    </row>
    <row r="99" ht="15" customHeight="1">
      <c r="A99" s="73" t="n"/>
      <c r="B99" s="74" t="n"/>
      <c r="C99" s="74" t="n"/>
      <c r="D99" s="74" t="n"/>
      <c r="E99" s="74" t="n"/>
      <c r="F99" s="74" t="n"/>
      <c r="G99" s="74" t="n"/>
      <c r="H99" s="74" t="n"/>
      <c r="I99" s="75" t="n"/>
    </row>
    <row r="100" ht="15" customHeight="1">
      <c r="A100" s="73" t="n"/>
      <c r="B100" s="74" t="n"/>
      <c r="C100" s="74" t="n"/>
      <c r="D100" s="74" t="n"/>
      <c r="E100" s="74" t="n"/>
      <c r="F100" s="74" t="n"/>
      <c r="G100" s="74" t="n"/>
      <c r="H100" s="74" t="n"/>
      <c r="I100" s="75" t="n"/>
    </row>
    <row r="101" ht="15" customHeight="1">
      <c r="A101" s="73" t="n"/>
      <c r="B101" s="74" t="n"/>
      <c r="C101" s="74" t="n"/>
      <c r="D101" s="74" t="n"/>
      <c r="E101" s="74" t="n"/>
      <c r="F101" s="74" t="n"/>
      <c r="G101" s="74" t="n"/>
      <c r="H101" s="74" t="n"/>
      <c r="I101" s="75" t="n"/>
    </row>
    <row r="102" ht="15" customHeight="1">
      <c r="A102" s="73" t="n"/>
      <c r="B102" s="74" t="n"/>
      <c r="C102" s="74" t="n"/>
      <c r="D102" s="74" t="n"/>
      <c r="E102" s="74" t="n"/>
      <c r="F102" s="74" t="n"/>
      <c r="G102" s="74" t="n"/>
      <c r="H102" s="74" t="n"/>
      <c r="I102" s="75" t="n"/>
    </row>
    <row r="103" ht="15" customHeight="1">
      <c r="A103" s="73" t="n"/>
      <c r="B103" s="74" t="n"/>
      <c r="C103" s="74" t="n"/>
      <c r="D103" s="74" t="n"/>
      <c r="E103" s="74" t="n"/>
      <c r="F103" s="74" t="n"/>
      <c r="G103" s="74" t="n"/>
      <c r="H103" s="74" t="n"/>
      <c r="I103" s="75" t="n"/>
    </row>
    <row r="104" ht="15" customHeight="1">
      <c r="A104" s="73" t="n"/>
      <c r="B104" s="74" t="n"/>
      <c r="C104" s="74" t="n"/>
      <c r="D104" s="74" t="n"/>
      <c r="E104" s="74" t="n"/>
      <c r="F104" s="74" t="n"/>
      <c r="G104" s="74" t="n"/>
      <c r="H104" s="74" t="n"/>
      <c r="I104" s="75" t="n"/>
    </row>
    <row r="105" ht="15" customHeight="1">
      <c r="A105" s="73" t="n"/>
      <c r="B105" s="74" t="n"/>
      <c r="C105" s="74" t="n"/>
      <c r="D105" s="74" t="n"/>
      <c r="E105" s="74" t="n"/>
      <c r="F105" s="74" t="n"/>
      <c r="G105" s="74" t="n"/>
      <c r="H105" s="74" t="n"/>
      <c r="I105" s="75" t="n"/>
    </row>
    <row r="106" ht="15" customHeight="1">
      <c r="A106" s="73" t="n"/>
      <c r="B106" s="74" t="n"/>
      <c r="C106" s="74" t="n"/>
      <c r="D106" s="74" t="n"/>
      <c r="E106" s="74" t="n"/>
      <c r="F106" s="74" t="n"/>
      <c r="G106" s="74" t="n"/>
      <c r="H106" s="74" t="n"/>
      <c r="I106" s="75" t="n"/>
    </row>
    <row r="107" ht="15" customHeight="1">
      <c r="A107" s="73" t="n"/>
      <c r="B107" s="74" t="n"/>
      <c r="C107" s="74" t="n"/>
      <c r="D107" s="74" t="n"/>
      <c r="E107" s="74" t="n"/>
      <c r="F107" s="74" t="n"/>
      <c r="G107" s="74" t="n"/>
      <c r="H107" s="74" t="n"/>
      <c r="I107" s="75" t="n"/>
    </row>
    <row r="108" ht="15" customHeight="1">
      <c r="A108" s="73" t="n"/>
      <c r="B108" s="74" t="n"/>
      <c r="C108" s="74" t="n"/>
      <c r="D108" s="74" t="n"/>
      <c r="E108" s="74" t="n"/>
      <c r="F108" s="74" t="n"/>
      <c r="G108" s="74" t="n"/>
      <c r="H108" s="74" t="n"/>
      <c r="I108" s="75" t="n"/>
    </row>
    <row r="109" ht="15" customHeight="1">
      <c r="A109" s="73" t="n"/>
      <c r="B109" s="74" t="n"/>
      <c r="C109" s="74" t="n"/>
      <c r="D109" s="74" t="n"/>
      <c r="E109" s="74" t="n"/>
      <c r="F109" s="74" t="n"/>
      <c r="G109" s="74" t="n"/>
      <c r="H109" s="74" t="n"/>
      <c r="I109" s="75" t="n"/>
    </row>
    <row r="110" ht="15" customHeight="1">
      <c r="A110" s="73" t="n"/>
      <c r="B110" s="74" t="n"/>
      <c r="C110" s="74" t="n"/>
      <c r="D110" s="74" t="n"/>
      <c r="E110" s="74" t="n"/>
      <c r="F110" s="74" t="n"/>
      <c r="G110" s="74" t="n"/>
      <c r="H110" s="74" t="n"/>
      <c r="I110" s="75" t="n"/>
    </row>
    <row r="111" ht="15" customHeight="1">
      <c r="A111" s="73" t="n"/>
      <c r="B111" s="74" t="n"/>
      <c r="C111" s="74" t="n"/>
      <c r="D111" s="74" t="n"/>
      <c r="E111" s="74" t="n"/>
      <c r="F111" s="74" t="n"/>
      <c r="G111" s="74" t="n"/>
      <c r="H111" s="74" t="n"/>
      <c r="I111" s="75" t="n"/>
    </row>
    <row r="112" ht="15" customHeight="1" thickBot="1">
      <c r="A112" s="76" t="n"/>
      <c r="B112" s="77" t="n"/>
      <c r="C112" s="77" t="n"/>
      <c r="D112" s="77" t="n"/>
      <c r="E112" s="77" t="n"/>
      <c r="F112" s="77" t="n"/>
      <c r="G112" s="77" t="n"/>
      <c r="H112" s="77" t="n"/>
      <c r="I112" s="78" t="n"/>
    </row>
    <row r="113" ht="15" customHeight="1">
      <c r="A113" s="73" t="n"/>
      <c r="B113" s="74" t="n"/>
      <c r="C113" s="74" t="n"/>
      <c r="D113" s="74" t="n"/>
      <c r="E113" s="74" t="n"/>
      <c r="F113" s="74" t="n"/>
      <c r="G113" s="74" t="n"/>
      <c r="H113" s="74" t="n"/>
      <c r="I113" s="75" t="n"/>
    </row>
    <row r="114" ht="15" customHeight="1">
      <c r="A114" s="73" t="n"/>
      <c r="B114" s="74" t="n"/>
      <c r="C114" s="74" t="n"/>
      <c r="D114" s="74" t="n"/>
      <c r="E114" s="74" t="n"/>
      <c r="F114" s="74" t="n"/>
      <c r="G114" s="74" t="n"/>
      <c r="H114" s="74" t="n"/>
      <c r="I114" s="75" t="n"/>
    </row>
    <row r="115" ht="15" customHeight="1">
      <c r="A115" s="73" t="n"/>
      <c r="B115" s="74" t="n"/>
      <c r="C115" s="74" t="n"/>
      <c r="D115" s="74" t="n"/>
      <c r="E115" s="74" t="n"/>
      <c r="F115" s="74" t="n"/>
      <c r="G115" s="74" t="n"/>
      <c r="H115" s="74" t="n"/>
      <c r="I115" s="75" t="n"/>
    </row>
    <row r="116" ht="15" customHeight="1">
      <c r="A116" s="73" t="n"/>
      <c r="B116" s="74" t="n"/>
      <c r="C116" s="74" t="n"/>
      <c r="D116" s="74" t="n"/>
      <c r="E116" s="74" t="n"/>
      <c r="F116" s="74" t="n"/>
      <c r="G116" s="74" t="n"/>
      <c r="H116" s="74" t="n"/>
      <c r="I116" s="75" t="n"/>
    </row>
    <row r="117" ht="15" customHeight="1">
      <c r="A117" s="73" t="n"/>
      <c r="B117" s="74" t="n"/>
      <c r="C117" s="74" t="n"/>
      <c r="D117" s="74" t="n"/>
      <c r="E117" s="74" t="n"/>
      <c r="F117" s="74" t="n"/>
      <c r="G117" s="74" t="n"/>
      <c r="H117" s="74" t="n"/>
      <c r="I117" s="75" t="n"/>
    </row>
    <row r="118" ht="15" customHeight="1">
      <c r="A118" s="73" t="n"/>
      <c r="B118" s="74" t="n"/>
      <c r="C118" s="74" t="n"/>
      <c r="D118" s="74" t="n"/>
      <c r="E118" s="74" t="n"/>
      <c r="F118" s="74" t="n"/>
      <c r="G118" s="74" t="n"/>
      <c r="H118" s="74" t="n"/>
      <c r="I118" s="75" t="n"/>
    </row>
    <row r="119" ht="15" customHeight="1">
      <c r="A119" s="73" t="n"/>
      <c r="B119" s="74" t="n"/>
      <c r="C119" s="74" t="n"/>
      <c r="D119" s="74" t="n"/>
      <c r="E119" s="74" t="n"/>
      <c r="F119" s="74" t="n"/>
      <c r="G119" s="74" t="n"/>
      <c r="H119" s="74" t="n"/>
      <c r="I119" s="75" t="n"/>
    </row>
    <row r="120" ht="15" customHeight="1">
      <c r="A120" s="73" t="n"/>
      <c r="B120" s="74" t="n"/>
      <c r="C120" s="74" t="n"/>
      <c r="D120" s="74" t="n"/>
      <c r="E120" s="74" t="n"/>
      <c r="F120" s="74" t="n"/>
      <c r="G120" s="74" t="n"/>
      <c r="H120" s="74" t="n"/>
      <c r="I120" s="75" t="n"/>
    </row>
    <row r="121" ht="24.95" customHeight="1">
      <c r="A121" s="73" t="n"/>
      <c r="B121" s="74" t="n"/>
      <c r="C121" s="74" t="n"/>
      <c r="D121" s="74" t="n"/>
      <c r="E121" s="74" t="n"/>
      <c r="F121" s="74" t="n"/>
      <c r="G121" s="74" t="n"/>
      <c r="H121" s="74" t="n"/>
      <c r="I121" s="75" t="n"/>
    </row>
    <row r="122" ht="15" customHeight="1">
      <c r="A122" s="73" t="n"/>
      <c r="B122" s="74" t="n"/>
      <c r="C122" s="74" t="n"/>
      <c r="D122" s="74" t="n"/>
      <c r="E122" s="74" t="n"/>
      <c r="F122" s="74" t="n"/>
      <c r="G122" s="74" t="n"/>
      <c r="H122" s="74" t="n"/>
      <c r="I122" s="75" t="n"/>
    </row>
    <row r="123" ht="15" customHeight="1">
      <c r="A123" s="73" t="n"/>
      <c r="B123" s="74" t="n"/>
      <c r="C123" s="74" t="n"/>
      <c r="D123" s="74" t="n"/>
      <c r="E123" s="74" t="n"/>
      <c r="F123" s="74" t="n"/>
      <c r="G123" s="74" t="n"/>
      <c r="H123" s="74" t="n"/>
      <c r="I123" s="75" t="n"/>
    </row>
    <row r="124" ht="27.95" customHeight="1">
      <c r="A124" s="73" t="n"/>
      <c r="B124" s="74" t="n"/>
      <c r="C124" s="74" t="n"/>
      <c r="D124" s="74" t="n"/>
      <c r="E124" s="74" t="n"/>
      <c r="F124" s="74" t="n"/>
      <c r="G124" s="74" t="n"/>
      <c r="H124" s="74" t="n"/>
      <c r="I124" s="75" t="n"/>
    </row>
    <row r="125" ht="15" customHeight="1">
      <c r="A125" s="73" t="n"/>
      <c r="B125" s="74" t="n"/>
      <c r="C125" s="74" t="n"/>
      <c r="D125" s="74" t="n"/>
      <c r="E125" s="74" t="n"/>
      <c r="F125" s="74" t="n"/>
      <c r="G125" s="74" t="n"/>
      <c r="H125" s="74" t="n"/>
      <c r="I125" s="75" t="n"/>
    </row>
    <row r="126" ht="15" customHeight="1">
      <c r="A126" s="73" t="n"/>
      <c r="B126" s="74" t="n"/>
      <c r="C126" s="74" t="n"/>
      <c r="D126" s="74" t="n"/>
      <c r="E126" s="74" t="n"/>
      <c r="F126" s="74" t="n"/>
      <c r="G126" s="74" t="n"/>
      <c r="H126" s="74" t="n"/>
      <c r="I126" s="75" t="n"/>
    </row>
    <row r="127" ht="15" customHeight="1">
      <c r="A127" s="73" t="n"/>
      <c r="B127" s="74" t="n"/>
      <c r="C127" s="74" t="n"/>
      <c r="D127" s="74" t="n"/>
      <c r="E127" s="74" t="n"/>
      <c r="F127" s="74" t="n"/>
      <c r="G127" s="74" t="n"/>
      <c r="H127" s="74" t="n"/>
      <c r="I127" s="75" t="n"/>
    </row>
    <row r="128" ht="15" customHeight="1">
      <c r="A128" s="73" t="n"/>
      <c r="B128" s="74" t="n"/>
      <c r="C128" s="74" t="n"/>
      <c r="D128" s="74" t="n"/>
      <c r="E128" s="74" t="n"/>
      <c r="F128" s="74" t="n"/>
      <c r="G128" s="74" t="n"/>
      <c r="H128" s="74" t="n"/>
      <c r="I128" s="75" t="n"/>
    </row>
    <row r="129" ht="15" customHeight="1">
      <c r="A129" s="73" t="n"/>
      <c r="B129" s="74" t="n"/>
      <c r="C129" s="74" t="n"/>
      <c r="D129" s="74" t="n"/>
      <c r="E129" s="74" t="n"/>
      <c r="F129" s="74" t="n"/>
      <c r="G129" s="74" t="n"/>
      <c r="H129" s="74" t="n"/>
      <c r="I129" s="75" t="n"/>
    </row>
    <row r="130" ht="15" customHeight="1">
      <c r="A130" s="73" t="n"/>
      <c r="B130" s="74" t="n"/>
      <c r="C130" s="74" t="n"/>
      <c r="D130" s="74" t="n"/>
      <c r="E130" s="74" t="n"/>
      <c r="F130" s="74" t="n"/>
      <c r="G130" s="74" t="n"/>
      <c r="H130" s="74" t="n"/>
      <c r="I130" s="75" t="n"/>
    </row>
    <row r="131" ht="15" customHeight="1">
      <c r="A131" s="73" t="n"/>
      <c r="B131" s="74" t="n"/>
      <c r="C131" s="74" t="n"/>
      <c r="D131" s="74" t="n"/>
      <c r="E131" s="74" t="n"/>
      <c r="F131" s="74" t="n"/>
      <c r="G131" s="74" t="n"/>
      <c r="H131" s="74" t="n"/>
      <c r="I131" s="75" t="n"/>
    </row>
    <row r="132" ht="15" customHeight="1">
      <c r="A132" s="73" t="n"/>
      <c r="B132" s="74" t="n"/>
      <c r="C132" s="74" t="n"/>
      <c r="D132" s="74" t="n"/>
      <c r="E132" s="74" t="n"/>
      <c r="F132" s="74" t="n"/>
      <c r="G132" s="74" t="n"/>
      <c r="H132" s="74" t="n"/>
      <c r="I132" s="75" t="n"/>
    </row>
    <row r="133" ht="15" customHeight="1">
      <c r="A133" s="73" t="n"/>
      <c r="B133" s="74" t="n"/>
      <c r="C133" s="74" t="n"/>
      <c r="D133" s="74" t="n"/>
      <c r="E133" s="74" t="n"/>
      <c r="F133" s="74" t="n"/>
      <c r="G133" s="74" t="n"/>
      <c r="H133" s="74" t="n"/>
      <c r="I133" s="75" t="n"/>
    </row>
    <row r="134" ht="15" customHeight="1">
      <c r="A134" s="73" t="n"/>
      <c r="B134" s="74" t="n"/>
      <c r="C134" s="74" t="n"/>
      <c r="D134" s="74" t="n"/>
      <c r="E134" s="74" t="n"/>
      <c r="F134" s="74" t="n"/>
      <c r="G134" s="74" t="n"/>
      <c r="H134" s="74" t="n"/>
      <c r="I134" s="75" t="n"/>
    </row>
    <row r="135" ht="15" customHeight="1">
      <c r="A135" s="73" t="n"/>
      <c r="B135" s="74" t="n"/>
      <c r="C135" s="74" t="n"/>
      <c r="D135" s="74" t="n"/>
      <c r="E135" s="74" t="n"/>
      <c r="F135" s="74" t="n"/>
      <c r="G135" s="74" t="n"/>
      <c r="H135" s="74" t="n"/>
      <c r="I135" s="75" t="n"/>
    </row>
    <row r="136" ht="15" customHeight="1">
      <c r="A136" s="73" t="n"/>
      <c r="B136" s="74" t="n"/>
      <c r="C136" s="74" t="n"/>
      <c r="D136" s="74" t="n"/>
      <c r="E136" s="74" t="n"/>
      <c r="F136" s="74" t="n"/>
      <c r="G136" s="74" t="n"/>
      <c r="H136" s="74" t="n"/>
      <c r="I136" s="75" t="n"/>
    </row>
    <row r="137" ht="15" customHeight="1" thickBot="1">
      <c r="A137" s="73" t="n"/>
      <c r="B137" s="74" t="n"/>
      <c r="C137" s="74" t="n"/>
      <c r="D137" s="74" t="n"/>
      <c r="E137" s="74" t="n"/>
      <c r="F137" s="74" t="n"/>
      <c r="G137" s="74" t="n"/>
      <c r="H137" s="74" t="n"/>
      <c r="I137" s="75" t="n"/>
      <c r="J137" s="8" t="n"/>
    </row>
    <row r="138" ht="15" customHeight="1">
      <c r="A138" s="73" t="n"/>
      <c r="B138" s="74" t="n"/>
      <c r="C138" s="74" t="n"/>
      <c r="D138" s="74" t="n"/>
      <c r="E138" s="74" t="n"/>
      <c r="F138" s="74" t="n"/>
      <c r="G138" s="74" t="n"/>
      <c r="H138" s="74" t="n"/>
      <c r="I138" s="75" t="n"/>
    </row>
    <row r="139" ht="15" customHeight="1">
      <c r="A139" s="73" t="n"/>
      <c r="B139" s="74" t="n"/>
      <c r="C139" s="74" t="n"/>
      <c r="D139" s="74" t="n"/>
      <c r="E139" s="74" t="n"/>
      <c r="F139" s="74" t="n"/>
      <c r="G139" s="74" t="n"/>
      <c r="H139" s="74" t="n"/>
      <c r="I139" s="75" t="n"/>
    </row>
    <row r="140" ht="15" customHeight="1">
      <c r="A140" s="73" t="n"/>
      <c r="B140" s="74" t="n"/>
      <c r="C140" s="74" t="n"/>
      <c r="D140" s="74" t="n"/>
      <c r="E140" s="74" t="n"/>
      <c r="F140" s="74" t="n"/>
      <c r="G140" s="74" t="n"/>
      <c r="H140" s="74" t="n"/>
      <c r="I140" s="75" t="n"/>
    </row>
    <row r="141" ht="15" customHeight="1">
      <c r="A141" s="73" t="n"/>
      <c r="B141" s="74" t="n"/>
      <c r="C141" s="74" t="n"/>
      <c r="D141" s="74" t="n"/>
      <c r="E141" s="74" t="n"/>
      <c r="F141" s="74" t="n"/>
      <c r="G141" s="74" t="n"/>
      <c r="H141" s="74" t="n"/>
      <c r="I141" s="75" t="n"/>
    </row>
    <row r="142" ht="15" customHeight="1">
      <c r="A142" s="73" t="n"/>
      <c r="B142" s="74" t="n"/>
      <c r="C142" s="74" t="n"/>
      <c r="D142" s="74" t="n"/>
      <c r="E142" s="74" t="n"/>
      <c r="F142" s="74" t="n"/>
      <c r="G142" s="74" t="n"/>
      <c r="H142" s="74" t="n"/>
      <c r="I142" s="75" t="n"/>
    </row>
    <row r="143" ht="15" customHeight="1">
      <c r="A143" s="73" t="n"/>
      <c r="B143" s="74" t="n"/>
      <c r="C143" s="74" t="n"/>
      <c r="D143" s="74" t="n"/>
      <c r="E143" s="74" t="n"/>
      <c r="F143" s="74" t="n"/>
      <c r="G143" s="74" t="n"/>
      <c r="H143" s="74" t="n"/>
      <c r="I143" s="75" t="n"/>
    </row>
    <row r="144" ht="15.95" customHeight="1">
      <c r="A144" s="73" t="n"/>
      <c r="B144" s="74" t="n"/>
      <c r="C144" s="74" t="n"/>
      <c r="D144" s="74" t="n"/>
      <c r="E144" s="74" t="n"/>
      <c r="F144" s="74" t="n"/>
      <c r="G144" s="74" t="n"/>
      <c r="H144" s="74" t="n"/>
      <c r="I144" s="75" t="n"/>
    </row>
    <row r="145" ht="30.75" customHeight="1">
      <c r="A145" s="218" t="n"/>
      <c r="E145" s="220" t="n"/>
      <c r="I145" s="271" t="n"/>
    </row>
    <row r="146">
      <c r="A146" s="64" t="n"/>
      <c r="I146" s="65"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I180" s="65" t="n"/>
    </row>
    <row r="181">
      <c r="A181" s="64" t="n"/>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ht="15.95" customHeight="1" thickBot="1">
      <c r="A199" s="59" t="n"/>
      <c r="B199" s="60" t="n"/>
      <c r="C199" s="60" t="n"/>
      <c r="D199" s="60" t="n"/>
      <c r="E199" s="60" t="n"/>
      <c r="F199" s="60" t="n"/>
      <c r="G199" s="60" t="n"/>
      <c r="H199" s="60" t="n"/>
      <c r="I199" s="61" t="n"/>
    </row>
    <row r="200">
      <c r="A200" s="64" t="n"/>
      <c r="I200" s="65" t="n"/>
    </row>
    <row r="201">
      <c r="A201" s="64" t="n"/>
      <c r="I201" s="65" t="n"/>
    </row>
    <row r="202">
      <c r="A202" s="64" t="n"/>
      <c r="I202" s="65" t="n"/>
    </row>
    <row r="203">
      <c r="A203" s="64" t="n"/>
      <c r="I203" s="65" t="n"/>
    </row>
    <row r="204">
      <c r="A204" s="64" t="n"/>
      <c r="I204" s="65" t="n"/>
    </row>
    <row r="205">
      <c r="A205" s="64" t="n"/>
      <c r="I205" s="65" t="n"/>
    </row>
    <row r="206" ht="15.95" customHeight="1" thickBot="1">
      <c r="A206" s="59" t="n"/>
      <c r="B206" s="60" t="n"/>
      <c r="C206" s="60" t="n"/>
      <c r="D206" s="60" t="n"/>
      <c r="E206" s="60" t="n"/>
      <c r="F206" s="60" t="n"/>
      <c r="G206" s="60" t="n"/>
      <c r="H206" s="60" t="n"/>
      <c r="I206" s="61" t="n"/>
    </row>
  </sheetData>
  <mergeCells count="40">
    <mergeCell ref="C61:I61"/>
    <mergeCell ref="A65:I65"/>
    <mergeCell ref="D13:F13"/>
    <mergeCell ref="A54:I54"/>
    <mergeCell ref="G13:I13"/>
    <mergeCell ref="B8:D8"/>
    <mergeCell ref="A66:I66"/>
    <mergeCell ref="B46:C46"/>
    <mergeCell ref="B59:I59"/>
    <mergeCell ref="A12:I12"/>
    <mergeCell ref="C57:I57"/>
    <mergeCell ref="D47:I47"/>
    <mergeCell ref="B56:I56"/>
    <mergeCell ref="A5:I5"/>
    <mergeCell ref="B9:D9"/>
    <mergeCell ref="C62:I62"/>
    <mergeCell ref="B6:D6"/>
    <mergeCell ref="C58:I58"/>
    <mergeCell ref="B44:C44"/>
    <mergeCell ref="A13:C13"/>
    <mergeCell ref="A68:I68"/>
    <mergeCell ref="A10:I10"/>
    <mergeCell ref="A1:I4"/>
    <mergeCell ref="C64:I64"/>
    <mergeCell ref="A47:B47"/>
    <mergeCell ref="A67:I67"/>
    <mergeCell ref="D44:I44"/>
    <mergeCell ref="B7:D7"/>
    <mergeCell ref="C63:I63"/>
    <mergeCell ref="A48:I48"/>
    <mergeCell ref="A50:I53"/>
    <mergeCell ref="A73:I73"/>
    <mergeCell ref="A11:I11"/>
    <mergeCell ref="D46:I46"/>
    <mergeCell ref="B55:I55"/>
    <mergeCell ref="A60:I60"/>
    <mergeCell ref="A145:D145"/>
    <mergeCell ref="B45:C45"/>
    <mergeCell ref="D45:I45"/>
    <mergeCell ref="E145:I145"/>
  </mergeCells>
  <printOptions horizontalCentered="1"/>
  <pageMargins left="0.2362204724409449" right="0.2362204724409449" top="0.7480314960629921" bottom="0.7480314960629921" header="0.3149606299212598" footer="0.3149606299212598"/>
  <pageSetup orientation="portrait" paperSize="9" scale="33" fitToHeight="0"/>
</worksheet>
</file>

<file path=xl/worksheets/sheet8.xml><?xml version="1.0" encoding="utf-8"?>
<worksheet xmlns="http://schemas.openxmlformats.org/spreadsheetml/2006/main">
  <sheetPr>
    <outlinePr summaryBelow="1" summaryRight="1"/>
    <pageSetUpPr fitToPage="1"/>
  </sheetPr>
  <dimension ref="A1:J206"/>
  <sheetViews>
    <sheetView topLeftCell="A19" zoomScale="55" zoomScaleNormal="55" workbookViewId="0">
      <selection activeCell="A1" sqref="A1:I4"/>
    </sheetView>
  </sheetViews>
  <sheetFormatPr baseColWidth="8" defaultColWidth="9.140625" defaultRowHeight="14.45"/>
  <cols>
    <col width="62.140625" bestFit="1" customWidth="1" style="232" min="1" max="1"/>
    <col width="36.7109375" bestFit="1" customWidth="1" style="232" min="2" max="2"/>
    <col width="16" customWidth="1" style="232" min="3" max="3"/>
    <col width="28.710937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43"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170" t="inlineStr">
        <is>
          <t>TCD DAILY FIELD REPORT</t>
        </is>
      </c>
      <c r="B5" s="275" t="n"/>
      <c r="C5" s="275" t="n"/>
      <c r="D5" s="275" t="n"/>
      <c r="E5" s="275" t="n"/>
      <c r="F5" s="275" t="n"/>
      <c r="G5" s="275" t="n"/>
      <c r="H5" s="275" t="n"/>
      <c r="I5" s="276" t="n"/>
    </row>
    <row r="6" ht="23.1" customHeight="1">
      <c r="A6" s="49" t="inlineStr">
        <is>
          <t>Project Name:</t>
        </is>
      </c>
      <c r="B6" s="173" t="inlineStr">
        <is>
          <t>Batavia Station Square</t>
        </is>
      </c>
      <c r="E6" s="173" t="n"/>
      <c r="F6" s="51" t="n"/>
      <c r="G6" s="51" t="n"/>
      <c r="H6" s="52" t="inlineStr">
        <is>
          <t>Date:</t>
        </is>
      </c>
      <c r="I6" s="53" t="n">
        <v>45878</v>
      </c>
    </row>
    <row r="7" ht="23.1" customHeight="1">
      <c r="A7" s="49" t="inlineStr">
        <is>
          <t>Project Location:</t>
        </is>
      </c>
      <c r="B7" s="173" t="inlineStr">
        <is>
          <t>Geraldton</t>
        </is>
      </c>
      <c r="E7" s="173" t="n"/>
      <c r="F7" s="51" t="n"/>
      <c r="G7" s="51" t="n"/>
      <c r="H7" s="54" t="inlineStr">
        <is>
          <t>Day:</t>
        </is>
      </c>
      <c r="I7" s="55">
        <f>I6</f>
        <v/>
      </c>
    </row>
    <row r="8" ht="23.1" customHeight="1">
      <c r="A8" s="49" t="inlineStr">
        <is>
          <t>Project Number:</t>
        </is>
      </c>
      <c r="B8" s="173" t="inlineStr">
        <is>
          <t>TCD-1816</t>
        </is>
      </c>
      <c r="E8" s="173" t="n"/>
      <c r="F8" s="51" t="n"/>
      <c r="G8" s="51" t="n"/>
      <c r="H8" s="54" t="inlineStr">
        <is>
          <t>Start:</t>
        </is>
      </c>
      <c r="I8" s="56" t="n">
        <v>0.2916666666666667</v>
      </c>
    </row>
    <row r="9" ht="23.1" customHeight="1">
      <c r="A9" s="49" t="inlineStr">
        <is>
          <t>Report Number:</t>
        </is>
      </c>
      <c r="B9" s="159" t="n">
        <v>76</v>
      </c>
      <c r="C9" s="273" t="n"/>
      <c r="D9" s="273" t="n"/>
      <c r="E9" s="160" t="n"/>
      <c r="F9" s="58" t="n"/>
      <c r="G9" s="58" t="n"/>
      <c r="H9" s="54" t="inlineStr">
        <is>
          <t>Finish:</t>
        </is>
      </c>
      <c r="I9" s="56" t="n">
        <v>0.7083333333333334</v>
      </c>
    </row>
    <row r="10" ht="24.95" customHeight="1">
      <c r="A10" s="230" t="inlineStr">
        <is>
          <t>WEATHER &amp; GROUND CONDITIONS</t>
        </is>
      </c>
      <c r="B10" s="275" t="n"/>
      <c r="C10" s="275" t="n"/>
      <c r="D10" s="275" t="n"/>
      <c r="E10" s="275" t="n"/>
      <c r="F10" s="275" t="n"/>
      <c r="G10" s="275" t="n"/>
      <c r="H10" s="275" t="n"/>
      <c r="I10" s="277" t="n"/>
    </row>
    <row r="11" ht="23.1" customHeight="1">
      <c r="A11" s="242" t="inlineStr">
        <is>
          <t xml:space="preserve">Temperature: 19 degrees    Wind: 61 km/h SW Precip: 2.8 (6.4mm Sunday) mm </t>
        </is>
      </c>
      <c r="B11" s="275" t="n"/>
      <c r="C11" s="275" t="n"/>
      <c r="D11" s="275" t="n"/>
      <c r="E11" s="275" t="n"/>
      <c r="F11" s="275" t="n"/>
      <c r="G11" s="275" t="n"/>
      <c r="H11" s="275" t="n"/>
      <c r="I11" s="277" t="n"/>
      <c r="J11" t="inlineStr">
        <is>
          <t>0.0 mm</t>
        </is>
      </c>
    </row>
    <row r="12" ht="24.95" customHeight="1">
      <c r="A12" s="231" t="inlineStr">
        <is>
          <t>PERSONNEL</t>
        </is>
      </c>
      <c r="B12" s="278" t="n"/>
      <c r="C12" s="278" t="n"/>
      <c r="D12" s="278" t="n"/>
      <c r="E12" s="278" t="n"/>
      <c r="F12" s="278" t="n"/>
      <c r="G12" s="278" t="n"/>
      <c r="H12" s="278" t="n"/>
      <c r="I12" s="279" t="n"/>
    </row>
    <row r="13" ht="23.1" customHeight="1">
      <c r="A13" s="183" t="inlineStr">
        <is>
          <t>TCD Indirects</t>
        </is>
      </c>
      <c r="B13" s="275" t="n"/>
      <c r="C13" s="276" t="n"/>
      <c r="D13" s="184" t="inlineStr">
        <is>
          <t>TCD Directs</t>
        </is>
      </c>
      <c r="E13" s="275" t="n"/>
      <c r="F13" s="276" t="n"/>
      <c r="G13" s="184" t="inlineStr">
        <is>
          <t>Subcontractors</t>
        </is>
      </c>
      <c r="H13" s="275" t="n"/>
      <c r="I13" s="276" t="n"/>
    </row>
    <row r="14" ht="24" customHeight="1">
      <c r="A14" s="183" t="inlineStr">
        <is>
          <t xml:space="preserve"> Name</t>
        </is>
      </c>
      <c r="B14" s="184" t="inlineStr">
        <is>
          <t>Position</t>
        </is>
      </c>
      <c r="C14" s="39" t="inlineStr">
        <is>
          <t>Hours</t>
        </is>
      </c>
      <c r="D14" s="184" t="inlineStr">
        <is>
          <t xml:space="preserve"> Name</t>
        </is>
      </c>
      <c r="E14" s="184" t="inlineStr">
        <is>
          <t>Position</t>
        </is>
      </c>
      <c r="F14" s="39" t="inlineStr">
        <is>
          <t>Hours</t>
        </is>
      </c>
      <c r="G14" s="184" t="inlineStr">
        <is>
          <t xml:space="preserve"> Name</t>
        </is>
      </c>
      <c r="H14" s="184" t="inlineStr">
        <is>
          <t>Position</t>
        </is>
      </c>
      <c r="I14" s="185" t="inlineStr">
        <is>
          <t>Hours</t>
        </is>
      </c>
    </row>
    <row r="15" ht="23.1" customHeight="1">
      <c r="A15" s="25" t="inlineStr">
        <is>
          <t>WATKINS, Steve</t>
        </is>
      </c>
      <c r="B15" s="26" t="inlineStr">
        <is>
          <t>Civil Manager</t>
        </is>
      </c>
      <c r="C15" s="40" t="n"/>
      <c r="D15" s="41" t="n"/>
      <c r="E15" s="41" t="n"/>
      <c r="F15" s="26" t="n"/>
      <c r="G15" s="42" t="inlineStr">
        <is>
          <t>Khegan Brockman</t>
        </is>
      </c>
      <c r="H15" s="26" t="inlineStr">
        <is>
          <t>Labourer</t>
        </is>
      </c>
      <c r="I15" s="28" t="n">
        <v>10</v>
      </c>
    </row>
    <row r="16" ht="23.1" customHeight="1">
      <c r="A16" s="25" t="inlineStr">
        <is>
          <t>GRIFFITHS, Daniel</t>
        </is>
      </c>
      <c r="B16" s="26" t="inlineStr">
        <is>
          <t>Project Manager</t>
        </is>
      </c>
      <c r="C16" s="27" t="n">
        <v>10</v>
      </c>
      <c r="D16" s="43" t="n"/>
      <c r="E16" s="43" t="n"/>
      <c r="F16" s="26" t="n"/>
      <c r="G16" s="42" t="inlineStr">
        <is>
          <t>Laurent Levy</t>
        </is>
      </c>
      <c r="H16" s="26" t="inlineStr">
        <is>
          <t>Operator</t>
        </is>
      </c>
      <c r="I16" s="28" t="n">
        <v>10</v>
      </c>
    </row>
    <row r="17" ht="23.1" customHeight="1">
      <c r="A17" s="25" t="inlineStr">
        <is>
          <t>O"SHEA, John</t>
        </is>
      </c>
      <c r="B17" s="26" t="inlineStr">
        <is>
          <t>Senior Project Engineer</t>
        </is>
      </c>
      <c r="C17" s="27" t="n"/>
      <c r="D17" s="43" t="n"/>
      <c r="E17" s="43" t="n"/>
      <c r="F17" s="26" t="n"/>
      <c r="G17" s="42" t="inlineStr">
        <is>
          <t>Daniel McAuffile</t>
        </is>
      </c>
      <c r="H17" s="26" t="inlineStr">
        <is>
          <t>Operator</t>
        </is>
      </c>
      <c r="I17" s="28" t="n">
        <v>10</v>
      </c>
    </row>
    <row r="18" ht="23.1" customHeight="1">
      <c r="A18" s="25" t="inlineStr">
        <is>
          <t>GRIFFITHS, Ashley</t>
        </is>
      </c>
      <c r="B18" s="26" t="inlineStr">
        <is>
          <t>Supervisor</t>
        </is>
      </c>
      <c r="C18" s="27" t="n">
        <v>10</v>
      </c>
      <c r="D18" s="41" t="n"/>
      <c r="E18" s="41" t="n"/>
      <c r="F18" s="26" t="n"/>
      <c r="G18" s="42" t="inlineStr">
        <is>
          <t>Jachai Griffiths</t>
        </is>
      </c>
      <c r="H18" s="26" t="inlineStr">
        <is>
          <t>Operator</t>
        </is>
      </c>
      <c r="I18" s="28" t="n">
        <v>10</v>
      </c>
    </row>
    <row r="19" ht="23.1" customHeight="1">
      <c r="A19" s="25" t="inlineStr">
        <is>
          <t>LOW, June</t>
        </is>
      </c>
      <c r="B19" s="26" t="inlineStr">
        <is>
          <t>HSET</t>
        </is>
      </c>
      <c r="C19" s="27" t="n"/>
      <c r="D19" s="41" t="n"/>
      <c r="E19" s="41" t="n"/>
      <c r="F19" s="26" t="n"/>
      <c r="G19" s="42" t="inlineStr">
        <is>
          <t>O'Brian, Jamie</t>
        </is>
      </c>
      <c r="H19" s="26" t="inlineStr">
        <is>
          <t>Operator</t>
        </is>
      </c>
      <c r="I19" s="28" t="n">
        <v>10</v>
      </c>
    </row>
    <row r="20" ht="23.1" customHeight="1">
      <c r="A20" s="25" t="n"/>
      <c r="B20" s="26" t="n"/>
      <c r="C20" s="27" t="n"/>
      <c r="D20" s="41" t="n"/>
      <c r="E20" s="41" t="n"/>
      <c r="F20" s="26" t="n"/>
      <c r="G20" s="42" t="inlineStr">
        <is>
          <t>Rixon, Ian</t>
        </is>
      </c>
      <c r="H20" s="26" t="inlineStr">
        <is>
          <t>Operator</t>
        </is>
      </c>
      <c r="I20" s="28" t="n">
        <v>10</v>
      </c>
    </row>
    <row r="21" ht="23.1" customHeight="1">
      <c r="A21" s="25" t="n"/>
      <c r="B21" s="26" t="n"/>
      <c r="C21" s="27" t="n"/>
      <c r="D21" s="41" t="n"/>
      <c r="E21" s="41" t="n"/>
      <c r="F21" s="26" t="n"/>
      <c r="G21" s="42" t="inlineStr">
        <is>
          <t>Goodwin, Noah</t>
        </is>
      </c>
      <c r="H21" s="26" t="inlineStr">
        <is>
          <t>Labourer</t>
        </is>
      </c>
      <c r="I21" s="28" t="n">
        <v>10</v>
      </c>
    </row>
    <row r="22" ht="23.1" customHeight="1">
      <c r="A22" s="25" t="n"/>
      <c r="B22" s="26" t="n"/>
      <c r="C22" s="27" t="n"/>
      <c r="D22" s="41" t="n"/>
      <c r="E22" s="41" t="n"/>
      <c r="F22" s="26" t="n"/>
      <c r="G22" s="42" t="inlineStr">
        <is>
          <t>Chester, Matt</t>
        </is>
      </c>
      <c r="H22" s="26" t="inlineStr">
        <is>
          <t>Gas Fitter</t>
        </is>
      </c>
      <c r="I22" s="28" t="n"/>
    </row>
    <row r="23" ht="23.1" customHeight="1">
      <c r="A23" s="25" t="n"/>
      <c r="B23" s="26" t="n"/>
      <c r="C23" s="27" t="n"/>
      <c r="D23" s="41" t="n"/>
      <c r="E23" s="41" t="n"/>
      <c r="F23" s="26" t="n"/>
      <c r="G23" s="42" t="inlineStr">
        <is>
          <t>Mounsey, Matt</t>
        </is>
      </c>
      <c r="H23" s="26" t="inlineStr">
        <is>
          <t>Gas Fitter</t>
        </is>
      </c>
      <c r="I23" s="28" t="n"/>
    </row>
    <row r="24" ht="23.1" customHeight="1">
      <c r="A24" s="25" t="n"/>
      <c r="B24" s="26" t="n"/>
      <c r="C24" s="27" t="n"/>
      <c r="D24" s="41" t="n"/>
      <c r="E24" s="41" t="n"/>
      <c r="F24" s="26" t="n"/>
      <c r="G24" s="42" t="inlineStr">
        <is>
          <t>Herring, Levin</t>
        </is>
      </c>
      <c r="H24" s="26" t="inlineStr">
        <is>
          <t>Gas Fitter</t>
        </is>
      </c>
      <c r="I24" s="28" t="n"/>
    </row>
    <row r="25" ht="23.1" customHeight="1">
      <c r="A25" s="25" t="n"/>
      <c r="B25" s="26" t="n"/>
      <c r="C25" s="27" t="n"/>
      <c r="D25" s="41" t="n"/>
      <c r="E25" s="41" t="n"/>
      <c r="F25" s="26" t="n"/>
      <c r="G25" s="44" t="n"/>
      <c r="H25" s="26" t="n"/>
      <c r="I25" s="28" t="n"/>
    </row>
    <row r="26" ht="23.1" customHeight="1">
      <c r="A26" s="239" t="inlineStr">
        <is>
          <t xml:space="preserve">Total Indirect Personnel onsite: </t>
        </is>
      </c>
      <c r="B26" s="45">
        <f>SUM(F15:F26)</f>
        <v/>
      </c>
      <c r="C26" s="41" t="n"/>
      <c r="D26" s="41" t="n"/>
      <c r="E26" s="41" t="n"/>
      <c r="F26" s="26" t="n"/>
      <c r="G26" s="194" t="inlineStr">
        <is>
          <t>Total Subcontractor on-site:</t>
        </is>
      </c>
      <c r="H26" s="46">
        <f>COUNTIF(I15:I25,"&gt;0")</f>
        <v/>
      </c>
      <c r="I26" s="28" t="n"/>
    </row>
    <row r="27" ht="23.1" customHeight="1">
      <c r="A27" s="239" t="inlineStr">
        <is>
          <t xml:space="preserve">Total Indirect Personnel hours: </t>
        </is>
      </c>
      <c r="B27" s="45">
        <f>SUM(C15:C25)</f>
        <v/>
      </c>
      <c r="C27" s="27" t="n"/>
      <c r="D27" s="41" t="n"/>
      <c r="E27" s="41" t="n"/>
      <c r="F27" s="26" t="n"/>
      <c r="G27" s="194" t="inlineStr">
        <is>
          <t>Total Subcontractor hours:</t>
        </is>
      </c>
      <c r="H27" s="46">
        <f>SUM(I15:I25)</f>
        <v/>
      </c>
      <c r="I27" s="28" t="n"/>
    </row>
    <row r="28" ht="23.1" customHeight="1">
      <c r="A28" s="239" t="inlineStr">
        <is>
          <t xml:space="preserve">Total Direct Personnel onsite:  </t>
        </is>
      </c>
      <c r="B28" s="45">
        <f>COUNTIF(F15:F29,"&gt;0")</f>
        <v/>
      </c>
      <c r="C28" s="45" t="n"/>
      <c r="D28" s="41" t="n"/>
      <c r="E28" s="41" t="n"/>
      <c r="F28" s="47" t="n"/>
      <c r="G28" s="194" t="n"/>
      <c r="H28" s="46" t="n"/>
      <c r="I28" s="238" t="n"/>
    </row>
    <row r="29" ht="23.1" customHeight="1">
      <c r="A29" s="239" t="inlineStr">
        <is>
          <t xml:space="preserve">Total Direct Personnel hours: </t>
        </is>
      </c>
      <c r="B29" s="45">
        <f>SUM(F15:F29)</f>
        <v/>
      </c>
      <c r="C29" s="45" t="n"/>
      <c r="D29" s="45" t="n"/>
      <c r="E29" s="45" t="n"/>
      <c r="F29" s="45" t="n"/>
      <c r="G29" s="45" t="n"/>
      <c r="H29" s="45" t="n"/>
      <c r="I29" s="238" t="n"/>
    </row>
    <row r="30" ht="24.95" customHeight="1">
      <c r="A30" s="10" t="inlineStr">
        <is>
          <t>PLANT &amp; EQUIPMENT</t>
        </is>
      </c>
      <c r="B30" s="1" t="n"/>
      <c r="C30" s="1" t="n"/>
      <c r="D30" s="1" t="n"/>
      <c r="E30" s="1" t="n"/>
      <c r="F30" s="1" t="n"/>
      <c r="G30" s="1" t="n"/>
      <c r="H30" s="1" t="n"/>
      <c r="I30" s="2" t="n"/>
    </row>
    <row r="31" ht="24" customHeight="1">
      <c r="A31" s="183" t="inlineStr">
        <is>
          <t>Plant</t>
        </is>
      </c>
      <c r="B31" s="184" t="inlineStr">
        <is>
          <t>ID</t>
        </is>
      </c>
      <c r="C31" s="184" t="inlineStr">
        <is>
          <t>Hours</t>
        </is>
      </c>
      <c r="D31" s="184" t="inlineStr">
        <is>
          <t xml:space="preserve"> Vehicles</t>
        </is>
      </c>
      <c r="E31" s="184" t="inlineStr">
        <is>
          <t>ID</t>
        </is>
      </c>
      <c r="F31" s="184" t="inlineStr">
        <is>
          <t>QTY</t>
        </is>
      </c>
      <c r="G31" s="23" t="inlineStr">
        <is>
          <t>Site Facilities</t>
        </is>
      </c>
      <c r="H31" s="23" t="inlineStr">
        <is>
          <t>ID</t>
        </is>
      </c>
      <c r="I31" s="24" t="inlineStr">
        <is>
          <t>Qty</t>
        </is>
      </c>
    </row>
    <row r="32" ht="23.1" customHeight="1">
      <c r="A32" s="25" t="inlineStr">
        <is>
          <t>Komatsu WA320</t>
        </is>
      </c>
      <c r="B32" s="26" t="inlineStr">
        <is>
          <t>FWL18</t>
        </is>
      </c>
      <c r="C32" s="26" t="n">
        <v>5</v>
      </c>
      <c r="D32" s="27" t="inlineStr">
        <is>
          <t>Hilux</t>
        </is>
      </c>
      <c r="E32" s="27" t="inlineStr">
        <is>
          <t>DLV90</t>
        </is>
      </c>
      <c r="F32" s="27" t="n">
        <v>1</v>
      </c>
      <c r="G32" s="27" t="inlineStr">
        <is>
          <t>Office 40ft</t>
        </is>
      </c>
      <c r="H32" s="27" t="n">
        <v>9255540</v>
      </c>
      <c r="I32" s="28" t="n">
        <v>1</v>
      </c>
    </row>
    <row r="33" ht="23.1" customHeight="1">
      <c r="A33" s="25" t="inlineStr">
        <is>
          <t>Wacker Neuson DPU</t>
        </is>
      </c>
      <c r="B33" s="26" t="inlineStr">
        <is>
          <t>DPC15</t>
        </is>
      </c>
      <c r="C33" s="26" t="n"/>
      <c r="D33" s="27" t="inlineStr">
        <is>
          <t>6 Wheel Tipper</t>
        </is>
      </c>
      <c r="E33" s="27" t="inlineStr">
        <is>
          <t>AMG04</t>
        </is>
      </c>
      <c r="F33" s="27" t="n"/>
      <c r="G33" s="27" t="inlineStr">
        <is>
          <t>Sea Container 20ft</t>
        </is>
      </c>
      <c r="H33" s="26" t="n">
        <v>951200</v>
      </c>
      <c r="I33" s="28" t="n">
        <v>1</v>
      </c>
    </row>
    <row r="34" ht="23.1" customHeight="1">
      <c r="A34" s="29" t="inlineStr">
        <is>
          <t>Positrak</t>
        </is>
      </c>
      <c r="B34" s="27" t="inlineStr">
        <is>
          <t>AMG 025</t>
        </is>
      </c>
      <c r="C34" s="26" t="n">
        <v>10</v>
      </c>
      <c r="D34" s="27" t="n"/>
      <c r="E34" s="26" t="n"/>
      <c r="F34" s="27" t="n"/>
      <c r="G34" s="27" t="inlineStr">
        <is>
          <t>Site Sentry Tower</t>
        </is>
      </c>
      <c r="H34" s="27" t="n"/>
      <c r="I34" s="28" t="n">
        <v>2</v>
      </c>
    </row>
    <row r="35" ht="23.1" customHeight="1">
      <c r="A35" s="29" t="inlineStr">
        <is>
          <t>Watercart</t>
        </is>
      </c>
      <c r="B35" s="27" t="inlineStr">
        <is>
          <t>WC04</t>
        </is>
      </c>
      <c r="C35" s="26" t="n">
        <v>5</v>
      </c>
      <c r="D35" s="27" t="n"/>
      <c r="E35" s="27" t="n"/>
      <c r="F35" s="27" t="n"/>
      <c r="G35" s="27" t="inlineStr">
        <is>
          <t>Skip Bin</t>
        </is>
      </c>
      <c r="H35" s="27" t="n"/>
      <c r="I35" s="28" t="n">
        <v>1</v>
      </c>
    </row>
    <row r="36" ht="23.1" customHeight="1">
      <c r="A36" s="29" t="inlineStr">
        <is>
          <t>8T Excavator</t>
        </is>
      </c>
      <c r="B36" s="30" t="inlineStr">
        <is>
          <t>AMG 014</t>
        </is>
      </c>
      <c r="C36" s="26" t="n">
        <v>10</v>
      </c>
      <c r="D36" s="27" t="n"/>
      <c r="E36" s="27" t="n"/>
      <c r="F36" s="27" t="n"/>
      <c r="G36" s="27" t="inlineStr">
        <is>
          <t>Hydrocarbon Bund</t>
        </is>
      </c>
      <c r="H36" s="27" t="n"/>
      <c r="I36" s="28" t="n">
        <v>1</v>
      </c>
    </row>
    <row r="37" ht="23.1" customHeight="1">
      <c r="A37" s="27" t="inlineStr">
        <is>
          <t>6 Wheel Tipper</t>
        </is>
      </c>
      <c r="B37" s="27" t="inlineStr">
        <is>
          <t>AMG 008</t>
        </is>
      </c>
      <c r="C37" s="27" t="n"/>
      <c r="D37" s="27" t="n"/>
      <c r="E37" s="27" t="n"/>
      <c r="F37" s="27" t="n"/>
      <c r="G37" s="27" t="inlineStr">
        <is>
          <t>Temp Fence</t>
        </is>
      </c>
      <c r="H37" s="26" t="n"/>
      <c r="I37" s="28" t="n">
        <v>1</v>
      </c>
    </row>
    <row r="38" ht="24" customHeight="1">
      <c r="A38" s="29" t="inlineStr">
        <is>
          <t>Padfoot/ Smooth Drum Roller</t>
        </is>
      </c>
      <c r="B38" s="27" t="inlineStr">
        <is>
          <t>RR 03</t>
        </is>
      </c>
      <c r="C38" s="26" t="n"/>
      <c r="D38" s="27" t="n"/>
      <c r="E38" s="27" t="n"/>
      <c r="F38" s="27" t="n"/>
      <c r="G38" s="31" t="n"/>
      <c r="H38" s="31" t="n"/>
      <c r="I38" s="32" t="n"/>
    </row>
    <row r="39" ht="24" customHeight="1">
      <c r="A39" s="29" t="inlineStr">
        <is>
          <t>Positrak SSL</t>
        </is>
      </c>
      <c r="B39" s="27" t="inlineStr">
        <is>
          <t>SSL08</t>
        </is>
      </c>
      <c r="C39" s="26" t="n">
        <v>10</v>
      </c>
      <c r="D39" s="27" t="n"/>
      <c r="E39" s="27" t="n"/>
      <c r="F39" s="27" t="n"/>
      <c r="G39" s="31" t="n"/>
      <c r="H39" s="31" t="n"/>
      <c r="I39" s="32" t="n"/>
    </row>
    <row r="40" ht="23.1" customHeight="1">
      <c r="A40" s="29" t="inlineStr">
        <is>
          <t>Grader</t>
        </is>
      </c>
      <c r="B40" s="27" t="inlineStr">
        <is>
          <t>SLS01</t>
        </is>
      </c>
      <c r="C40" s="26" t="n"/>
      <c r="D40" s="27" t="n"/>
      <c r="E40" s="27" t="n"/>
      <c r="F40" s="27" t="n"/>
      <c r="G40" s="27" t="n"/>
      <c r="H40" s="26" t="n"/>
      <c r="I40" s="28" t="n"/>
    </row>
    <row r="41" ht="23.1" customHeight="1">
      <c r="A41" s="29" t="inlineStr">
        <is>
          <t>5t Excavator</t>
        </is>
      </c>
      <c r="B41" s="27" t="inlineStr">
        <is>
          <t>AMG 007</t>
        </is>
      </c>
      <c r="C41" s="26" t="n">
        <v>10</v>
      </c>
      <c r="D41" s="27" t="n"/>
      <c r="E41" s="27" t="n"/>
      <c r="F41" s="27" t="n"/>
      <c r="G41" s="27" t="n"/>
      <c r="H41" s="26" t="n"/>
      <c r="I41" s="28" t="n"/>
    </row>
    <row r="42" ht="23.1" customHeight="1">
      <c r="A42" s="29" t="inlineStr">
        <is>
          <t>1.5 Excavator</t>
        </is>
      </c>
      <c r="B42" s="27" t="inlineStr">
        <is>
          <t>AMG 009</t>
        </is>
      </c>
      <c r="C42" s="26" t="n">
        <v>10</v>
      </c>
      <c r="D42" s="27" t="n"/>
      <c r="E42" s="27" t="n"/>
      <c r="F42" s="27" t="n"/>
      <c r="G42" s="27" t="n"/>
      <c r="H42" s="26" t="n"/>
      <c r="I42" s="28" t="n"/>
    </row>
    <row r="43" ht="24" customHeight="1">
      <c r="A43" s="29" t="n"/>
      <c r="B43" s="27" t="n"/>
      <c r="C43" s="26" t="n"/>
      <c r="D43" s="31" t="n"/>
      <c r="E43" s="31" t="n"/>
      <c r="F43" s="31" t="n"/>
      <c r="G43" s="31" t="n"/>
      <c r="H43" s="31" t="n"/>
      <c r="I43" s="32" t="n"/>
    </row>
    <row r="44" ht="18" customHeight="1">
      <c r="A44" s="33" t="n">
        <v>0</v>
      </c>
      <c r="B44" s="186" t="inlineStr">
        <is>
          <t xml:space="preserve">Repairs Required </t>
        </is>
      </c>
      <c r="C44" s="276" t="n"/>
      <c r="D44" s="233" t="inlineStr">
        <is>
          <t>N/A</t>
        </is>
      </c>
      <c r="E44" s="275" t="n"/>
      <c r="F44" s="275" t="n"/>
      <c r="G44" s="275" t="n"/>
      <c r="H44" s="275" t="n"/>
      <c r="I44" s="277" t="n"/>
    </row>
    <row r="45" ht="18" customHeight="1">
      <c r="A45" s="34" t="n">
        <v>0</v>
      </c>
      <c r="B45" s="186" t="inlineStr">
        <is>
          <t>Scheduled Service</t>
        </is>
      </c>
      <c r="C45" s="276" t="n"/>
      <c r="D45" s="233" t="inlineStr">
        <is>
          <t>N/A</t>
        </is>
      </c>
      <c r="E45" s="275" t="n"/>
      <c r="F45" s="275" t="n"/>
      <c r="G45" s="275" t="n"/>
      <c r="H45" s="275" t="n"/>
      <c r="I45" s="277" t="n"/>
    </row>
    <row r="46" ht="18" customHeight="1">
      <c r="A46" s="35" t="n">
        <v>0</v>
      </c>
      <c r="B46" s="186" t="inlineStr">
        <is>
          <t>Repairs required but operable</t>
        </is>
      </c>
      <c r="C46" s="276" t="n"/>
      <c r="D46" s="233" t="inlineStr">
        <is>
          <t>N/A</t>
        </is>
      </c>
      <c r="E46" s="275" t="n"/>
      <c r="F46" s="275" t="n"/>
      <c r="G46" s="275" t="n"/>
      <c r="H46" s="275" t="n"/>
      <c r="I46" s="277" t="n"/>
    </row>
    <row r="47" ht="23.1" customHeight="1">
      <c r="A47" s="239" t="inlineStr">
        <is>
          <t xml:space="preserve">Total Plant and Equipment Hours: </t>
        </is>
      </c>
      <c r="B47" s="276" t="n"/>
      <c r="C47" s="195">
        <f>SUM(C32:C43)</f>
        <v/>
      </c>
      <c r="D47" s="185" t="n"/>
      <c r="E47" s="275" t="n"/>
      <c r="F47" s="275" t="n"/>
      <c r="G47" s="275" t="n"/>
      <c r="H47" s="275" t="n"/>
      <c r="I47" s="277" t="n"/>
    </row>
    <row r="48" ht="24.95" customHeight="1">
      <c r="A48" s="230" t="inlineStr">
        <is>
          <t>DELAYS-OPPORTUNITY</t>
        </is>
      </c>
      <c r="B48" s="275" t="n"/>
      <c r="C48" s="275" t="n"/>
      <c r="D48" s="275" t="n"/>
      <c r="E48" s="275" t="n"/>
      <c r="F48" s="275" t="n"/>
      <c r="G48" s="275" t="n"/>
      <c r="H48" s="275" t="n"/>
      <c r="I48" s="277" t="n"/>
    </row>
    <row r="49" ht="20.1" customHeight="1">
      <c r="A49" s="5" t="n"/>
      <c r="B49" s="6" t="n"/>
      <c r="C49" s="6" t="n"/>
      <c r="D49" s="6" t="n"/>
      <c r="E49" s="6" t="n"/>
      <c r="F49" s="6" t="n"/>
      <c r="G49" s="6" t="n"/>
      <c r="H49" s="6" t="n"/>
      <c r="I49" s="7" t="n"/>
    </row>
    <row r="50">
      <c r="A50" s="240" t="inlineStr">
        <is>
          <t>APRA Shutdown</t>
        </is>
      </c>
      <c r="B50" s="278" t="n"/>
      <c r="C50" s="278" t="n"/>
      <c r="D50" s="278" t="n"/>
      <c r="E50" s="278" t="n"/>
      <c r="F50" s="278" t="n"/>
      <c r="G50" s="278" t="n"/>
      <c r="H50" s="278" t="n"/>
      <c r="I50" s="279" t="n"/>
    </row>
    <row r="51">
      <c r="A51" s="270" t="n"/>
      <c r="I51" s="271" t="n"/>
    </row>
    <row r="52">
      <c r="A52" s="270" t="n"/>
      <c r="I52" s="271" t="n"/>
    </row>
    <row r="53" ht="13.5" customHeight="1" thickBot="1">
      <c r="A53" s="280" t="n"/>
      <c r="B53" s="281" t="n"/>
      <c r="C53" s="281" t="n"/>
      <c r="D53" s="281" t="n"/>
      <c r="E53" s="281" t="n"/>
      <c r="F53" s="281" t="n"/>
      <c r="G53" s="281" t="n"/>
      <c r="H53" s="281" t="n"/>
      <c r="I53" s="282" t="n"/>
    </row>
    <row r="54" ht="24.95" customHeight="1">
      <c r="A54" s="236" t="inlineStr">
        <is>
          <t>HSEQ MESSAGES</t>
        </is>
      </c>
      <c r="B54" s="283" t="n"/>
      <c r="C54" s="283" t="n"/>
      <c r="D54" s="283" t="n"/>
      <c r="E54" s="283" t="n"/>
      <c r="F54" s="283" t="n"/>
      <c r="G54" s="283" t="n"/>
      <c r="H54" s="283" t="n"/>
      <c r="I54" s="284" t="n"/>
    </row>
    <row r="55" ht="18" customHeight="1">
      <c r="A55" s="18" t="inlineStr">
        <is>
          <t>TCD - Monthly Safety Focus:</t>
        </is>
      </c>
      <c r="B55" s="211" t="inlineStr">
        <is>
          <t>Return to Work</t>
        </is>
      </c>
      <c r="C55" s="275" t="n"/>
      <c r="D55" s="275" t="n"/>
      <c r="E55" s="275" t="n"/>
      <c r="F55" s="275" t="n"/>
      <c r="G55" s="275" t="n"/>
      <c r="H55" s="275" t="n"/>
      <c r="I55" s="276" t="n"/>
    </row>
    <row r="56" ht="24" customHeight="1">
      <c r="A56" s="18" t="inlineStr">
        <is>
          <t>TCD - Daily Safety Focus:</t>
        </is>
      </c>
      <c r="B56" s="212" t="inlineStr">
        <is>
          <t>Simops</t>
        </is>
      </c>
      <c r="C56" s="275" t="n"/>
      <c r="D56" s="275" t="n"/>
      <c r="E56" s="275" t="n"/>
      <c r="F56" s="275" t="n"/>
      <c r="G56" s="275" t="n"/>
      <c r="H56" s="275" t="n"/>
      <c r="I56" s="277" t="n"/>
    </row>
    <row r="57" ht="18" customHeight="1">
      <c r="A57" s="19" t="inlineStr">
        <is>
          <t xml:space="preserve">Hazards Reported: </t>
        </is>
      </c>
      <c r="B57" s="20" t="inlineStr">
        <is>
          <t>Nil</t>
        </is>
      </c>
      <c r="C57" s="212" t="n"/>
      <c r="D57" s="275" t="n"/>
      <c r="E57" s="275" t="n"/>
      <c r="F57" s="275" t="n"/>
      <c r="G57" s="275" t="n"/>
      <c r="H57" s="275" t="n"/>
      <c r="I57" s="277" t="n"/>
    </row>
    <row r="58" ht="18" customHeight="1">
      <c r="A58" s="19" t="inlineStr">
        <is>
          <t>Incident Free Days</t>
        </is>
      </c>
      <c r="B58" s="20" t="n">
        <v>55</v>
      </c>
      <c r="C58" s="211" t="n"/>
      <c r="D58" s="275" t="n"/>
      <c r="E58" s="275" t="n"/>
      <c r="F58" s="275" t="n"/>
      <c r="G58" s="275" t="n"/>
      <c r="H58" s="275" t="n"/>
      <c r="I58" s="276" t="n"/>
    </row>
    <row r="59" ht="18" customHeight="1">
      <c r="A59" s="21" t="inlineStr">
        <is>
          <t>Other Notes</t>
        </is>
      </c>
      <c r="B59" s="241" t="n"/>
      <c r="C59" s="278" t="n"/>
      <c r="D59" s="278" t="n"/>
      <c r="E59" s="278" t="n"/>
      <c r="F59" s="278" t="n"/>
      <c r="G59" s="278" t="n"/>
      <c r="H59" s="278" t="n"/>
      <c r="I59" s="279" t="n"/>
    </row>
    <row r="60" ht="20.25" customHeight="1">
      <c r="A60" s="230" t="inlineStr">
        <is>
          <t xml:space="preserve">INCIDENTS &amp; REPORTS </t>
        </is>
      </c>
      <c r="B60" s="275" t="n"/>
      <c r="C60" s="275" t="n"/>
      <c r="D60" s="275" t="n"/>
      <c r="E60" s="275" t="n"/>
      <c r="F60" s="275" t="n"/>
      <c r="G60" s="275" t="n"/>
      <c r="H60" s="275" t="n"/>
      <c r="I60" s="277" t="n"/>
    </row>
    <row r="61" ht="24.95" customHeight="1">
      <c r="A61" s="11" t="n"/>
      <c r="B61" s="184" t="inlineStr">
        <is>
          <t>QTY</t>
        </is>
      </c>
      <c r="C61" s="238" t="inlineStr">
        <is>
          <t>Comments</t>
        </is>
      </c>
      <c r="D61" s="275" t="n"/>
      <c r="E61" s="275" t="n"/>
      <c r="F61" s="275" t="n"/>
      <c r="G61" s="275" t="n"/>
      <c r="H61" s="275" t="n"/>
      <c r="I61" s="277" t="n"/>
    </row>
    <row r="62" ht="24.95" customHeight="1">
      <c r="A62" s="13" t="inlineStr">
        <is>
          <t>INCIDENT</t>
        </is>
      </c>
      <c r="B62" s="184" t="n">
        <v>0</v>
      </c>
      <c r="C62" s="233" t="inlineStr">
        <is>
          <t>NA</t>
        </is>
      </c>
      <c r="D62" s="275" t="n"/>
      <c r="E62" s="275" t="n"/>
      <c r="F62" s="275" t="n"/>
      <c r="G62" s="275" t="n"/>
      <c r="H62" s="275" t="n"/>
      <c r="I62" s="277" t="n"/>
    </row>
    <row r="63" ht="24.95" customHeight="1">
      <c r="A63" s="14" t="inlineStr">
        <is>
          <t>IR</t>
        </is>
      </c>
      <c r="B63" s="15" t="n">
        <v>0</v>
      </c>
      <c r="C63" s="234" t="inlineStr">
        <is>
          <t>NA</t>
        </is>
      </c>
      <c r="D63" s="278" t="n"/>
      <c r="E63" s="278" t="n"/>
      <c r="F63" s="278" t="n"/>
      <c r="G63" s="278" t="n"/>
      <c r="H63" s="278" t="n"/>
      <c r="I63" s="279" t="n"/>
    </row>
    <row r="64" ht="24.95" customHeight="1" thickBot="1">
      <c r="A64" s="16" t="inlineStr">
        <is>
          <t>NCR</t>
        </is>
      </c>
      <c r="B64" s="17" t="n">
        <v>0</v>
      </c>
      <c r="C64" s="235" t="inlineStr">
        <is>
          <t>NA</t>
        </is>
      </c>
      <c r="D64" s="285" t="n"/>
      <c r="E64" s="285" t="n"/>
      <c r="F64" s="285" t="n"/>
      <c r="G64" s="285" t="n"/>
      <c r="H64" s="285" t="n"/>
      <c r="I64" s="286" t="n"/>
    </row>
    <row r="65" ht="20.25" customHeight="1">
      <c r="A65" s="236" t="inlineStr">
        <is>
          <t>COMMUNICATIONS</t>
        </is>
      </c>
      <c r="B65" s="283" t="n"/>
      <c r="C65" s="283" t="n"/>
      <c r="D65" s="283" t="n"/>
      <c r="E65" s="283" t="n"/>
      <c r="F65" s="283" t="n"/>
      <c r="G65" s="283" t="n"/>
      <c r="H65" s="283" t="n"/>
      <c r="I65" s="284" t="n"/>
    </row>
    <row r="66" ht="24.95" customHeight="1">
      <c r="A66" s="237" t="inlineStr">
        <is>
          <t>TGS MB1119-05 Scheme D impletmented</t>
        </is>
      </c>
      <c r="B66" s="275" t="n"/>
      <c r="C66" s="275" t="n"/>
      <c r="D66" s="275" t="n"/>
      <c r="E66" s="275" t="n"/>
      <c r="F66" s="275" t="n"/>
      <c r="G66" s="275" t="n"/>
      <c r="H66" s="275" t="n"/>
      <c r="I66" s="277" t="n"/>
    </row>
    <row r="67" ht="24.95" customHeight="1">
      <c r="A67" s="237" t="n"/>
      <c r="B67" s="275" t="n"/>
      <c r="C67" s="275" t="n"/>
      <c r="D67" s="275" t="n"/>
      <c r="E67" s="275" t="n"/>
      <c r="F67" s="275" t="n"/>
      <c r="G67" s="275" t="n"/>
      <c r="H67" s="275" t="n"/>
      <c r="I67" s="277" t="n"/>
    </row>
    <row r="68" ht="24.95" customHeight="1">
      <c r="A68" s="230" t="inlineStr">
        <is>
          <t>PRODUCTION (CONSTRUCTION STATUS &amp; PROGRESS)</t>
        </is>
      </c>
      <c r="B68" s="275" t="n"/>
      <c r="C68" s="275" t="n"/>
      <c r="D68" s="275" t="n"/>
      <c r="E68" s="275" t="n"/>
      <c r="F68" s="275" t="n"/>
      <c r="G68" s="275" t="n"/>
      <c r="H68" s="275" t="n"/>
      <c r="I68" s="277" t="n"/>
    </row>
    <row r="69" ht="24.95" customHeight="1">
      <c r="A69" s="66" t="inlineStr">
        <is>
          <t>Ongoing underground services</t>
        </is>
      </c>
      <c r="B69" s="62" t="n"/>
      <c r="C69" s="62" t="n"/>
      <c r="D69" s="62" t="n"/>
      <c r="E69" s="62" t="n"/>
      <c r="F69" s="62" t="n"/>
      <c r="G69" s="62" t="n"/>
      <c r="H69" s="62" t="n"/>
      <c r="I69" s="63" t="n"/>
    </row>
    <row r="70" ht="24.95" customHeight="1">
      <c r="A70" s="66" t="inlineStr">
        <is>
          <t>Complete 525 Culvert (Extend into Future Area)</t>
        </is>
      </c>
      <c r="B70" s="62" t="n"/>
      <c r="C70" s="62" t="n"/>
      <c r="D70" s="62" t="n"/>
      <c r="E70" s="62" t="n"/>
      <c r="F70" s="62" t="n"/>
      <c r="G70" s="62" t="n"/>
      <c r="H70" s="62" t="n"/>
      <c r="I70" s="63" t="n"/>
    </row>
    <row r="71" ht="24.95" customHeight="1">
      <c r="A71" s="66" t="n"/>
      <c r="B71" s="62" t="n"/>
      <c r="C71" s="62" t="n"/>
      <c r="D71" s="62" t="n"/>
      <c r="E71" s="62" t="n"/>
      <c r="F71" s="62" t="n"/>
      <c r="G71" s="62" t="n"/>
      <c r="H71" s="62" t="n"/>
      <c r="I71" s="63" t="n"/>
    </row>
    <row r="72" ht="24.95" customHeight="1">
      <c r="A72" s="66" t="n"/>
      <c r="B72" s="62" t="n"/>
      <c r="C72" s="62" t="n"/>
      <c r="D72" s="62" t="n"/>
      <c r="E72" s="62" t="n"/>
      <c r="F72" s="62" t="n"/>
      <c r="G72" s="62" t="n"/>
      <c r="H72" s="62" t="n"/>
      <c r="I72" s="63" t="n"/>
    </row>
    <row r="73" ht="26.1" customHeight="1" thickBot="1">
      <c r="A73" s="231" t="inlineStr">
        <is>
          <t>PHOTOS</t>
        </is>
      </c>
      <c r="B73" s="278" t="n"/>
      <c r="C73" s="278" t="n"/>
      <c r="D73" s="278" t="n"/>
      <c r="E73" s="278" t="n"/>
      <c r="F73" s="278" t="n"/>
      <c r="G73" s="278" t="n"/>
      <c r="H73" s="278" t="n"/>
      <c r="I73" s="279" t="n"/>
    </row>
    <row r="74" ht="23.1" customHeight="1">
      <c r="A74" s="70" t="n"/>
      <c r="B74" s="71" t="n"/>
      <c r="C74" s="71" t="n"/>
      <c r="D74" s="71" t="n"/>
      <c r="E74" s="71" t="n"/>
      <c r="F74" s="71" t="n"/>
      <c r="G74" s="71" t="n"/>
      <c r="H74" s="71" t="n"/>
      <c r="I74" s="72" t="n"/>
    </row>
    <row r="75" ht="23.1" customHeight="1">
      <c r="A75" s="73" t="n"/>
      <c r="B75" s="74" t="n"/>
      <c r="C75" s="74" t="n"/>
      <c r="D75" s="74" t="n"/>
      <c r="E75" s="74" t="n"/>
      <c r="F75" s="74" t="n"/>
      <c r="G75" s="74" t="n"/>
      <c r="H75" s="74" t="n"/>
      <c r="I75" s="75" t="n"/>
    </row>
    <row r="76" ht="15" customHeight="1">
      <c r="A76" s="73" t="n"/>
      <c r="B76" s="74" t="n"/>
      <c r="C76" s="74" t="n"/>
      <c r="D76" s="74" t="n"/>
      <c r="E76" s="74" t="n"/>
      <c r="F76" s="74" t="n"/>
      <c r="G76" s="74" t="n"/>
      <c r="H76" s="74" t="n"/>
      <c r="I76" s="75" t="n"/>
    </row>
    <row r="77" ht="15" customHeight="1">
      <c r="A77" s="73" t="n"/>
      <c r="B77" s="74" t="n"/>
      <c r="C77" s="74" t="n"/>
      <c r="D77" s="74" t="n"/>
      <c r="E77" s="74" t="n"/>
      <c r="F77" s="74" t="n"/>
      <c r="G77" s="74" t="n"/>
      <c r="H77" s="74" t="n"/>
      <c r="I77" s="75" t="n"/>
    </row>
    <row r="78" ht="15" customHeight="1">
      <c r="A78" s="73" t="n"/>
      <c r="B78" s="74" t="n"/>
      <c r="C78" s="74" t="n"/>
      <c r="D78" s="74" t="n"/>
      <c r="E78" s="74" t="n"/>
      <c r="F78" s="74" t="n"/>
      <c r="G78" s="74" t="n"/>
      <c r="H78" s="74" t="n"/>
      <c r="I78" s="75" t="n"/>
    </row>
    <row r="79" ht="15" customHeight="1">
      <c r="A79" s="73" t="n"/>
      <c r="B79" s="74" t="n"/>
      <c r="C79" s="74" t="n"/>
      <c r="D79" s="74" t="n"/>
      <c r="E79" s="74" t="n"/>
      <c r="F79" s="74" t="n"/>
      <c r="G79" s="74" t="n"/>
      <c r="H79" s="74" t="n"/>
      <c r="I79" s="75" t="n"/>
    </row>
    <row r="80" ht="15" customHeight="1">
      <c r="A80" s="73" t="n"/>
      <c r="B80" s="74" t="n"/>
      <c r="C80" s="74" t="n"/>
      <c r="D80" s="74" t="n"/>
      <c r="E80" s="74" t="n"/>
      <c r="F80" s="74" t="n"/>
      <c r="G80" s="74" t="n"/>
      <c r="H80" s="74" t="n"/>
      <c r="I80" s="75" t="n"/>
    </row>
    <row r="81" ht="15" customHeight="1">
      <c r="A81" s="73" t="n"/>
      <c r="B81" s="74" t="n"/>
      <c r="C81" s="74" t="n"/>
      <c r="D81" s="74" t="n"/>
      <c r="E81" s="74" t="n"/>
      <c r="F81" s="74" t="n"/>
      <c r="G81" s="74" t="n"/>
      <c r="H81" s="74" t="n"/>
      <c r="I81" s="75" t="n"/>
    </row>
    <row r="82" ht="15" customHeight="1">
      <c r="A82" s="73" t="n"/>
      <c r="B82" s="74" t="n"/>
      <c r="C82" s="74" t="n"/>
      <c r="D82" s="74" t="n"/>
      <c r="E82" s="74" t="n"/>
      <c r="F82" s="74" t="n"/>
      <c r="G82" s="74" t="n"/>
      <c r="H82" s="74" t="n"/>
      <c r="I82" s="75" t="n"/>
    </row>
    <row r="83" ht="15" customHeight="1">
      <c r="A83" s="73" t="n"/>
      <c r="B83" s="74" t="n"/>
      <c r="C83" s="74" t="n"/>
      <c r="D83" s="74" t="n"/>
      <c r="E83" s="74" t="n"/>
      <c r="F83" s="74" t="n"/>
      <c r="G83" s="74" t="n"/>
      <c r="H83" s="74" t="n"/>
      <c r="I83" s="75" t="n"/>
    </row>
    <row r="84" ht="15" customHeight="1">
      <c r="A84" s="73" t="n"/>
      <c r="B84" s="74" t="n"/>
      <c r="C84" s="74" t="n"/>
      <c r="D84" s="74" t="n"/>
      <c r="E84" s="74" t="n"/>
      <c r="F84" s="74" t="n"/>
      <c r="G84" s="74" t="n"/>
      <c r="H84" s="74" t="n"/>
      <c r="I84" s="75" t="n"/>
    </row>
    <row r="85" ht="15" customHeight="1">
      <c r="A85" s="73" t="n"/>
      <c r="B85" s="74" t="n"/>
      <c r="C85" s="74" t="n"/>
      <c r="D85" s="74" t="n"/>
      <c r="E85" s="74" t="n"/>
      <c r="F85" s="74" t="n"/>
      <c r="G85" s="74" t="n"/>
      <c r="H85" s="74" t="n"/>
      <c r="I85" s="75" t="n"/>
    </row>
    <row r="86" ht="15" customHeight="1">
      <c r="A86" s="73" t="n"/>
      <c r="B86" s="74" t="n"/>
      <c r="C86" s="74" t="n"/>
      <c r="D86" s="74" t="n"/>
      <c r="E86" s="74" t="n"/>
      <c r="F86" s="74" t="n"/>
      <c r="G86" s="74" t="n"/>
      <c r="H86" s="74" t="n"/>
      <c r="I86" s="75" t="n"/>
    </row>
    <row r="87" ht="15" customHeight="1">
      <c r="A87" s="73" t="n"/>
      <c r="B87" s="74" t="n"/>
      <c r="C87" s="74" t="n"/>
      <c r="D87" s="74" t="n"/>
      <c r="E87" s="74" t="n"/>
      <c r="F87" s="74" t="n"/>
      <c r="G87" s="74" t="n"/>
      <c r="H87" s="74" t="n"/>
      <c r="I87" s="75" t="n"/>
    </row>
    <row r="88" ht="15" customHeight="1">
      <c r="A88" s="73" t="n"/>
      <c r="B88" s="74" t="n"/>
      <c r="C88" s="74" t="n"/>
      <c r="D88" s="74" t="n"/>
      <c r="E88" s="74" t="n"/>
      <c r="F88" s="74" t="n"/>
      <c r="G88" s="74" t="n"/>
      <c r="H88" s="74" t="n"/>
      <c r="I88" s="75" t="n"/>
    </row>
    <row r="89" ht="15" customHeight="1">
      <c r="A89" s="73" t="n"/>
      <c r="B89" s="74" t="n"/>
      <c r="C89" s="74" t="n"/>
      <c r="D89" s="74" t="n"/>
      <c r="E89" s="74" t="n"/>
      <c r="F89" s="74" t="n"/>
      <c r="G89" s="74" t="n"/>
      <c r="H89" s="74" t="n"/>
      <c r="I89" s="75" t="n"/>
    </row>
    <row r="90" ht="15" customHeight="1">
      <c r="A90" s="73" t="n"/>
      <c r="B90" s="74" t="n"/>
      <c r="C90" s="74" t="n"/>
      <c r="D90" s="74" t="n"/>
      <c r="E90" s="74" t="n"/>
      <c r="F90" s="74" t="n"/>
      <c r="G90" s="74" t="n"/>
      <c r="H90" s="74" t="n"/>
      <c r="I90" s="75" t="n"/>
    </row>
    <row r="91" ht="15" customHeight="1">
      <c r="A91" s="73" t="n"/>
      <c r="B91" s="74" t="n"/>
      <c r="C91" s="74" t="n"/>
      <c r="D91" s="74" t="n"/>
      <c r="E91" s="74" t="n"/>
      <c r="F91" s="74" t="n"/>
      <c r="G91" s="74" t="n"/>
      <c r="H91" s="74" t="n"/>
      <c r="I91" s="75" t="n"/>
    </row>
    <row r="92" ht="15" customHeight="1">
      <c r="A92" s="73" t="n"/>
      <c r="B92" s="74" t="n"/>
      <c r="C92" s="74" t="n"/>
      <c r="D92" s="74" t="n"/>
      <c r="E92" s="74" t="n"/>
      <c r="F92" s="74" t="n"/>
      <c r="G92" s="74" t="n"/>
      <c r="H92" s="74" t="n"/>
      <c r="I92" s="75" t="n"/>
    </row>
    <row r="93" ht="15" customHeight="1">
      <c r="A93" s="73" t="n"/>
      <c r="B93" s="74" t="n"/>
      <c r="C93" s="74" t="n"/>
      <c r="D93" s="74" t="n"/>
      <c r="E93" s="74" t="n"/>
      <c r="F93" s="74" t="n"/>
      <c r="G93" s="74" t="n"/>
      <c r="H93" s="74" t="n"/>
      <c r="I93" s="75" t="n"/>
    </row>
    <row r="94" ht="15" customHeight="1">
      <c r="A94" s="73" t="n"/>
      <c r="B94" s="74" t="n"/>
      <c r="C94" s="74" t="n"/>
      <c r="D94" s="74" t="n"/>
      <c r="E94" s="74" t="n"/>
      <c r="F94" s="74" t="n"/>
      <c r="G94" s="74" t="n"/>
      <c r="H94" s="74" t="n"/>
      <c r="I94" s="75" t="n"/>
    </row>
    <row r="95" ht="15" customHeight="1">
      <c r="A95" s="73" t="n"/>
      <c r="B95" s="74" t="n"/>
      <c r="C95" s="74" t="n"/>
      <c r="D95" s="74" t="n"/>
      <c r="E95" s="74" t="n"/>
      <c r="F95" s="74" t="n"/>
      <c r="G95" s="74" t="n"/>
      <c r="H95" s="74" t="n"/>
      <c r="I95" s="75" t="n"/>
    </row>
    <row r="96" ht="15" customHeight="1">
      <c r="A96" s="73" t="n"/>
      <c r="B96" s="74" t="n"/>
      <c r="C96" s="74" t="n"/>
      <c r="D96" s="74" t="n"/>
      <c r="E96" s="74" t="n"/>
      <c r="F96" s="74" t="n"/>
      <c r="H96" s="74" t="n"/>
      <c r="I96" s="75" t="n"/>
    </row>
    <row r="97" ht="24.95" customFormat="1" customHeight="1" s="4">
      <c r="A97" s="73" t="n"/>
      <c r="B97" s="74" t="n"/>
      <c r="C97" s="74" t="n"/>
      <c r="D97" s="74" t="n"/>
      <c r="E97" s="74" t="n"/>
      <c r="F97" s="74" t="n"/>
      <c r="G97" s="74" t="n"/>
      <c r="H97" s="74" t="n"/>
      <c r="I97" s="75" t="n"/>
    </row>
    <row r="98" ht="15" customHeight="1">
      <c r="A98" s="73" t="n"/>
      <c r="B98" s="74" t="n"/>
      <c r="C98" s="74" t="n"/>
      <c r="D98" s="74" t="n"/>
      <c r="E98" s="74" t="n"/>
      <c r="F98" s="74" t="n"/>
      <c r="G98" s="74" t="n"/>
      <c r="H98" s="74" t="n"/>
      <c r="I98" s="75" t="n"/>
    </row>
    <row r="99" ht="15" customHeight="1">
      <c r="A99" s="73" t="n"/>
      <c r="B99" s="74" t="n"/>
      <c r="C99" s="74" t="n"/>
      <c r="D99" s="74" t="n"/>
      <c r="E99" s="74" t="n"/>
      <c r="F99" s="74" t="n"/>
      <c r="G99" s="74" t="n"/>
      <c r="H99" s="74" t="n"/>
      <c r="I99" s="75" t="n"/>
    </row>
    <row r="100" ht="15" customHeight="1">
      <c r="A100" s="73" t="n"/>
      <c r="B100" s="74" t="n"/>
      <c r="C100" s="74" t="n"/>
      <c r="D100" s="74" t="n"/>
      <c r="E100" s="74" t="n"/>
      <c r="F100" s="74" t="n"/>
      <c r="G100" s="74" t="n"/>
      <c r="H100" s="74" t="n"/>
      <c r="I100" s="75" t="n"/>
    </row>
    <row r="101" ht="15" customHeight="1">
      <c r="A101" s="73" t="n"/>
      <c r="B101" s="74" t="n"/>
      <c r="C101" s="74" t="n"/>
      <c r="D101" s="74" t="n"/>
      <c r="E101" s="74" t="n"/>
      <c r="F101" s="74" t="n"/>
      <c r="G101" s="74" t="n"/>
      <c r="H101" s="74" t="n"/>
      <c r="I101" s="75" t="n"/>
    </row>
    <row r="102" ht="15" customHeight="1">
      <c r="A102" s="73" t="n"/>
      <c r="B102" s="74" t="n"/>
      <c r="C102" s="74" t="n"/>
      <c r="D102" s="74" t="n"/>
      <c r="E102" s="74" t="n"/>
      <c r="F102" s="74" t="n"/>
      <c r="G102" s="74" t="n"/>
      <c r="H102" s="74" t="n"/>
      <c r="I102" s="75" t="n"/>
    </row>
    <row r="103" ht="15" customHeight="1">
      <c r="A103" s="73" t="n"/>
      <c r="B103" s="74" t="n"/>
      <c r="C103" s="74" t="n"/>
      <c r="D103" s="74" t="n"/>
      <c r="E103" s="74" t="n"/>
      <c r="F103" s="74" t="n"/>
      <c r="G103" s="74" t="n"/>
      <c r="H103" s="74" t="n"/>
      <c r="I103" s="75" t="n"/>
    </row>
    <row r="104" ht="15" customHeight="1">
      <c r="A104" s="73" t="n"/>
      <c r="B104" s="74" t="n"/>
      <c r="C104" s="74" t="n"/>
      <c r="D104" s="74" t="n"/>
      <c r="E104" s="74" t="n"/>
      <c r="F104" s="74" t="n"/>
      <c r="G104" s="74" t="n"/>
      <c r="H104" s="74" t="n"/>
      <c r="I104" s="75" t="n"/>
    </row>
    <row r="105" ht="15" customHeight="1">
      <c r="A105" s="73" t="n"/>
      <c r="B105" s="74" t="n"/>
      <c r="C105" s="74" t="n"/>
      <c r="D105" s="74" t="n"/>
      <c r="E105" s="74" t="n"/>
      <c r="F105" s="74" t="n"/>
      <c r="G105" s="74" t="n"/>
      <c r="H105" s="74" t="n"/>
      <c r="I105" s="75" t="n"/>
    </row>
    <row r="106" ht="15" customHeight="1">
      <c r="A106" s="73" t="n"/>
      <c r="B106" s="74" t="n"/>
      <c r="C106" s="74" t="n"/>
      <c r="D106" s="74" t="n"/>
      <c r="E106" s="74" t="n"/>
      <c r="F106" s="74" t="n"/>
      <c r="G106" s="74" t="n"/>
      <c r="H106" s="74" t="n"/>
      <c r="I106" s="75" t="n"/>
    </row>
    <row r="107" ht="15" customHeight="1">
      <c r="A107" s="73" t="n"/>
      <c r="B107" s="74" t="n"/>
      <c r="C107" s="74" t="n"/>
      <c r="D107" s="74" t="n"/>
      <c r="E107" s="74" t="n"/>
      <c r="F107" s="74" t="n"/>
      <c r="G107" s="74" t="n"/>
      <c r="H107" s="74" t="n"/>
      <c r="I107" s="75" t="n"/>
    </row>
    <row r="108" ht="15" customHeight="1">
      <c r="A108" s="73" t="n"/>
      <c r="B108" s="74" t="n"/>
      <c r="C108" s="74" t="n"/>
      <c r="D108" s="74" t="n"/>
      <c r="E108" s="74" t="n"/>
      <c r="F108" s="74" t="n"/>
      <c r="G108" s="74" t="n"/>
      <c r="H108" s="74" t="n"/>
      <c r="I108" s="75" t="n"/>
    </row>
    <row r="109" ht="15" customHeight="1">
      <c r="A109" s="73" t="n"/>
      <c r="B109" s="74" t="n"/>
      <c r="C109" s="74" t="n"/>
      <c r="D109" s="74" t="n"/>
      <c r="E109" s="74" t="n"/>
      <c r="F109" s="74" t="n"/>
      <c r="G109" s="74" t="n"/>
      <c r="H109" s="74" t="n"/>
      <c r="I109" s="75" t="n"/>
    </row>
    <row r="110" ht="15" customHeight="1">
      <c r="A110" s="73" t="n"/>
      <c r="B110" s="74" t="n"/>
      <c r="C110" s="74" t="n"/>
      <c r="D110" s="74" t="n"/>
      <c r="E110" s="74" t="n"/>
      <c r="F110" s="74" t="n"/>
      <c r="G110" s="74" t="n"/>
      <c r="H110" s="74" t="n"/>
      <c r="I110" s="75" t="n"/>
    </row>
    <row r="111" ht="15" customHeight="1">
      <c r="A111" s="73" t="n"/>
      <c r="B111" s="74" t="n"/>
      <c r="C111" s="74" t="n"/>
      <c r="D111" s="74" t="n"/>
      <c r="E111" s="74" t="n"/>
      <c r="F111" s="74" t="n"/>
      <c r="G111" s="74" t="n"/>
      <c r="H111" s="74" t="n"/>
      <c r="I111" s="75" t="n"/>
    </row>
    <row r="112" ht="15" customHeight="1" thickBot="1">
      <c r="A112" s="76" t="n"/>
      <c r="B112" s="77" t="n"/>
      <c r="C112" s="77" t="n"/>
      <c r="D112" s="77" t="n"/>
      <c r="E112" s="77" t="n"/>
      <c r="F112" s="77" t="n"/>
      <c r="G112" s="77" t="n"/>
      <c r="H112" s="77" t="n"/>
      <c r="I112" s="78" t="n"/>
    </row>
    <row r="113" ht="15" customHeight="1">
      <c r="A113" s="73" t="n"/>
      <c r="B113" s="74" t="n"/>
      <c r="C113" s="74" t="n"/>
      <c r="D113" s="74" t="n"/>
      <c r="E113" s="74" t="n"/>
      <c r="F113" s="74" t="n"/>
      <c r="G113" s="74" t="n"/>
      <c r="H113" s="74" t="n"/>
      <c r="I113" s="75" t="n"/>
    </row>
    <row r="114" ht="15" customHeight="1">
      <c r="A114" s="73" t="n"/>
      <c r="B114" s="74" t="n"/>
      <c r="C114" s="74" t="n"/>
      <c r="D114" s="74" t="n"/>
      <c r="E114" s="74" t="n"/>
      <c r="F114" s="74" t="n"/>
      <c r="G114" s="74" t="n"/>
      <c r="H114" s="74" t="n"/>
      <c r="I114" s="75" t="n"/>
    </row>
    <row r="115" ht="15" customHeight="1">
      <c r="A115" s="73" t="n"/>
      <c r="B115" s="74" t="n"/>
      <c r="C115" s="74" t="n"/>
      <c r="D115" s="74" t="n"/>
      <c r="E115" s="74" t="n"/>
      <c r="F115" s="74" t="n"/>
      <c r="G115" s="74" t="n"/>
      <c r="H115" s="74" t="n"/>
      <c r="I115" s="75" t="n"/>
    </row>
    <row r="116" ht="15" customHeight="1">
      <c r="A116" s="73" t="n"/>
      <c r="B116" s="74" t="n"/>
      <c r="C116" s="74" t="n"/>
      <c r="D116" s="74" t="n"/>
      <c r="E116" s="74" t="n"/>
      <c r="F116" s="74" t="n"/>
      <c r="G116" s="74" t="n"/>
      <c r="H116" s="74" t="n"/>
      <c r="I116" s="75" t="n"/>
    </row>
    <row r="117" ht="15" customHeight="1">
      <c r="A117" s="73" t="n"/>
      <c r="B117" s="74" t="n"/>
      <c r="C117" s="74" t="n"/>
      <c r="D117" s="74" t="n"/>
      <c r="E117" s="74" t="n"/>
      <c r="F117" s="74" t="n"/>
      <c r="G117" s="74" t="n"/>
      <c r="H117" s="74" t="n"/>
      <c r="I117" s="75" t="n"/>
    </row>
    <row r="118" ht="15" customHeight="1">
      <c r="A118" s="73" t="n"/>
      <c r="B118" s="74" t="n"/>
      <c r="C118" s="74" t="n"/>
      <c r="D118" s="74" t="n"/>
      <c r="E118" s="74" t="n"/>
      <c r="F118" s="74" t="n"/>
      <c r="G118" s="74" t="n"/>
      <c r="H118" s="74" t="n"/>
      <c r="I118" s="75" t="n"/>
    </row>
    <row r="119" ht="15" customHeight="1">
      <c r="A119" s="73" t="n"/>
      <c r="B119" s="74" t="n"/>
      <c r="C119" s="74" t="n"/>
      <c r="D119" s="74" t="n"/>
      <c r="E119" s="74" t="n"/>
      <c r="F119" s="74" t="n"/>
      <c r="G119" s="74" t="n"/>
      <c r="H119" s="74" t="n"/>
      <c r="I119" s="75" t="n"/>
    </row>
    <row r="120" ht="15" customHeight="1">
      <c r="A120" s="73" t="n"/>
      <c r="B120" s="74" t="n"/>
      <c r="C120" s="74" t="n"/>
      <c r="D120" s="74" t="n"/>
      <c r="E120" s="74" t="n"/>
      <c r="F120" s="74" t="n"/>
      <c r="G120" s="74" t="n"/>
      <c r="H120" s="74" t="n"/>
      <c r="I120" s="75" t="n"/>
    </row>
    <row r="121" ht="24.95" customHeight="1">
      <c r="A121" s="73" t="n"/>
      <c r="B121" s="74" t="n"/>
      <c r="C121" s="74" t="n"/>
      <c r="D121" s="74" t="n"/>
      <c r="E121" s="74" t="n"/>
      <c r="F121" s="74" t="n"/>
      <c r="G121" s="74" t="n"/>
      <c r="H121" s="74" t="n"/>
      <c r="I121" s="75" t="n"/>
    </row>
    <row r="122" ht="15" customHeight="1">
      <c r="A122" s="73" t="n"/>
      <c r="B122" s="74" t="n"/>
      <c r="C122" s="74" t="n"/>
      <c r="D122" s="74" t="n"/>
      <c r="E122" s="74" t="n"/>
      <c r="F122" s="74" t="n"/>
      <c r="G122" s="74" t="n"/>
      <c r="H122" s="74" t="n"/>
      <c r="I122" s="75" t="n"/>
    </row>
    <row r="123" ht="15" customHeight="1">
      <c r="A123" s="73" t="n"/>
      <c r="B123" s="74" t="n"/>
      <c r="C123" s="74" t="n"/>
      <c r="D123" s="74" t="n"/>
      <c r="E123" s="74" t="n"/>
      <c r="F123" s="74" t="n"/>
      <c r="G123" s="74" t="n"/>
      <c r="H123" s="74" t="n"/>
      <c r="I123" s="75" t="n"/>
    </row>
    <row r="124" ht="27.95" customHeight="1">
      <c r="A124" s="73" t="n"/>
      <c r="B124" s="74" t="n"/>
      <c r="C124" s="74" t="n"/>
      <c r="D124" s="74" t="n"/>
      <c r="E124" s="74" t="n"/>
      <c r="F124" s="74" t="n"/>
      <c r="G124" s="74" t="n"/>
      <c r="H124" s="74" t="n"/>
      <c r="I124" s="75" t="n"/>
    </row>
    <row r="125" ht="15" customHeight="1">
      <c r="A125" s="73" t="n"/>
      <c r="B125" s="74" t="n"/>
      <c r="C125" s="74" t="n"/>
      <c r="D125" s="74" t="n"/>
      <c r="E125" s="74" t="n"/>
      <c r="F125" s="74" t="n"/>
      <c r="G125" s="74" t="n"/>
      <c r="H125" s="74" t="n"/>
      <c r="I125" s="75" t="n"/>
    </row>
    <row r="126" ht="15" customHeight="1">
      <c r="A126" s="73" t="n"/>
      <c r="B126" s="74" t="n"/>
      <c r="C126" s="74" t="n"/>
      <c r="D126" s="74" t="n"/>
      <c r="E126" s="74" t="n"/>
      <c r="F126" s="74" t="n"/>
      <c r="G126" s="74" t="n"/>
      <c r="H126" s="74" t="n"/>
      <c r="I126" s="75" t="n"/>
    </row>
    <row r="127" ht="15" customHeight="1">
      <c r="A127" s="73" t="n"/>
      <c r="B127" s="74" t="n"/>
      <c r="C127" s="74" t="n"/>
      <c r="D127" s="74" t="n"/>
      <c r="E127" s="74" t="n"/>
      <c r="F127" s="74" t="n"/>
      <c r="G127" s="74" t="n"/>
      <c r="H127" s="74" t="n"/>
      <c r="I127" s="75" t="n"/>
    </row>
    <row r="128" ht="15" customHeight="1">
      <c r="A128" s="73" t="n"/>
      <c r="B128" s="74" t="n"/>
      <c r="C128" s="74" t="n"/>
      <c r="D128" s="74" t="n"/>
      <c r="E128" s="74" t="n"/>
      <c r="F128" s="74" t="n"/>
      <c r="G128" s="74" t="n"/>
      <c r="H128" s="74" t="n"/>
      <c r="I128" s="75" t="n"/>
    </row>
    <row r="129" ht="15" customHeight="1">
      <c r="A129" s="73" t="n"/>
      <c r="B129" s="74" t="n"/>
      <c r="C129" s="74" t="n"/>
      <c r="D129" s="74" t="n"/>
      <c r="E129" s="74" t="n"/>
      <c r="F129" s="74" t="n"/>
      <c r="G129" s="74" t="n"/>
      <c r="H129" s="74" t="n"/>
      <c r="I129" s="75" t="n"/>
    </row>
    <row r="130" ht="15" customHeight="1">
      <c r="A130" s="73" t="n"/>
      <c r="B130" s="74" t="n"/>
      <c r="C130" s="74" t="n"/>
      <c r="D130" s="74" t="n"/>
      <c r="E130" s="74" t="n"/>
      <c r="F130" s="74" t="n"/>
      <c r="G130" s="74" t="n"/>
      <c r="H130" s="74" t="n"/>
      <c r="I130" s="75" t="n"/>
    </row>
    <row r="131" ht="15" customHeight="1">
      <c r="A131" s="73" t="n"/>
      <c r="B131" s="74" t="n"/>
      <c r="C131" s="74" t="n"/>
      <c r="D131" s="74" t="n"/>
      <c r="E131" s="74" t="n"/>
      <c r="F131" s="74" t="n"/>
      <c r="G131" s="74" t="n"/>
      <c r="H131" s="74" t="n"/>
      <c r="I131" s="75" t="n"/>
    </row>
    <row r="132" ht="15" customHeight="1">
      <c r="A132" s="73" t="n"/>
      <c r="B132" s="74" t="n"/>
      <c r="C132" s="74" t="n"/>
      <c r="D132" s="74" t="n"/>
      <c r="E132" s="74" t="n"/>
      <c r="F132" s="74" t="n"/>
      <c r="G132" s="74" t="n"/>
      <c r="H132" s="74" t="n"/>
      <c r="I132" s="75" t="n"/>
    </row>
    <row r="133" ht="15" customHeight="1">
      <c r="A133" s="73" t="n"/>
      <c r="B133" s="74" t="n"/>
      <c r="C133" s="74" t="n"/>
      <c r="D133" s="74" t="n"/>
      <c r="E133" s="74" t="n"/>
      <c r="F133" s="74" t="n"/>
      <c r="G133" s="74" t="n"/>
      <c r="H133" s="74" t="n"/>
      <c r="I133" s="75" t="n"/>
    </row>
    <row r="134" ht="15" customHeight="1">
      <c r="A134" s="73" t="n"/>
      <c r="B134" s="74" t="n"/>
      <c r="C134" s="74" t="n"/>
      <c r="D134" s="74" t="n"/>
      <c r="E134" s="74" t="n"/>
      <c r="F134" s="74" t="n"/>
      <c r="G134" s="74" t="n"/>
      <c r="H134" s="74" t="n"/>
      <c r="I134" s="75" t="n"/>
    </row>
    <row r="135" ht="15" customHeight="1">
      <c r="A135" s="73" t="n"/>
      <c r="B135" s="74" t="n"/>
      <c r="C135" s="74" t="n"/>
      <c r="D135" s="74" t="n"/>
      <c r="E135" s="74" t="n"/>
      <c r="F135" s="74" t="n"/>
      <c r="G135" s="74" t="n"/>
      <c r="H135" s="74" t="n"/>
      <c r="I135" s="75" t="n"/>
    </row>
    <row r="136" ht="15" customHeight="1">
      <c r="A136" s="73" t="n"/>
      <c r="B136" s="74" t="n"/>
      <c r="C136" s="74" t="n"/>
      <c r="D136" s="74" t="n"/>
      <c r="E136" s="74" t="n"/>
      <c r="F136" s="74" t="n"/>
      <c r="G136" s="74" t="n"/>
      <c r="H136" s="74" t="n"/>
      <c r="I136" s="75" t="n"/>
    </row>
    <row r="137" ht="15" customHeight="1" thickBot="1">
      <c r="A137" s="73" t="n"/>
      <c r="B137" s="74" t="n"/>
      <c r="C137" s="74" t="n"/>
      <c r="D137" s="74" t="n"/>
      <c r="E137" s="74" t="n"/>
      <c r="F137" s="74" t="n"/>
      <c r="G137" s="74" t="n"/>
      <c r="H137" s="74" t="n"/>
      <c r="I137" s="75" t="n"/>
      <c r="J137" s="8" t="n"/>
    </row>
    <row r="138" ht="15" customHeight="1">
      <c r="A138" s="73" t="n"/>
      <c r="B138" s="74" t="n"/>
      <c r="C138" s="74" t="n"/>
      <c r="D138" s="74" t="n"/>
      <c r="E138" s="74" t="n"/>
      <c r="F138" s="74" t="n"/>
      <c r="G138" s="74" t="n"/>
      <c r="H138" s="74" t="n"/>
      <c r="I138" s="75" t="n"/>
    </row>
    <row r="139" ht="15" customHeight="1">
      <c r="A139" s="73" t="n"/>
      <c r="B139" s="74" t="n"/>
      <c r="C139" s="74" t="n"/>
      <c r="D139" s="74" t="n"/>
      <c r="E139" s="74" t="n"/>
      <c r="F139" s="74" t="n"/>
      <c r="G139" s="74" t="n"/>
      <c r="H139" s="74" t="n"/>
      <c r="I139" s="75" t="n"/>
    </row>
    <row r="140" ht="15" customHeight="1">
      <c r="A140" s="73" t="n"/>
      <c r="B140" s="74" t="n"/>
      <c r="C140" s="74" t="n"/>
      <c r="D140" s="74" t="n"/>
      <c r="E140" s="74" t="n"/>
      <c r="F140" s="74" t="n"/>
      <c r="G140" s="74" t="n"/>
      <c r="H140" s="74" t="n"/>
      <c r="I140" s="75" t="n"/>
    </row>
    <row r="141" ht="15" customHeight="1">
      <c r="A141" s="73" t="n"/>
      <c r="B141" s="74" t="n"/>
      <c r="C141" s="74" t="n"/>
      <c r="D141" s="74" t="n"/>
      <c r="E141" s="74" t="n"/>
      <c r="F141" s="74" t="n"/>
      <c r="G141" s="74" t="n"/>
      <c r="H141" s="74" t="n"/>
      <c r="I141" s="75" t="n"/>
    </row>
    <row r="142" ht="15" customHeight="1">
      <c r="A142" s="73" t="n"/>
      <c r="B142" s="74" t="n"/>
      <c r="C142" s="74" t="n"/>
      <c r="D142" s="74" t="n"/>
      <c r="E142" s="74" t="n"/>
      <c r="F142" s="74" t="n"/>
      <c r="G142" s="74" t="n"/>
      <c r="H142" s="74" t="n"/>
      <c r="I142" s="75" t="n"/>
    </row>
    <row r="143" ht="15" customHeight="1">
      <c r="A143" s="73" t="n"/>
      <c r="B143" s="74" t="n"/>
      <c r="C143" s="74" t="n"/>
      <c r="D143" s="74" t="n"/>
      <c r="E143" s="74" t="n"/>
      <c r="F143" s="74" t="n"/>
      <c r="G143" s="74" t="n"/>
      <c r="H143" s="74" t="n"/>
      <c r="I143" s="75" t="n"/>
    </row>
    <row r="144" ht="15.95" customHeight="1">
      <c r="A144" s="73" t="n"/>
      <c r="B144" s="74" t="n"/>
      <c r="C144" s="74" t="n"/>
      <c r="D144" s="74" t="n"/>
      <c r="E144" s="74" t="n"/>
      <c r="F144" s="74" t="n"/>
      <c r="G144" s="74" t="n"/>
      <c r="H144" s="74" t="n"/>
      <c r="I144" s="75" t="n"/>
    </row>
    <row r="145" ht="30.75" customHeight="1">
      <c r="A145" s="218" t="n"/>
      <c r="E145" s="220" t="n"/>
      <c r="I145" s="271" t="n"/>
    </row>
    <row r="146">
      <c r="A146" s="64" t="n"/>
      <c r="I146" s="65"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I180" s="65" t="n"/>
    </row>
    <row r="181">
      <c r="A181" s="64" t="n"/>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ht="15.95" customHeight="1" thickBot="1">
      <c r="A199" s="59" t="n"/>
      <c r="B199" s="60" t="n"/>
      <c r="C199" s="60" t="n"/>
      <c r="D199" s="60" t="n"/>
      <c r="E199" s="60" t="n"/>
      <c r="F199" s="60" t="n"/>
      <c r="G199" s="60" t="n"/>
      <c r="H199" s="60" t="n"/>
      <c r="I199" s="61" t="n"/>
    </row>
    <row r="200">
      <c r="A200" s="64" t="n"/>
      <c r="I200" s="65" t="n"/>
    </row>
    <row r="201">
      <c r="A201" s="64" t="n"/>
      <c r="I201" s="65" t="n"/>
    </row>
    <row r="202">
      <c r="A202" s="64" t="n"/>
      <c r="I202" s="65" t="n"/>
    </row>
    <row r="203">
      <c r="A203" s="64" t="n"/>
      <c r="I203" s="65" t="n"/>
    </row>
    <row r="204">
      <c r="A204" s="64" t="n"/>
      <c r="I204" s="65" t="n"/>
    </row>
    <row r="205">
      <c r="A205" s="64" t="n"/>
      <c r="I205" s="65" t="n"/>
    </row>
    <row r="206" ht="15.95" customHeight="1" thickBot="1">
      <c r="A206" s="59" t="n"/>
      <c r="B206" s="60" t="n"/>
      <c r="C206" s="60" t="n"/>
      <c r="D206" s="60" t="n"/>
      <c r="E206" s="60" t="n"/>
      <c r="F206" s="60" t="n"/>
      <c r="G206" s="60" t="n"/>
      <c r="H206" s="60" t="n"/>
      <c r="I206" s="61" t="n"/>
    </row>
  </sheetData>
  <mergeCells count="40">
    <mergeCell ref="C61:I61"/>
    <mergeCell ref="A65:I65"/>
    <mergeCell ref="D13:F13"/>
    <mergeCell ref="A54:I54"/>
    <mergeCell ref="G13:I13"/>
    <mergeCell ref="B8:D8"/>
    <mergeCell ref="A66:I66"/>
    <mergeCell ref="B46:C46"/>
    <mergeCell ref="B59:I59"/>
    <mergeCell ref="A12:I12"/>
    <mergeCell ref="C57:I57"/>
    <mergeCell ref="D47:I47"/>
    <mergeCell ref="B56:I56"/>
    <mergeCell ref="A5:I5"/>
    <mergeCell ref="B9:D9"/>
    <mergeCell ref="C62:I62"/>
    <mergeCell ref="B6:D6"/>
    <mergeCell ref="C58:I58"/>
    <mergeCell ref="B44:C44"/>
    <mergeCell ref="A13:C13"/>
    <mergeCell ref="A68:I68"/>
    <mergeCell ref="A10:I10"/>
    <mergeCell ref="A1:I4"/>
    <mergeCell ref="C64:I64"/>
    <mergeCell ref="A47:B47"/>
    <mergeCell ref="A67:I67"/>
    <mergeCell ref="D44:I44"/>
    <mergeCell ref="B7:D7"/>
    <mergeCell ref="C63:I63"/>
    <mergeCell ref="A48:I48"/>
    <mergeCell ref="A50:I53"/>
    <mergeCell ref="A73:I73"/>
    <mergeCell ref="A11:I11"/>
    <mergeCell ref="D46:I46"/>
    <mergeCell ref="B55:I55"/>
    <mergeCell ref="A60:I60"/>
    <mergeCell ref="A145:D145"/>
    <mergeCell ref="B45:C45"/>
    <mergeCell ref="D45:I45"/>
    <mergeCell ref="E145:I145"/>
  </mergeCells>
  <printOptions horizontalCentered="1"/>
  <pageMargins left="0.2362204724409449" right="0.2362204724409449" top="0.7480314960629921" bottom="0.7480314960629921" header="0.3149606299212598" footer="0.3149606299212598"/>
  <pageSetup orientation="portrait" paperSize="9" scale="33" fitToHeight="0"/>
</worksheet>
</file>

<file path=xl/worksheets/sheet9.xml><?xml version="1.0" encoding="utf-8"?>
<worksheet xmlns="http://schemas.openxmlformats.org/spreadsheetml/2006/main">
  <sheetPr>
    <outlinePr summaryBelow="1" summaryRight="1"/>
    <pageSetUpPr fitToPage="1"/>
  </sheetPr>
  <dimension ref="A1:J207"/>
  <sheetViews>
    <sheetView view="pageBreakPreview" topLeftCell="A34" zoomScale="60" zoomScaleNormal="55" workbookViewId="0">
      <selection activeCell="A72" sqref="A72"/>
    </sheetView>
  </sheetViews>
  <sheetFormatPr baseColWidth="8" defaultColWidth="9.140625" defaultRowHeight="14.45"/>
  <cols>
    <col width="62.140625" bestFit="1" customWidth="1" style="232" min="1" max="1"/>
    <col width="36.7109375" bestFit="1" customWidth="1" style="232" min="2" max="2"/>
    <col width="16" customWidth="1" style="232" min="3" max="3"/>
    <col width="28.7109375" customWidth="1" style="232" min="4" max="4"/>
    <col width="21.28515625" customWidth="1" style="232" min="5" max="5"/>
    <col width="11.42578125" bestFit="1" customWidth="1" style="232" min="6" max="6"/>
    <col width="60.42578125" bestFit="1" customWidth="1" style="232" min="7" max="7"/>
    <col width="27.140625" bestFit="1" customWidth="1" style="232" min="8" max="8"/>
    <col width="26" bestFit="1" customWidth="1" style="232" min="9" max="9"/>
    <col width="9.140625" customWidth="1" style="232" min="10" max="10"/>
    <col width="9.140625" customWidth="1" style="232" min="11" max="16384"/>
  </cols>
  <sheetData>
    <row r="1">
      <c r="A1" s="243"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170" t="inlineStr">
        <is>
          <t>TCD DAILY FIELD REPORT</t>
        </is>
      </c>
      <c r="B5" s="275" t="n"/>
      <c r="C5" s="275" t="n"/>
      <c r="D5" s="275" t="n"/>
      <c r="E5" s="275" t="n"/>
      <c r="F5" s="275" t="n"/>
      <c r="G5" s="275" t="n"/>
      <c r="H5" s="275" t="n"/>
      <c r="I5" s="276" t="n"/>
    </row>
    <row r="6" ht="23.1" customHeight="1">
      <c r="A6" s="49" t="inlineStr">
        <is>
          <t>Project Name:</t>
        </is>
      </c>
      <c r="B6" s="173" t="inlineStr">
        <is>
          <t>Batavia Station Square</t>
        </is>
      </c>
      <c r="E6" s="173" t="n"/>
      <c r="F6" s="51" t="n"/>
      <c r="G6" s="51" t="n"/>
      <c r="H6" s="52" t="inlineStr">
        <is>
          <t>Date:</t>
        </is>
      </c>
      <c r="I6" s="53" t="n">
        <v>45880</v>
      </c>
    </row>
    <row r="7" ht="23.1" customHeight="1">
      <c r="A7" s="49" t="inlineStr">
        <is>
          <t>Project Location:</t>
        </is>
      </c>
      <c r="B7" s="173" t="inlineStr">
        <is>
          <t>Geraldton</t>
        </is>
      </c>
      <c r="E7" s="173" t="n"/>
      <c r="F7" s="51" t="n"/>
      <c r="G7" s="51" t="n"/>
      <c r="H7" s="54" t="inlineStr">
        <is>
          <t>Day:</t>
        </is>
      </c>
      <c r="I7" s="55">
        <f>I6</f>
        <v/>
      </c>
    </row>
    <row r="8" ht="23.1" customHeight="1">
      <c r="A8" s="49" t="inlineStr">
        <is>
          <t>Project Number:</t>
        </is>
      </c>
      <c r="B8" s="173" t="inlineStr">
        <is>
          <t>TCD-1816</t>
        </is>
      </c>
      <c r="E8" s="173" t="n"/>
      <c r="F8" s="51" t="n"/>
      <c r="G8" s="51" t="n"/>
      <c r="H8" s="54" t="inlineStr">
        <is>
          <t>Start:</t>
        </is>
      </c>
      <c r="I8" s="56" t="n">
        <v>0.2916666666666667</v>
      </c>
    </row>
    <row r="9" ht="23.1" customHeight="1">
      <c r="A9" s="49" t="inlineStr">
        <is>
          <t>Report Number:</t>
        </is>
      </c>
      <c r="B9" s="159" t="n">
        <v>77</v>
      </c>
      <c r="C9" s="273" t="n"/>
      <c r="D9" s="273" t="n"/>
      <c r="E9" s="160" t="n"/>
      <c r="F9" s="58" t="n"/>
      <c r="G9" s="58" t="n"/>
      <c r="H9" s="54" t="inlineStr">
        <is>
          <t>Finish:</t>
        </is>
      </c>
      <c r="I9" s="56" t="n">
        <v>0.7083333333333334</v>
      </c>
    </row>
    <row r="10" ht="24.95" customHeight="1">
      <c r="A10" s="230" t="inlineStr">
        <is>
          <t>WEATHER &amp; GROUND CONDITIONS</t>
        </is>
      </c>
      <c r="B10" s="275" t="n"/>
      <c r="C10" s="275" t="n"/>
      <c r="D10" s="275" t="n"/>
      <c r="E10" s="275" t="n"/>
      <c r="F10" s="275" t="n"/>
      <c r="G10" s="275" t="n"/>
      <c r="H10" s="275" t="n"/>
      <c r="I10" s="277" t="n"/>
    </row>
    <row r="11" ht="23.1" customHeight="1">
      <c r="A11" s="242" t="inlineStr">
        <is>
          <t>Temperature: 19 degrees    Wind: 18 km/h SW Precip: 0</t>
        </is>
      </c>
      <c r="B11" s="275" t="n"/>
      <c r="C11" s="275" t="n"/>
      <c r="D11" s="275" t="n"/>
      <c r="E11" s="275" t="n"/>
      <c r="F11" s="275" t="n"/>
      <c r="G11" s="275" t="n"/>
      <c r="H11" s="275" t="n"/>
      <c r="I11" s="277" t="n"/>
    </row>
    <row r="12" ht="24.95" customHeight="1">
      <c r="A12" s="231" t="inlineStr">
        <is>
          <t>PERSONNEL</t>
        </is>
      </c>
      <c r="B12" s="278" t="n"/>
      <c r="C12" s="278" t="n"/>
      <c r="D12" s="278" t="n"/>
      <c r="E12" s="278" t="n"/>
      <c r="F12" s="278" t="n"/>
      <c r="G12" s="278" t="n"/>
      <c r="H12" s="278" t="n"/>
      <c r="I12" s="279" t="n"/>
    </row>
    <row r="13" ht="23.1" customHeight="1">
      <c r="A13" s="183" t="inlineStr">
        <is>
          <t>TCD Indirects</t>
        </is>
      </c>
      <c r="B13" s="275" t="n"/>
      <c r="C13" s="276" t="n"/>
      <c r="D13" s="184" t="inlineStr">
        <is>
          <t>TCD Directs</t>
        </is>
      </c>
      <c r="E13" s="275" t="n"/>
      <c r="F13" s="276" t="n"/>
      <c r="G13" s="184" t="inlineStr">
        <is>
          <t>Subcontractors</t>
        </is>
      </c>
      <c r="H13" s="275" t="n"/>
      <c r="I13" s="276" t="n"/>
    </row>
    <row r="14" ht="24" customHeight="1">
      <c r="A14" s="183" t="inlineStr">
        <is>
          <t xml:space="preserve"> Name</t>
        </is>
      </c>
      <c r="B14" s="184" t="inlineStr">
        <is>
          <t>Position</t>
        </is>
      </c>
      <c r="C14" s="39" t="inlineStr">
        <is>
          <t>Hours</t>
        </is>
      </c>
      <c r="D14" s="184" t="inlineStr">
        <is>
          <t xml:space="preserve"> Name</t>
        </is>
      </c>
      <c r="E14" s="184" t="inlineStr">
        <is>
          <t>Position</t>
        </is>
      </c>
      <c r="F14" s="39" t="inlineStr">
        <is>
          <t>Hours</t>
        </is>
      </c>
      <c r="G14" s="184" t="inlineStr">
        <is>
          <t xml:space="preserve"> Name</t>
        </is>
      </c>
      <c r="H14" s="184" t="inlineStr">
        <is>
          <t>Position</t>
        </is>
      </c>
      <c r="I14" s="185" t="inlineStr">
        <is>
          <t>Hours</t>
        </is>
      </c>
    </row>
    <row r="15" ht="23.1" customHeight="1">
      <c r="A15" s="25" t="inlineStr">
        <is>
          <t>WATKINS, Steve</t>
        </is>
      </c>
      <c r="B15" s="26" t="inlineStr">
        <is>
          <t>Civil Manager</t>
        </is>
      </c>
      <c r="C15" s="40" t="n"/>
      <c r="D15" s="41" t="n"/>
      <c r="E15" s="41" t="n"/>
      <c r="F15" s="26" t="n"/>
      <c r="G15" s="42" t="inlineStr">
        <is>
          <t>Khegan Brockman</t>
        </is>
      </c>
      <c r="H15" s="26" t="inlineStr">
        <is>
          <t>Labourer</t>
        </is>
      </c>
      <c r="I15" s="28" t="n">
        <v>10</v>
      </c>
    </row>
    <row r="16" ht="23.1" customHeight="1">
      <c r="A16" s="25" t="inlineStr">
        <is>
          <t>GRIFFITHS, Daniel</t>
        </is>
      </c>
      <c r="B16" s="26" t="inlineStr">
        <is>
          <t>Project Manager</t>
        </is>
      </c>
      <c r="C16" s="27" t="n">
        <v>11</v>
      </c>
      <c r="D16" s="43" t="n"/>
      <c r="E16" s="43" t="n"/>
      <c r="F16" s="26" t="n"/>
      <c r="G16" s="42" t="inlineStr">
        <is>
          <t>Laurent Levy</t>
        </is>
      </c>
      <c r="H16" s="26" t="inlineStr">
        <is>
          <t>Operator</t>
        </is>
      </c>
      <c r="I16" s="28" t="n">
        <v>10</v>
      </c>
    </row>
    <row r="17" ht="23.1" customHeight="1">
      <c r="A17" s="25" t="inlineStr">
        <is>
          <t>O"SHEA, John</t>
        </is>
      </c>
      <c r="B17" s="26" t="inlineStr">
        <is>
          <t>Senior Project Engineer</t>
        </is>
      </c>
      <c r="C17" s="27" t="n"/>
      <c r="D17" s="43" t="n"/>
      <c r="E17" s="43" t="n"/>
      <c r="F17" s="26" t="n"/>
      <c r="G17" s="42" t="inlineStr">
        <is>
          <t>Daniel McAuffile</t>
        </is>
      </c>
      <c r="H17" s="26" t="inlineStr">
        <is>
          <t>Operator</t>
        </is>
      </c>
      <c r="I17" s="28" t="n">
        <v>10</v>
      </c>
    </row>
    <row r="18" ht="23.1" customHeight="1">
      <c r="A18" s="25" t="inlineStr">
        <is>
          <t>GRIFFITHS, Ashley</t>
        </is>
      </c>
      <c r="B18" s="26" t="inlineStr">
        <is>
          <t>Supervisor</t>
        </is>
      </c>
      <c r="C18" s="27" t="n">
        <v>10</v>
      </c>
      <c r="D18" s="41" t="n"/>
      <c r="E18" s="41" t="n"/>
      <c r="F18" s="26" t="n"/>
      <c r="G18" s="42" t="inlineStr">
        <is>
          <t>Jachai Griffiths</t>
        </is>
      </c>
      <c r="H18" s="26" t="inlineStr">
        <is>
          <t>Operator</t>
        </is>
      </c>
      <c r="I18" s="28" t="n"/>
    </row>
    <row r="19" ht="23.1" customHeight="1">
      <c r="A19" s="25" t="inlineStr">
        <is>
          <t>LOW, June</t>
        </is>
      </c>
      <c r="B19" s="26" t="inlineStr">
        <is>
          <t>HSET</t>
        </is>
      </c>
      <c r="C19" s="27" t="n"/>
      <c r="D19" s="41" t="n"/>
      <c r="E19" s="41" t="n"/>
      <c r="F19" s="26" t="n"/>
      <c r="G19" s="42" t="inlineStr">
        <is>
          <t>O'Brian, Jamie</t>
        </is>
      </c>
      <c r="H19" s="26" t="inlineStr">
        <is>
          <t>Operator</t>
        </is>
      </c>
      <c r="I19" s="28" t="n">
        <v>10</v>
      </c>
    </row>
    <row r="20" ht="23.1" customHeight="1">
      <c r="A20" s="25" t="inlineStr">
        <is>
          <t>SKINNER,JAMIE</t>
        </is>
      </c>
      <c r="B20" s="26" t="inlineStr">
        <is>
          <t>Supervisor</t>
        </is>
      </c>
      <c r="C20" s="27" t="n">
        <v>11.5</v>
      </c>
      <c r="D20" s="41" t="n"/>
      <c r="E20" s="41" t="n"/>
      <c r="F20" s="26" t="n"/>
      <c r="G20" s="42" t="inlineStr">
        <is>
          <t>O'Reilly,James</t>
        </is>
      </c>
      <c r="H20" s="26" t="inlineStr">
        <is>
          <t>Operator</t>
        </is>
      </c>
      <c r="I20" s="28" t="n">
        <v>10</v>
      </c>
    </row>
    <row r="21" ht="23.1" customHeight="1">
      <c r="A21" s="25" t="n"/>
      <c r="B21" s="26" t="n"/>
      <c r="C21" s="27" t="n"/>
      <c r="D21" s="41" t="n"/>
      <c r="E21" s="41" t="n"/>
      <c r="F21" s="26" t="n"/>
      <c r="G21" s="42" t="inlineStr">
        <is>
          <t>Simpson,Joshua</t>
        </is>
      </c>
      <c r="H21" s="26" t="inlineStr">
        <is>
          <t>Labourer</t>
        </is>
      </c>
      <c r="I21" s="28" t="n">
        <v>10</v>
      </c>
    </row>
    <row r="22" ht="23.1" customHeight="1">
      <c r="A22" s="25" t="n"/>
      <c r="B22" s="26" t="n"/>
      <c r="C22" s="27" t="n"/>
      <c r="D22" s="41" t="n"/>
      <c r="E22" s="41" t="n"/>
      <c r="F22" s="26" t="n"/>
      <c r="G22" s="42" t="inlineStr">
        <is>
          <t>Chester, Matt</t>
        </is>
      </c>
      <c r="H22" s="26" t="inlineStr">
        <is>
          <t>Gas Fitter</t>
        </is>
      </c>
      <c r="I22" s="28" t="n"/>
    </row>
    <row r="23" ht="23.1" customHeight="1">
      <c r="A23" s="25" t="n"/>
      <c r="B23" s="26" t="n"/>
      <c r="C23" s="27" t="n"/>
      <c r="D23" s="41" t="n"/>
      <c r="E23" s="41" t="n"/>
      <c r="F23" s="26" t="n"/>
      <c r="G23" s="42" t="inlineStr">
        <is>
          <t>Mounsey, Matt</t>
        </is>
      </c>
      <c r="H23" s="26" t="inlineStr">
        <is>
          <t>Gas Fitter</t>
        </is>
      </c>
      <c r="I23" s="28" t="n"/>
    </row>
    <row r="24" ht="23.1" customHeight="1">
      <c r="A24" s="25" t="n"/>
      <c r="B24" s="26" t="n"/>
      <c r="C24" s="27" t="n"/>
      <c r="D24" s="41" t="n"/>
      <c r="E24" s="41" t="n"/>
      <c r="F24" s="26" t="n"/>
      <c r="G24" s="42" t="inlineStr">
        <is>
          <t>Herring, Levin</t>
        </is>
      </c>
      <c r="H24" s="26" t="inlineStr">
        <is>
          <t>Gas Fitter</t>
        </is>
      </c>
      <c r="I24" s="28" t="n"/>
    </row>
    <row r="25" ht="23.1" customHeight="1">
      <c r="A25" s="25" t="n"/>
      <c r="B25" s="26" t="n"/>
      <c r="C25" s="27" t="n"/>
      <c r="D25" s="41" t="n"/>
      <c r="E25" s="41" t="n"/>
      <c r="F25" s="26" t="n"/>
      <c r="G25" s="42" t="inlineStr">
        <is>
          <t>Mosley,Joshua</t>
        </is>
      </c>
      <c r="H25" s="26" t="inlineStr">
        <is>
          <t>Surveyor</t>
        </is>
      </c>
      <c r="I25" s="28" t="n">
        <v>2</v>
      </c>
    </row>
    <row r="26" ht="23.1" customHeight="1">
      <c r="A26" s="239" t="inlineStr">
        <is>
          <t xml:space="preserve">Total Indirect Personnel onsite: </t>
        </is>
      </c>
      <c r="B26" s="45">
        <f>SUM(F15:F26)</f>
        <v/>
      </c>
      <c r="C26" s="41" t="n"/>
      <c r="D26" s="41" t="n"/>
      <c r="E26" s="41" t="n"/>
      <c r="F26" s="26" t="n"/>
      <c r="G26" s="194" t="inlineStr">
        <is>
          <t>Total Subcontractor on-site:</t>
        </is>
      </c>
      <c r="H26" s="46">
        <f>COUNTIF(I15:I25,"&gt;0")</f>
        <v/>
      </c>
      <c r="I26" s="28" t="n"/>
    </row>
    <row r="27" ht="23.1" customHeight="1">
      <c r="A27" s="239" t="inlineStr">
        <is>
          <t xml:space="preserve">Total Indirect Personnel hours: </t>
        </is>
      </c>
      <c r="B27" s="45">
        <f>SUM(C15:C25)</f>
        <v/>
      </c>
      <c r="C27" s="27" t="n"/>
      <c r="D27" s="41" t="n"/>
      <c r="E27" s="41" t="n"/>
      <c r="F27" s="26" t="n"/>
      <c r="G27" s="194" t="inlineStr">
        <is>
          <t>Total Subcontractor hours:</t>
        </is>
      </c>
      <c r="H27" s="46">
        <f>SUM(I15:I25)</f>
        <v/>
      </c>
      <c r="I27" s="28" t="n"/>
    </row>
    <row r="28" ht="23.1" customHeight="1">
      <c r="A28" s="239" t="inlineStr">
        <is>
          <t xml:space="preserve">Total Direct Personnel onsite:  </t>
        </is>
      </c>
      <c r="B28" s="45">
        <f>COUNTIF(F15:F29,"&gt;0")</f>
        <v/>
      </c>
      <c r="C28" s="45" t="n"/>
      <c r="D28" s="41" t="n"/>
      <c r="E28" s="41" t="n"/>
      <c r="F28" s="47" t="n"/>
      <c r="G28" s="194" t="n"/>
      <c r="H28" s="46" t="n"/>
      <c r="I28" s="238" t="n"/>
    </row>
    <row r="29" ht="23.1" customHeight="1">
      <c r="A29" s="239" t="inlineStr">
        <is>
          <t xml:space="preserve">Total Direct Personnel hours: </t>
        </is>
      </c>
      <c r="B29" s="45">
        <f>SUM(F15:F29)</f>
        <v/>
      </c>
      <c r="C29" s="45" t="n"/>
      <c r="D29" s="45" t="n"/>
      <c r="E29" s="45" t="n"/>
      <c r="F29" s="45" t="n"/>
      <c r="G29" s="45" t="n"/>
      <c r="H29" s="45" t="n"/>
      <c r="I29" s="238" t="n"/>
    </row>
    <row r="30" ht="24.95" customHeight="1">
      <c r="A30" s="10" t="inlineStr">
        <is>
          <t>PLANT &amp; EQUIPMENT</t>
        </is>
      </c>
      <c r="B30" s="1" t="n"/>
      <c r="C30" s="1" t="n"/>
      <c r="D30" s="1" t="n"/>
      <c r="E30" s="1" t="n"/>
      <c r="F30" s="1" t="n"/>
      <c r="G30" s="1" t="n"/>
      <c r="H30" s="1" t="n"/>
      <c r="I30" s="2" t="n"/>
    </row>
    <row r="31" ht="24" customHeight="1">
      <c r="A31" s="183" t="inlineStr">
        <is>
          <t>Plant</t>
        </is>
      </c>
      <c r="B31" s="184" t="inlineStr">
        <is>
          <t>ID</t>
        </is>
      </c>
      <c r="C31" s="184" t="inlineStr">
        <is>
          <t>Hours</t>
        </is>
      </c>
      <c r="D31" s="184" t="inlineStr">
        <is>
          <t xml:space="preserve"> Vehicles</t>
        </is>
      </c>
      <c r="E31" s="184" t="inlineStr">
        <is>
          <t>ID</t>
        </is>
      </c>
      <c r="F31" s="184" t="inlineStr">
        <is>
          <t>QTY</t>
        </is>
      </c>
      <c r="G31" s="23" t="inlineStr">
        <is>
          <t>Site Facilities</t>
        </is>
      </c>
      <c r="H31" s="23" t="inlineStr">
        <is>
          <t>ID</t>
        </is>
      </c>
      <c r="I31" s="24" t="inlineStr">
        <is>
          <t>Qty</t>
        </is>
      </c>
    </row>
    <row r="32" ht="23.1" customHeight="1">
      <c r="A32" s="25" t="inlineStr">
        <is>
          <t>Komatsu WA320</t>
        </is>
      </c>
      <c r="B32" s="26" t="inlineStr">
        <is>
          <t>LD-011</t>
        </is>
      </c>
      <c r="C32" s="26" t="n">
        <v>10</v>
      </c>
      <c r="D32" s="27" t="inlineStr">
        <is>
          <t>Hilux</t>
        </is>
      </c>
      <c r="E32" s="27" t="inlineStr">
        <is>
          <t>DLV90</t>
        </is>
      </c>
      <c r="F32" s="27" t="n">
        <v>1</v>
      </c>
      <c r="G32" s="27" t="inlineStr">
        <is>
          <t>Office 40ft</t>
        </is>
      </c>
      <c r="H32" s="27" t="n">
        <v>9255540</v>
      </c>
      <c r="I32" s="28" t="n">
        <v>1</v>
      </c>
    </row>
    <row r="33" ht="23.1" customHeight="1">
      <c r="A33" s="25" t="inlineStr">
        <is>
          <t>Wacker Neuson DPU</t>
        </is>
      </c>
      <c r="B33" s="26" t="inlineStr">
        <is>
          <t>DPC15</t>
        </is>
      </c>
      <c r="C33" s="26" t="n"/>
      <c r="D33" s="27" t="inlineStr">
        <is>
          <t>6 Wheel Tipper</t>
        </is>
      </c>
      <c r="E33" s="27" t="inlineStr">
        <is>
          <t>AMG04</t>
        </is>
      </c>
      <c r="F33" s="27" t="n"/>
      <c r="G33" s="27" t="inlineStr">
        <is>
          <t>Sea Container 20ft</t>
        </is>
      </c>
      <c r="H33" s="26" t="n">
        <v>951200</v>
      </c>
      <c r="I33" s="28" t="n">
        <v>1</v>
      </c>
    </row>
    <row r="34" ht="23.1" customHeight="1">
      <c r="A34" s="29" t="inlineStr">
        <is>
          <t>Positrak</t>
        </is>
      </c>
      <c r="B34" s="27" t="inlineStr">
        <is>
          <t>AMG 025</t>
        </is>
      </c>
      <c r="C34" s="26" t="n"/>
      <c r="D34" s="27" t="n"/>
      <c r="E34" s="26" t="n"/>
      <c r="F34" s="27" t="n"/>
      <c r="G34" s="27" t="inlineStr">
        <is>
          <t>Site Sentry Tower</t>
        </is>
      </c>
      <c r="H34" s="27" t="n"/>
      <c r="I34" s="28" t="n">
        <v>2</v>
      </c>
    </row>
    <row r="35" ht="23.1" customHeight="1">
      <c r="A35" s="29" t="inlineStr">
        <is>
          <t>Watercart</t>
        </is>
      </c>
      <c r="B35" s="27" t="inlineStr">
        <is>
          <t>A1-109</t>
        </is>
      </c>
      <c r="C35" s="26" t="n">
        <v>1</v>
      </c>
      <c r="D35" s="27" t="n"/>
      <c r="E35" s="27" t="n"/>
      <c r="F35" s="27" t="n"/>
      <c r="G35" s="27" t="inlineStr">
        <is>
          <t>Skip Bin</t>
        </is>
      </c>
      <c r="H35" s="27" t="n"/>
      <c r="I35" s="28" t="n">
        <v>1</v>
      </c>
    </row>
    <row r="36" ht="23.1" customHeight="1">
      <c r="A36" s="29" t="inlineStr">
        <is>
          <t>8T Excavator</t>
        </is>
      </c>
      <c r="B36" s="30" t="inlineStr">
        <is>
          <t>AMG 014</t>
        </is>
      </c>
      <c r="C36" s="26" t="n">
        <v>5</v>
      </c>
      <c r="D36" s="27" t="n"/>
      <c r="E36" s="27" t="n"/>
      <c r="F36" s="27" t="n"/>
      <c r="G36" s="27" t="inlineStr">
        <is>
          <t>Hydrocarbon Bund</t>
        </is>
      </c>
      <c r="H36" s="27" t="n"/>
      <c r="I36" s="28" t="n">
        <v>1</v>
      </c>
    </row>
    <row r="37" ht="23.1" customHeight="1">
      <c r="A37" s="27" t="inlineStr">
        <is>
          <t>6 Wheel Tipper</t>
        </is>
      </c>
      <c r="B37" s="27" t="inlineStr">
        <is>
          <t>AMG 008</t>
        </is>
      </c>
      <c r="C37" s="27" t="n"/>
      <c r="D37" s="27" t="n"/>
      <c r="E37" s="27" t="n"/>
      <c r="F37" s="27" t="n"/>
      <c r="G37" s="27" t="inlineStr">
        <is>
          <t>Temp Fence</t>
        </is>
      </c>
      <c r="H37" s="26" t="n"/>
      <c r="I37" s="28" t="n">
        <v>1</v>
      </c>
    </row>
    <row r="38" ht="24" customHeight="1">
      <c r="A38" s="29" t="inlineStr">
        <is>
          <t>Padfoot/ Smooth Drum Roller</t>
        </is>
      </c>
      <c r="B38" s="27" t="inlineStr">
        <is>
          <t>RR 03</t>
        </is>
      </c>
      <c r="C38" s="26" t="n">
        <v>10</v>
      </c>
      <c r="D38" s="27" t="n"/>
      <c r="E38" s="27" t="n"/>
      <c r="F38" s="27" t="n"/>
      <c r="G38" s="31" t="n"/>
      <c r="H38" s="31" t="n"/>
      <c r="I38" s="32" t="n"/>
    </row>
    <row r="39" ht="24" customHeight="1">
      <c r="A39" s="29" t="inlineStr">
        <is>
          <t>Positrak SSL</t>
        </is>
      </c>
      <c r="B39" s="27" t="inlineStr">
        <is>
          <t>SSL08</t>
        </is>
      </c>
      <c r="C39" s="26" t="n">
        <v>10</v>
      </c>
      <c r="D39" s="27" t="n"/>
      <c r="E39" s="27" t="n"/>
      <c r="F39" s="27" t="n"/>
      <c r="G39" s="31" t="n"/>
      <c r="H39" s="31" t="n"/>
      <c r="I39" s="32" t="n"/>
    </row>
    <row r="40" ht="23.1" customHeight="1">
      <c r="A40" s="29" t="inlineStr">
        <is>
          <t>Grader</t>
        </is>
      </c>
      <c r="B40" s="27" t="inlineStr">
        <is>
          <t>SLS01</t>
        </is>
      </c>
      <c r="C40" s="26" t="n">
        <v>10</v>
      </c>
      <c r="D40" s="27" t="n"/>
      <c r="E40" s="27" t="n"/>
      <c r="F40" s="27" t="n"/>
      <c r="G40" s="27" t="n"/>
      <c r="H40" s="26" t="n"/>
      <c r="I40" s="28" t="n"/>
    </row>
    <row r="41" ht="23.1" customHeight="1">
      <c r="A41" s="29" t="inlineStr">
        <is>
          <t>5t Excavator</t>
        </is>
      </c>
      <c r="B41" s="27" t="inlineStr">
        <is>
          <t>AMG 007</t>
        </is>
      </c>
      <c r="C41" s="26" t="n"/>
      <c r="D41" s="27" t="n"/>
      <c r="E41" s="27" t="n"/>
      <c r="F41" s="27" t="n"/>
      <c r="G41" s="27" t="n"/>
      <c r="H41" s="26" t="n"/>
      <c r="I41" s="28" t="n"/>
    </row>
    <row r="42" ht="23.1" customHeight="1">
      <c r="A42" s="29" t="inlineStr">
        <is>
          <t>1.5 Excavator</t>
        </is>
      </c>
      <c r="B42" s="27" t="inlineStr">
        <is>
          <t>AMG 009</t>
        </is>
      </c>
      <c r="C42" s="26" t="n">
        <v>5</v>
      </c>
      <c r="D42" s="27" t="n"/>
      <c r="E42" s="27" t="n"/>
      <c r="F42" s="27" t="n"/>
      <c r="G42" s="27" t="n"/>
      <c r="H42" s="26" t="n"/>
      <c r="I42" s="28" t="n"/>
    </row>
    <row r="43" ht="24" customHeight="1">
      <c r="A43" s="29" t="n"/>
      <c r="B43" s="27" t="n"/>
      <c r="C43" s="26" t="n"/>
      <c r="D43" s="31" t="n"/>
      <c r="E43" s="31" t="n"/>
      <c r="F43" s="31" t="n"/>
      <c r="G43" s="31" t="n"/>
      <c r="H43" s="31" t="n"/>
      <c r="I43" s="32" t="n"/>
    </row>
    <row r="44" ht="18" customHeight="1">
      <c r="A44" s="33" t="n">
        <v>0</v>
      </c>
      <c r="B44" s="186" t="inlineStr">
        <is>
          <t xml:space="preserve">Repairs Required </t>
        </is>
      </c>
      <c r="C44" s="276" t="n"/>
      <c r="D44" s="233" t="inlineStr">
        <is>
          <t>N/A</t>
        </is>
      </c>
      <c r="E44" s="275" t="n"/>
      <c r="F44" s="275" t="n"/>
      <c r="G44" s="275" t="n"/>
      <c r="H44" s="275" t="n"/>
      <c r="I44" s="277" t="n"/>
    </row>
    <row r="45" ht="18" customHeight="1">
      <c r="A45" s="34" t="n">
        <v>0</v>
      </c>
      <c r="B45" s="186" t="inlineStr">
        <is>
          <t>Scheduled Service</t>
        </is>
      </c>
      <c r="C45" s="276" t="n"/>
      <c r="D45" s="233" t="inlineStr">
        <is>
          <t>N/A</t>
        </is>
      </c>
      <c r="E45" s="275" t="n"/>
      <c r="F45" s="275" t="n"/>
      <c r="G45" s="275" t="n"/>
      <c r="H45" s="275" t="n"/>
      <c r="I45" s="277" t="n"/>
    </row>
    <row r="46" ht="18" customHeight="1">
      <c r="A46" s="35" t="n">
        <v>0</v>
      </c>
      <c r="B46" s="186" t="inlineStr">
        <is>
          <t>Repairs required but operable</t>
        </is>
      </c>
      <c r="C46" s="276" t="n"/>
      <c r="D46" s="233" t="inlineStr">
        <is>
          <t>N/A</t>
        </is>
      </c>
      <c r="E46" s="275" t="n"/>
      <c r="F46" s="275" t="n"/>
      <c r="G46" s="275" t="n"/>
      <c r="H46" s="275" t="n"/>
      <c r="I46" s="277" t="n"/>
    </row>
    <row r="47" ht="23.1" customHeight="1">
      <c r="A47" s="239" t="inlineStr">
        <is>
          <t xml:space="preserve">Total Plant and Equipment Hours: </t>
        </is>
      </c>
      <c r="B47" s="276" t="n"/>
      <c r="C47" s="195" t="n">
        <v>39</v>
      </c>
      <c r="D47" s="185" t="n"/>
      <c r="E47" s="275" t="n"/>
      <c r="F47" s="275" t="n"/>
      <c r="G47" s="275" t="n"/>
      <c r="H47" s="275" t="n"/>
      <c r="I47" s="277" t="n"/>
    </row>
    <row r="48" ht="24.95" customHeight="1">
      <c r="A48" s="230" t="inlineStr">
        <is>
          <t>DELAYS-OPPORTUNITY</t>
        </is>
      </c>
      <c r="B48" s="275" t="n"/>
      <c r="C48" s="275" t="n"/>
      <c r="D48" s="275" t="n"/>
      <c r="E48" s="275" t="n"/>
      <c r="F48" s="275" t="n"/>
      <c r="G48" s="275" t="n"/>
      <c r="H48" s="275" t="n"/>
      <c r="I48" s="277" t="n"/>
    </row>
    <row r="49" ht="20.1" customHeight="1">
      <c r="A49" s="5" t="n"/>
      <c r="B49" s="6" t="n"/>
      <c r="C49" s="6" t="n"/>
      <c r="D49" s="6" t="n"/>
      <c r="E49" s="6" t="n"/>
      <c r="F49" s="6" t="n"/>
      <c r="G49" s="6" t="n"/>
      <c r="H49" s="6" t="n"/>
      <c r="I49" s="7" t="n"/>
    </row>
    <row r="50">
      <c r="A50" s="240" t="inlineStr">
        <is>
          <t xml:space="preserve">Awaiting Detail on Centrelink Carpark
Awaiting Crossing Details for Forrest Street
Awaiting Direction on Service Clash Forrest Street
Awaiting Feedback on Batters Treatment </t>
        </is>
      </c>
      <c r="B50" s="278" t="n"/>
      <c r="C50" s="278" t="n"/>
      <c r="D50" s="278" t="n"/>
      <c r="E50" s="278" t="n"/>
      <c r="F50" s="278" t="n"/>
      <c r="G50" s="278" t="n"/>
      <c r="H50" s="278" t="n"/>
      <c r="I50" s="279" t="n"/>
    </row>
    <row r="51">
      <c r="A51" s="270" t="n"/>
      <c r="I51" s="271" t="n"/>
    </row>
    <row r="52">
      <c r="A52" s="270" t="n"/>
      <c r="I52" s="271" t="n"/>
    </row>
    <row r="53" ht="13.5" customHeight="1">
      <c r="A53" s="280" t="n"/>
      <c r="B53" s="281" t="n"/>
      <c r="C53" s="281" t="n"/>
      <c r="D53" s="281" t="n"/>
      <c r="E53" s="281" t="n"/>
      <c r="F53" s="281" t="n"/>
      <c r="G53" s="281" t="n"/>
      <c r="H53" s="281" t="n"/>
      <c r="I53" s="282" t="n"/>
    </row>
    <row r="54" ht="24.95" customHeight="1">
      <c r="A54" s="236" t="inlineStr">
        <is>
          <t>HSEQ MESSAGES</t>
        </is>
      </c>
      <c r="B54" s="283" t="n"/>
      <c r="C54" s="283" t="n"/>
      <c r="D54" s="283" t="n"/>
      <c r="E54" s="283" t="n"/>
      <c r="F54" s="283" t="n"/>
      <c r="G54" s="283" t="n"/>
      <c r="H54" s="283" t="n"/>
      <c r="I54" s="284" t="n"/>
    </row>
    <row r="55" ht="18" customHeight="1">
      <c r="A55" s="18" t="inlineStr">
        <is>
          <t>TCD - Monthly Safety Focus:</t>
        </is>
      </c>
      <c r="B55" s="211" t="inlineStr">
        <is>
          <t>Return to Work</t>
        </is>
      </c>
      <c r="C55" s="275" t="n"/>
      <c r="D55" s="275" t="n"/>
      <c r="E55" s="275" t="n"/>
      <c r="F55" s="275" t="n"/>
      <c r="G55" s="275" t="n"/>
      <c r="H55" s="275" t="n"/>
      <c r="I55" s="276" t="n"/>
    </row>
    <row r="56" ht="24" customHeight="1">
      <c r="A56" s="18" t="inlineStr">
        <is>
          <t>TCD - Daily Safety Focus:</t>
        </is>
      </c>
      <c r="B56" s="212" t="inlineStr">
        <is>
          <t>Simops</t>
        </is>
      </c>
      <c r="C56" s="275" t="n"/>
      <c r="D56" s="275" t="n"/>
      <c r="E56" s="275" t="n"/>
      <c r="F56" s="275" t="n"/>
      <c r="G56" s="275" t="n"/>
      <c r="H56" s="275" t="n"/>
      <c r="I56" s="277" t="n"/>
    </row>
    <row r="57" ht="18" customHeight="1">
      <c r="A57" s="19" t="inlineStr">
        <is>
          <t xml:space="preserve">Hazards Reported: </t>
        </is>
      </c>
      <c r="B57" s="20" t="inlineStr">
        <is>
          <t>Nil</t>
        </is>
      </c>
      <c r="C57" s="212" t="n"/>
      <c r="D57" s="275" t="n"/>
      <c r="E57" s="275" t="n"/>
      <c r="F57" s="275" t="n"/>
      <c r="G57" s="275" t="n"/>
      <c r="H57" s="275" t="n"/>
      <c r="I57" s="277" t="n"/>
    </row>
    <row r="58" ht="18" customHeight="1">
      <c r="A58" s="19" t="inlineStr">
        <is>
          <t>Incident Free Days</t>
        </is>
      </c>
      <c r="B58" s="20" t="n">
        <v>77</v>
      </c>
      <c r="C58" s="211" t="n"/>
      <c r="D58" s="275" t="n"/>
      <c r="E58" s="275" t="n"/>
      <c r="F58" s="275" t="n"/>
      <c r="G58" s="275" t="n"/>
      <c r="H58" s="275" t="n"/>
      <c r="I58" s="276" t="n"/>
    </row>
    <row r="59" ht="18" customHeight="1">
      <c r="A59" s="21" t="inlineStr">
        <is>
          <t>Other Notes</t>
        </is>
      </c>
      <c r="B59" s="241" t="n"/>
      <c r="C59" s="278" t="n"/>
      <c r="D59" s="278" t="n"/>
      <c r="E59" s="278" t="n"/>
      <c r="F59" s="278" t="n"/>
      <c r="G59" s="278" t="n"/>
      <c r="H59" s="278" t="n"/>
      <c r="I59" s="279" t="n"/>
    </row>
    <row r="60" ht="20.25" customHeight="1">
      <c r="A60" s="230" t="inlineStr">
        <is>
          <t xml:space="preserve">INCIDENTS &amp; REPORTS </t>
        </is>
      </c>
      <c r="B60" s="275" t="n"/>
      <c r="C60" s="275" t="n"/>
      <c r="D60" s="275" t="n"/>
      <c r="E60" s="275" t="n"/>
      <c r="F60" s="275" t="n"/>
      <c r="G60" s="275" t="n"/>
      <c r="H60" s="275" t="n"/>
      <c r="I60" s="277" t="n"/>
    </row>
    <row r="61" ht="24.95" customHeight="1">
      <c r="A61" s="11" t="n"/>
      <c r="B61" s="184" t="inlineStr">
        <is>
          <t>QTY</t>
        </is>
      </c>
      <c r="C61" s="238" t="inlineStr">
        <is>
          <t>Comments</t>
        </is>
      </c>
      <c r="D61" s="275" t="n"/>
      <c r="E61" s="275" t="n"/>
      <c r="F61" s="275" t="n"/>
      <c r="G61" s="275" t="n"/>
      <c r="H61" s="275" t="n"/>
      <c r="I61" s="277" t="n"/>
    </row>
    <row r="62" ht="24.95" customHeight="1">
      <c r="A62" s="13" t="inlineStr">
        <is>
          <t>INCIDENT</t>
        </is>
      </c>
      <c r="B62" s="184" t="n">
        <v>0</v>
      </c>
      <c r="C62" s="233" t="inlineStr">
        <is>
          <t>NA</t>
        </is>
      </c>
      <c r="D62" s="275" t="n"/>
      <c r="E62" s="275" t="n"/>
      <c r="F62" s="275" t="n"/>
      <c r="G62" s="275" t="n"/>
      <c r="H62" s="275" t="n"/>
      <c r="I62" s="277" t="n"/>
    </row>
    <row r="63" ht="24.95" customHeight="1">
      <c r="A63" s="14" t="inlineStr">
        <is>
          <t>IR</t>
        </is>
      </c>
      <c r="B63" s="15" t="n">
        <v>0</v>
      </c>
      <c r="C63" s="234" t="inlineStr">
        <is>
          <t>NA</t>
        </is>
      </c>
      <c r="D63" s="278" t="n"/>
      <c r="E63" s="278" t="n"/>
      <c r="F63" s="278" t="n"/>
      <c r="G63" s="278" t="n"/>
      <c r="H63" s="278" t="n"/>
      <c r="I63" s="279" t="n"/>
    </row>
    <row r="64" ht="24.95" customHeight="1">
      <c r="A64" s="16" t="inlineStr">
        <is>
          <t>NCR</t>
        </is>
      </c>
      <c r="B64" s="17" t="n">
        <v>0</v>
      </c>
      <c r="C64" s="235" t="inlineStr">
        <is>
          <t>NA</t>
        </is>
      </c>
      <c r="D64" s="285" t="n"/>
      <c r="E64" s="285" t="n"/>
      <c r="F64" s="285" t="n"/>
      <c r="G64" s="285" t="n"/>
      <c r="H64" s="285" t="n"/>
      <c r="I64" s="286" t="n"/>
    </row>
    <row r="65" ht="20.25" customHeight="1">
      <c r="A65" s="236" t="inlineStr">
        <is>
          <t>COMMUNICATIONS</t>
        </is>
      </c>
      <c r="B65" s="283" t="n"/>
      <c r="C65" s="283" t="n"/>
      <c r="D65" s="283" t="n"/>
      <c r="E65" s="283" t="n"/>
      <c r="F65" s="283" t="n"/>
      <c r="G65" s="283" t="n"/>
      <c r="H65" s="283" t="n"/>
      <c r="I65" s="284" t="n"/>
    </row>
    <row r="66" ht="24.95" customHeight="1">
      <c r="A66" s="237" t="inlineStr">
        <is>
          <t>TGS MB1119-05 Scheme D impletmented</t>
        </is>
      </c>
      <c r="B66" s="275" t="n"/>
      <c r="C66" s="275" t="n"/>
      <c r="D66" s="275" t="n"/>
      <c r="E66" s="275" t="n"/>
      <c r="F66" s="275" t="n"/>
      <c r="G66" s="275" t="n"/>
      <c r="H66" s="275" t="n"/>
      <c r="I66" s="277" t="n"/>
    </row>
    <row r="67" ht="24.95" customHeight="1">
      <c r="A67" s="237" t="inlineStr">
        <is>
          <t>COGG Inspected Subgrade 2:30</t>
        </is>
      </c>
      <c r="B67" s="275" t="n"/>
      <c r="C67" s="275" t="n"/>
      <c r="D67" s="275" t="n"/>
      <c r="E67" s="275" t="n"/>
      <c r="F67" s="275" t="n"/>
      <c r="G67" s="275" t="n"/>
      <c r="H67" s="275" t="n"/>
      <c r="I67" s="277" t="n"/>
    </row>
    <row r="68" ht="24.95" customHeight="1">
      <c r="A68" s="230" t="inlineStr">
        <is>
          <t>PRODUCTION (CONSTRUCTION STATUS &amp; PROGRESS)</t>
        </is>
      </c>
      <c r="B68" s="275" t="n"/>
      <c r="C68" s="275" t="n"/>
      <c r="D68" s="275" t="n"/>
      <c r="E68" s="275" t="n"/>
      <c r="F68" s="275" t="n"/>
      <c r="G68" s="275" t="n"/>
      <c r="H68" s="275" t="n"/>
      <c r="I68" s="277" t="n"/>
    </row>
    <row r="69" ht="24.95" customHeight="1">
      <c r="A69" s="66" t="inlineStr">
        <is>
          <t>Ongoing underground services Bayly st end - Water/gas/power install</t>
        </is>
      </c>
      <c r="B69" s="62" t="n"/>
      <c r="C69" s="62" t="n"/>
      <c r="D69" s="62" t="n"/>
      <c r="E69" s="62" t="n"/>
      <c r="F69" s="62" t="n"/>
      <c r="G69" s="62" t="n"/>
      <c r="H69" s="62" t="n"/>
      <c r="I69" s="63" t="n"/>
    </row>
    <row r="70" ht="24.95" customHeight="1">
      <c r="A70" s="66" t="inlineStr">
        <is>
          <t xml:space="preserve">Install of Coms pit for future sub-division  Ally way widening + verge build up </t>
        </is>
      </c>
      <c r="B70" s="62" t="n"/>
      <c r="C70" s="62" t="n"/>
      <c r="D70" s="62" t="n"/>
      <c r="E70" s="62" t="n"/>
      <c r="F70" s="62" t="n"/>
      <c r="G70" s="62" t="n"/>
      <c r="H70" s="62" t="n"/>
      <c r="I70" s="63" t="n"/>
    </row>
    <row r="71" ht="24.95" customHeight="1">
      <c r="A71" s="66" t="inlineStr">
        <is>
          <t>Subgrade cut and windrow + pick up spoil with Loader</t>
        </is>
      </c>
      <c r="B71" s="62" t="n"/>
      <c r="C71" s="62" t="n"/>
      <c r="D71" s="62" t="n"/>
      <c r="E71" s="62" t="n"/>
      <c r="F71" s="62" t="n"/>
      <c r="G71" s="62" t="n"/>
      <c r="H71" s="62" t="n"/>
      <c r="I71" s="63" t="n"/>
    </row>
    <row r="72" ht="24.95" customHeight="1">
      <c r="A72" s="79" t="inlineStr">
        <is>
          <t>Soil tester onsite to complete supplimentary subgrade soil tests</t>
        </is>
      </c>
      <c r="B72" s="62" t="n"/>
      <c r="C72" s="62" t="n"/>
      <c r="D72" s="62" t="n"/>
      <c r="E72" s="79" t="n"/>
      <c r="F72" s="62" t="n"/>
      <c r="G72" s="62" t="n"/>
      <c r="H72" s="62" t="n"/>
      <c r="I72" s="63" t="n"/>
    </row>
    <row r="73" ht="24.95" customHeight="1">
      <c r="A73" s="66" t="n"/>
      <c r="B73" s="62" t="n"/>
      <c r="C73" s="62" t="n"/>
      <c r="D73" s="62" t="n"/>
      <c r="E73" s="79" t="n"/>
      <c r="F73" s="62" t="n"/>
      <c r="G73" s="62" t="n"/>
      <c r="H73" s="62" t="n"/>
      <c r="I73" s="63" t="n"/>
    </row>
    <row r="74" ht="26.1" customHeight="1">
      <c r="A74" s="231" t="inlineStr">
        <is>
          <t>PHOTOS</t>
        </is>
      </c>
      <c r="B74" s="278" t="n"/>
      <c r="C74" s="278" t="n"/>
      <c r="D74" s="278" t="n"/>
      <c r="E74" s="278" t="n"/>
      <c r="F74" s="278" t="n"/>
      <c r="G74" s="278" t="n"/>
      <c r="H74" s="278" t="n"/>
      <c r="I74" s="279" t="n"/>
    </row>
    <row r="75" ht="23.1" customHeight="1">
      <c r="A75" s="70" t="n"/>
      <c r="B75" s="71" t="n"/>
      <c r="C75" s="71" t="n"/>
      <c r="D75" s="71" t="n"/>
      <c r="E75" s="71" t="n"/>
      <c r="F75" s="71" t="n"/>
      <c r="G75" s="71" t="n"/>
      <c r="H75" s="71" t="n"/>
      <c r="I75" s="72" t="n"/>
    </row>
    <row r="76" ht="23.1" customHeight="1">
      <c r="A76" s="73" t="n"/>
      <c r="B76" s="74" t="n"/>
      <c r="C76" s="74" t="n"/>
      <c r="D76" s="74" t="n"/>
      <c r="E76" s="74" t="n"/>
      <c r="F76" s="74" t="n"/>
      <c r="G76" s="74" t="n"/>
      <c r="H76" s="74" t="n"/>
      <c r="I76" s="75" t="n"/>
    </row>
    <row r="77" ht="15" customHeight="1">
      <c r="A77" s="73" t="n"/>
      <c r="B77" s="74" t="n"/>
      <c r="C77" s="74" t="n"/>
      <c r="D77" s="74" t="n"/>
      <c r="E77" s="74" t="n"/>
      <c r="F77" s="74" t="n"/>
      <c r="G77" s="74" t="n"/>
      <c r="H77" s="74" t="n"/>
      <c r="I77" s="75" t="n"/>
    </row>
    <row r="78" ht="15" customHeight="1">
      <c r="A78" s="73" t="n"/>
      <c r="B78" s="74" t="n"/>
      <c r="C78" s="74" t="n"/>
      <c r="D78" s="74" t="n"/>
      <c r="E78" s="74" t="n"/>
      <c r="F78" s="74" t="n"/>
      <c r="G78" s="74" t="n"/>
      <c r="H78" s="74" t="n"/>
      <c r="I78" s="75" t="n"/>
    </row>
    <row r="79" ht="15" customHeight="1">
      <c r="A79" s="73" t="n"/>
      <c r="B79" s="74" t="n"/>
      <c r="C79" s="74" t="n"/>
      <c r="D79" s="74" t="n"/>
      <c r="E79" s="74" t="n"/>
      <c r="F79" s="74" t="n"/>
      <c r="G79" s="74" t="n"/>
      <c r="H79" s="74" t="n"/>
      <c r="I79" s="75" t="n"/>
    </row>
    <row r="80" ht="15" customHeight="1">
      <c r="A80" s="73" t="n"/>
      <c r="B80" s="74" t="n"/>
      <c r="C80" s="74" t="n"/>
      <c r="D80" s="74" t="n"/>
      <c r="E80" s="74" t="n"/>
      <c r="F80" s="74" t="n"/>
      <c r="G80" s="74" t="n"/>
      <c r="H80" s="74" t="n"/>
      <c r="I80" s="75" t="n"/>
    </row>
    <row r="81" ht="15" customHeight="1">
      <c r="A81" s="73" t="n"/>
      <c r="B81" s="74" t="n"/>
      <c r="C81" s="74" t="n"/>
      <c r="D81" s="74" t="n"/>
      <c r="E81" s="74" t="n"/>
      <c r="F81" s="74" t="n"/>
      <c r="G81" s="74" t="n"/>
      <c r="H81" s="74" t="n"/>
      <c r="I81" s="75" t="n"/>
    </row>
    <row r="82" ht="15" customHeight="1">
      <c r="A82" s="73" t="n"/>
      <c r="B82" s="74" t="n"/>
      <c r="C82" s="74" t="n"/>
      <c r="D82" s="74" t="n"/>
      <c r="E82" s="74" t="n"/>
      <c r="F82" s="74" t="n"/>
      <c r="G82" s="74" t="n"/>
      <c r="H82" s="74" t="n"/>
      <c r="I82" s="75" t="n"/>
    </row>
    <row r="83" ht="15" customHeight="1">
      <c r="A83" s="73" t="n"/>
      <c r="B83" s="74" t="n"/>
      <c r="C83" s="74" t="n"/>
      <c r="D83" s="74" t="n"/>
      <c r="E83" s="74" t="n"/>
      <c r="F83" s="74" t="n"/>
      <c r="G83" s="74" t="n"/>
      <c r="H83" s="74" t="n"/>
      <c r="I83" s="75" t="n"/>
    </row>
    <row r="84" ht="15" customHeight="1">
      <c r="A84" s="73" t="n"/>
      <c r="B84" s="74" t="n"/>
      <c r="C84" s="74" t="n"/>
      <c r="D84" s="74" t="n"/>
      <c r="E84" s="74" t="n"/>
      <c r="F84" s="74" t="n"/>
      <c r="G84" s="74" t="n"/>
      <c r="H84" s="74" t="n"/>
      <c r="I84" s="75" t="n"/>
    </row>
    <row r="85" ht="15" customHeight="1">
      <c r="A85" s="73" t="n"/>
      <c r="B85" s="74" t="n"/>
      <c r="C85" s="74" t="n"/>
      <c r="D85" s="74" t="n"/>
      <c r="E85" s="74" t="n"/>
      <c r="F85" s="74" t="n"/>
      <c r="G85" s="74" t="n"/>
      <c r="H85" s="74" t="n"/>
      <c r="I85" s="75" t="n"/>
    </row>
    <row r="86" ht="15" customHeight="1">
      <c r="A86" s="73" t="n"/>
      <c r="B86" s="74" t="n"/>
      <c r="C86" s="74" t="n"/>
      <c r="D86" s="74" t="n"/>
      <c r="E86" s="74" t="n"/>
      <c r="F86" s="74" t="n"/>
      <c r="G86" s="74" t="n"/>
      <c r="H86" s="74" t="n"/>
      <c r="I86" s="75" t="n"/>
    </row>
    <row r="87" ht="15" customHeight="1">
      <c r="A87" s="73" t="n"/>
      <c r="B87" s="74" t="n"/>
      <c r="C87" s="74" t="n"/>
      <c r="D87" s="74" t="n"/>
      <c r="E87" s="74" t="n"/>
      <c r="F87" s="74" t="n"/>
      <c r="G87" s="74" t="n"/>
      <c r="H87" s="74" t="n"/>
      <c r="I87" s="75" t="n"/>
    </row>
    <row r="88" ht="15" customHeight="1">
      <c r="A88" s="73" t="n"/>
      <c r="B88" s="74" t="n"/>
      <c r="C88" s="74" t="n"/>
      <c r="D88" s="74" t="n"/>
      <c r="E88" s="74" t="n"/>
      <c r="F88" s="74" t="n"/>
      <c r="G88" s="74" t="n"/>
      <c r="H88" s="74" t="n"/>
      <c r="I88" s="75" t="n"/>
    </row>
    <row r="89" ht="15" customHeight="1">
      <c r="A89" s="73" t="n"/>
      <c r="B89" s="74" t="n"/>
      <c r="C89" s="74" t="n"/>
      <c r="D89" s="74" t="n"/>
      <c r="E89" s="74" t="n"/>
      <c r="F89" s="74" t="n"/>
      <c r="G89" s="74" t="n"/>
      <c r="H89" s="74" t="n"/>
      <c r="I89" s="75" t="n"/>
    </row>
    <row r="90" ht="15" customHeight="1">
      <c r="A90" s="73" t="n"/>
      <c r="B90" s="74" t="n"/>
      <c r="C90" s="74" t="n"/>
      <c r="D90" s="74" t="n"/>
      <c r="E90" s="74" t="n"/>
      <c r="F90" s="74" t="n"/>
      <c r="G90" s="74" t="n"/>
      <c r="H90" s="74" t="n"/>
      <c r="I90" s="75" t="n"/>
    </row>
    <row r="91" ht="15" customHeight="1">
      <c r="A91" s="73" t="n"/>
      <c r="B91" s="74" t="n"/>
      <c r="C91" s="74" t="n"/>
      <c r="D91" s="74" t="n"/>
      <c r="E91" s="74" t="n"/>
      <c r="F91" s="74" t="n"/>
      <c r="G91" s="74" t="n"/>
      <c r="H91" s="74" t="n"/>
      <c r="I91" s="75" t="n"/>
    </row>
    <row r="92" ht="15" customHeight="1">
      <c r="A92" s="73" t="n"/>
      <c r="B92" s="74" t="n"/>
      <c r="C92" s="74" t="n"/>
      <c r="D92" s="74" t="n"/>
      <c r="E92" s="74" t="n"/>
      <c r="F92" s="74" t="n"/>
      <c r="G92" s="74" t="n"/>
      <c r="H92" s="74" t="n"/>
      <c r="I92" s="75" t="n"/>
    </row>
    <row r="93" ht="15" customHeight="1">
      <c r="A93" s="73" t="n"/>
      <c r="B93" s="74" t="n"/>
      <c r="C93" s="74" t="n"/>
      <c r="D93" s="74" t="n"/>
      <c r="E93" s="74" t="n"/>
      <c r="F93" s="74" t="n"/>
      <c r="G93" s="74" t="n"/>
      <c r="H93" s="74" t="n"/>
      <c r="I93" s="75" t="n"/>
    </row>
    <row r="94" ht="15" customHeight="1">
      <c r="A94" s="73" t="n"/>
      <c r="B94" s="74" t="n"/>
      <c r="C94" s="74" t="n"/>
      <c r="D94" s="74" t="n"/>
      <c r="E94" s="74" t="n"/>
      <c r="F94" s="74" t="n"/>
      <c r="G94" s="74" t="n"/>
      <c r="H94" s="74" t="n"/>
      <c r="I94" s="75" t="n"/>
    </row>
    <row r="95" ht="15" customHeight="1">
      <c r="A95" s="73" t="n"/>
      <c r="B95" s="74" t="n"/>
      <c r="C95" s="74" t="n"/>
      <c r="D95" s="74" t="n"/>
      <c r="E95" s="74" t="n"/>
      <c r="F95" s="74" t="n"/>
      <c r="G95" s="74" t="n"/>
      <c r="H95" s="74" t="n"/>
      <c r="I95" s="75" t="n"/>
    </row>
    <row r="96" ht="15" customHeight="1">
      <c r="A96" s="73" t="n"/>
      <c r="B96" s="74" t="n"/>
      <c r="C96" s="74" t="n"/>
      <c r="D96" s="74" t="n"/>
      <c r="E96" s="74" t="n"/>
      <c r="F96" s="74" t="n"/>
      <c r="G96" s="74" t="n"/>
      <c r="H96" s="74" t="n"/>
      <c r="I96" s="75" t="n"/>
    </row>
    <row r="97" ht="15" customHeight="1">
      <c r="A97" s="73" t="n"/>
      <c r="B97" s="74" t="n"/>
      <c r="C97" s="74" t="n"/>
      <c r="D97" s="74" t="n"/>
      <c r="E97" s="74" t="n"/>
      <c r="F97" s="74" t="n"/>
      <c r="H97" s="74" t="n"/>
      <c r="I97" s="75" t="n"/>
    </row>
    <row r="98" ht="24.95" customFormat="1" customHeight="1" s="4">
      <c r="A98" s="73" t="n"/>
      <c r="B98" s="74" t="n"/>
      <c r="C98" s="74" t="n"/>
      <c r="D98" s="74" t="n"/>
      <c r="E98" s="74" t="n"/>
      <c r="F98" s="74" t="n"/>
      <c r="G98" s="74" t="n"/>
      <c r="H98" s="74" t="n"/>
      <c r="I98" s="75" t="n"/>
    </row>
    <row r="99" ht="15" customHeight="1">
      <c r="A99" s="73" t="n"/>
      <c r="B99" s="74" t="n"/>
      <c r="C99" s="74" t="n"/>
      <c r="D99" s="74" t="n"/>
      <c r="E99" s="74" t="n"/>
      <c r="F99" s="74" t="n"/>
      <c r="G99" s="74" t="n"/>
      <c r="H99" s="74" t="n"/>
      <c r="I99" s="75" t="n"/>
    </row>
    <row r="100" ht="15" customHeight="1">
      <c r="A100" s="73" t="n"/>
      <c r="B100" s="74" t="n"/>
      <c r="C100" s="74" t="n"/>
      <c r="D100" s="74" t="n"/>
      <c r="E100" s="74" t="n"/>
      <c r="F100" s="74" t="n"/>
      <c r="G100" s="74" t="n"/>
      <c r="H100" s="74" t="n"/>
      <c r="I100" s="75" t="n"/>
    </row>
    <row r="101" ht="15" customHeight="1">
      <c r="A101" s="73" t="n"/>
      <c r="B101" s="74" t="n"/>
      <c r="C101" s="74" t="n"/>
      <c r="D101" s="74" t="n"/>
      <c r="E101" s="74" t="n"/>
      <c r="F101" s="74" t="n"/>
      <c r="G101" s="74" t="n"/>
      <c r="H101" s="74" t="n"/>
      <c r="I101" s="75" t="n"/>
    </row>
    <row r="102" ht="15" customHeight="1">
      <c r="A102" s="73" t="n"/>
      <c r="B102" s="74" t="n"/>
      <c r="C102" s="74" t="n"/>
      <c r="D102" s="74" t="n"/>
      <c r="E102" s="74" t="n"/>
      <c r="F102" s="74" t="n"/>
      <c r="G102" s="74" t="n"/>
      <c r="H102" s="74" t="n"/>
      <c r="I102" s="75" t="n"/>
    </row>
    <row r="103" ht="15" customHeight="1">
      <c r="A103" s="73" t="n"/>
      <c r="B103" s="74" t="n"/>
      <c r="C103" s="74" t="n"/>
      <c r="D103" s="74" t="n"/>
      <c r="E103" s="74" t="n"/>
      <c r="F103" s="74" t="n"/>
      <c r="G103" s="74" t="n"/>
      <c r="H103" s="74" t="n"/>
      <c r="I103" s="75" t="n"/>
    </row>
    <row r="104" ht="15" customHeight="1">
      <c r="A104" s="73" t="n"/>
      <c r="B104" s="74" t="n"/>
      <c r="C104" s="74" t="n"/>
      <c r="D104" s="74" t="n"/>
      <c r="E104" s="74" t="n"/>
      <c r="F104" s="74" t="n"/>
      <c r="G104" s="74" t="n"/>
      <c r="H104" s="74" t="n"/>
      <c r="I104" s="75" t="n"/>
    </row>
    <row r="105" ht="15" customHeight="1">
      <c r="A105" s="73" t="n"/>
      <c r="B105" s="74" t="n"/>
      <c r="C105" s="74" t="n"/>
      <c r="D105" s="74" t="n"/>
      <c r="E105" s="74" t="n"/>
      <c r="F105" s="74" t="n"/>
      <c r="G105" s="74" t="n"/>
      <c r="H105" s="74" t="n"/>
      <c r="I105" s="75" t="n"/>
    </row>
    <row r="106" ht="15" customHeight="1">
      <c r="A106" s="73" t="n"/>
      <c r="B106" s="74" t="n"/>
      <c r="C106" s="74" t="n"/>
      <c r="D106" s="74" t="n"/>
      <c r="E106" s="74" t="n"/>
      <c r="F106" s="74" t="n"/>
      <c r="G106" s="74" t="n"/>
      <c r="H106" s="74" t="n"/>
      <c r="I106" s="75" t="n"/>
    </row>
    <row r="107" ht="15" customHeight="1">
      <c r="A107" s="73" t="n"/>
      <c r="B107" s="74" t="n"/>
      <c r="C107" s="74" t="n"/>
      <c r="D107" s="74" t="n"/>
      <c r="E107" s="74" t="n"/>
      <c r="F107" s="74" t="n"/>
      <c r="G107" s="74" t="n"/>
      <c r="H107" s="74" t="n"/>
      <c r="I107" s="75" t="n"/>
    </row>
    <row r="108" ht="15" customHeight="1">
      <c r="A108" s="73" t="n"/>
      <c r="B108" s="74" t="n"/>
      <c r="C108" s="74" t="n"/>
      <c r="D108" s="74" t="n"/>
      <c r="E108" s="74" t="n"/>
      <c r="F108" s="74" t="n"/>
      <c r="G108" s="74" t="n"/>
      <c r="H108" s="74" t="n"/>
      <c r="I108" s="75" t="n"/>
    </row>
    <row r="109" ht="15" customHeight="1">
      <c r="A109" s="73" t="n"/>
      <c r="B109" s="74" t="n"/>
      <c r="C109" s="74" t="n"/>
      <c r="D109" s="74" t="n"/>
      <c r="E109" s="74" t="n"/>
      <c r="F109" s="74" t="n"/>
      <c r="G109" s="74" t="n"/>
      <c r="H109" s="74" t="n"/>
      <c r="I109" s="75" t="n"/>
    </row>
    <row r="110" ht="15" customHeight="1">
      <c r="A110" s="73" t="n"/>
      <c r="B110" s="74" t="n"/>
      <c r="C110" s="74" t="n"/>
      <c r="D110" s="74" t="n"/>
      <c r="E110" s="74" t="n"/>
      <c r="F110" s="74" t="n"/>
      <c r="G110" s="74" t="n"/>
      <c r="H110" s="74" t="n"/>
      <c r="I110" s="75" t="n"/>
    </row>
    <row r="111" ht="15" customHeight="1">
      <c r="A111" s="73" t="n"/>
      <c r="B111" s="74" t="n"/>
      <c r="C111" s="74" t="n"/>
      <c r="D111" s="74" t="n"/>
      <c r="E111" s="74" t="n"/>
      <c r="F111" s="74" t="n"/>
      <c r="G111" s="74" t="n"/>
      <c r="H111" s="74" t="n"/>
      <c r="I111" s="75" t="n"/>
    </row>
    <row r="112" ht="15" customHeight="1">
      <c r="A112" s="73" t="n"/>
      <c r="B112" s="74" t="n"/>
      <c r="C112" s="74" t="n"/>
      <c r="D112" s="74" t="n"/>
      <c r="E112" s="74" t="n"/>
      <c r="F112" s="74" t="n"/>
      <c r="G112" s="74" t="n"/>
      <c r="H112" s="74" t="n"/>
      <c r="I112" s="75" t="n"/>
    </row>
    <row r="113" ht="15" customHeight="1">
      <c r="A113" s="76" t="n"/>
      <c r="B113" s="77" t="n"/>
      <c r="C113" s="77" t="n"/>
      <c r="D113" s="77" t="n"/>
      <c r="E113" s="77" t="n"/>
      <c r="F113" s="77" t="n"/>
      <c r="G113" s="77" t="n"/>
      <c r="H113" s="77" t="n"/>
      <c r="I113" s="78" t="n"/>
    </row>
    <row r="114" ht="15" customHeight="1">
      <c r="A114" s="73" t="n"/>
      <c r="B114" s="74" t="n"/>
      <c r="C114" s="74" t="n"/>
      <c r="D114" s="74" t="n"/>
      <c r="E114" s="74" t="n"/>
      <c r="F114" s="74" t="n"/>
      <c r="G114" s="74" t="n"/>
      <c r="H114" s="74" t="n"/>
      <c r="I114" s="75" t="n"/>
    </row>
    <row r="115" ht="15" customHeight="1">
      <c r="A115" s="73" t="n"/>
      <c r="B115" s="74" t="n"/>
      <c r="C115" s="74" t="n"/>
      <c r="D115" s="74" t="n"/>
      <c r="E115" s="74" t="n"/>
      <c r="F115" s="74" t="n"/>
      <c r="G115" s="74" t="n"/>
      <c r="H115" s="74" t="n"/>
      <c r="I115" s="75" t="n"/>
    </row>
    <row r="116" ht="15" customHeight="1">
      <c r="A116" s="73" t="n"/>
      <c r="B116" s="74" t="n"/>
      <c r="C116" s="74" t="n"/>
      <c r="D116" s="74" t="n"/>
      <c r="E116" s="74" t="n"/>
      <c r="F116" s="74" t="n"/>
      <c r="G116" s="74" t="n"/>
      <c r="H116" s="74" t="n"/>
      <c r="I116" s="75" t="n"/>
    </row>
    <row r="117" ht="15" customHeight="1">
      <c r="A117" s="73" t="n"/>
      <c r="B117" s="74" t="n"/>
      <c r="C117" s="74" t="n"/>
      <c r="D117" s="74" t="n"/>
      <c r="E117" s="74" t="n"/>
      <c r="F117" s="74" t="n"/>
      <c r="G117" s="74" t="n"/>
      <c r="H117" s="74" t="n"/>
      <c r="I117" s="75" t="n"/>
    </row>
    <row r="118" ht="15" customHeight="1">
      <c r="A118" s="73" t="n"/>
      <c r="B118" s="74" t="n"/>
      <c r="C118" s="74" t="n"/>
      <c r="D118" s="74" t="n"/>
      <c r="E118" s="74" t="n"/>
      <c r="F118" s="74" t="n"/>
      <c r="G118" s="74" t="n"/>
      <c r="H118" s="74" t="n"/>
      <c r="I118" s="75" t="n"/>
    </row>
    <row r="119" ht="15" customHeight="1">
      <c r="A119" s="73" t="n"/>
      <c r="B119" s="74" t="n"/>
      <c r="C119" s="74" t="n"/>
      <c r="D119" s="74" t="n"/>
      <c r="E119" s="74" t="n"/>
      <c r="F119" s="74" t="n"/>
      <c r="G119" s="74" t="n"/>
      <c r="H119" s="74" t="n"/>
      <c r="I119" s="75" t="n"/>
    </row>
    <row r="120" ht="15" customHeight="1">
      <c r="A120" s="73" t="n"/>
      <c r="B120" s="74" t="n"/>
      <c r="C120" s="74" t="n"/>
      <c r="D120" s="74" t="n"/>
      <c r="E120" s="74" t="n"/>
      <c r="F120" s="74" t="n"/>
      <c r="G120" s="74" t="n"/>
      <c r="H120" s="74" t="n"/>
      <c r="I120" s="75" t="n"/>
    </row>
    <row r="121" ht="15" customHeight="1">
      <c r="A121" s="73" t="n"/>
      <c r="B121" s="74" t="n"/>
      <c r="C121" s="74" t="n"/>
      <c r="D121" s="74" t="n"/>
      <c r="E121" s="74" t="n"/>
      <c r="F121" s="74" t="n"/>
      <c r="G121" s="74" t="n"/>
      <c r="H121" s="74" t="n"/>
      <c r="I121" s="75" t="n"/>
    </row>
    <row r="122" ht="24.95" customHeight="1">
      <c r="A122" s="73" t="n"/>
      <c r="B122" s="74" t="n"/>
      <c r="C122" s="74" t="n"/>
      <c r="D122" s="74" t="n"/>
      <c r="E122" s="74" t="n"/>
      <c r="F122" s="74" t="n"/>
      <c r="G122" s="74" t="n"/>
      <c r="H122" s="74" t="n"/>
      <c r="I122" s="75" t="n"/>
    </row>
    <row r="123" ht="15" customHeight="1">
      <c r="A123" s="73" t="n"/>
      <c r="B123" s="74" t="n"/>
      <c r="C123" s="74" t="n"/>
      <c r="D123" s="74" t="n"/>
      <c r="E123" s="74" t="n"/>
      <c r="F123" s="74" t="n"/>
      <c r="G123" s="74" t="n"/>
      <c r="H123" s="74" t="n"/>
      <c r="I123" s="75" t="n"/>
    </row>
    <row r="124" ht="15" customHeight="1">
      <c r="A124" s="73" t="n"/>
      <c r="B124" s="74" t="n"/>
      <c r="C124" s="74" t="n"/>
      <c r="D124" s="74" t="n"/>
      <c r="E124" s="74" t="n"/>
      <c r="F124" s="74" t="n"/>
      <c r="G124" s="74" t="n"/>
      <c r="H124" s="74" t="n"/>
      <c r="I124" s="75" t="n"/>
    </row>
    <row r="125" ht="27.95" customHeight="1">
      <c r="A125" s="73" t="n"/>
      <c r="B125" s="74" t="n"/>
      <c r="C125" s="74" t="n"/>
      <c r="D125" s="74" t="n"/>
      <c r="E125" s="74" t="n"/>
      <c r="F125" s="74" t="n"/>
      <c r="G125" s="74" t="n"/>
      <c r="H125" s="74" t="n"/>
      <c r="I125" s="75" t="n"/>
    </row>
    <row r="126" ht="15" customHeight="1">
      <c r="A126" s="73" t="n"/>
      <c r="B126" s="74" t="n"/>
      <c r="C126" s="74" t="n"/>
      <c r="D126" s="74" t="n"/>
      <c r="E126" s="74" t="n"/>
      <c r="F126" s="74" t="n"/>
      <c r="G126" s="74" t="n"/>
      <c r="H126" s="74" t="n"/>
      <c r="I126" s="75" t="n"/>
    </row>
    <row r="127" ht="15" customHeight="1">
      <c r="A127" s="73" t="n"/>
      <c r="B127" s="74" t="n"/>
      <c r="C127" s="74" t="n"/>
      <c r="D127" s="74" t="n"/>
      <c r="E127" s="74" t="n"/>
      <c r="F127" s="74" t="n"/>
      <c r="G127" s="74" t="n"/>
      <c r="H127" s="74" t="n"/>
      <c r="I127" s="75" t="n"/>
    </row>
    <row r="128" ht="15" customHeight="1">
      <c r="A128" s="73" t="n"/>
      <c r="B128" s="74" t="n"/>
      <c r="C128" s="74" t="n"/>
      <c r="D128" s="74" t="n"/>
      <c r="E128" s="74" t="n"/>
      <c r="F128" s="74" t="n"/>
      <c r="G128" s="74" t="n"/>
      <c r="H128" s="74" t="n"/>
      <c r="I128" s="75" t="n"/>
    </row>
    <row r="129" ht="15" customHeight="1">
      <c r="A129" s="73" t="n"/>
      <c r="B129" s="74" t="n"/>
      <c r="C129" s="74" t="n"/>
      <c r="D129" s="74" t="n"/>
      <c r="E129" s="74" t="n"/>
      <c r="F129" s="74" t="n"/>
      <c r="G129" s="74" t="n"/>
      <c r="H129" s="74" t="n"/>
      <c r="I129" s="75" t="n"/>
    </row>
    <row r="130" ht="15" customHeight="1">
      <c r="A130" s="73" t="n"/>
      <c r="B130" s="74" t="n"/>
      <c r="C130" s="74" t="n"/>
      <c r="D130" s="74" t="n"/>
      <c r="E130" s="74" t="n"/>
      <c r="F130" s="74" t="n"/>
      <c r="G130" s="74" t="n"/>
      <c r="H130" s="74" t="n"/>
      <c r="I130" s="75" t="n"/>
    </row>
    <row r="131" ht="15" customHeight="1">
      <c r="A131" s="73" t="n"/>
      <c r="B131" s="74" t="n"/>
      <c r="C131" s="74" t="n"/>
      <c r="D131" s="74" t="n"/>
      <c r="E131" s="74" t="n"/>
      <c r="F131" s="74" t="n"/>
      <c r="G131" s="74" t="n"/>
      <c r="H131" s="74" t="n"/>
      <c r="I131" s="75" t="n"/>
    </row>
    <row r="132" ht="15" customHeight="1">
      <c r="A132" s="73" t="n"/>
      <c r="B132" s="74" t="n"/>
      <c r="C132" s="74" t="n"/>
      <c r="D132" s="74" t="n"/>
      <c r="E132" s="74" t="n"/>
      <c r="F132" s="74" t="n"/>
      <c r="G132" s="74" t="n"/>
      <c r="H132" s="74" t="n"/>
      <c r="I132" s="75" t="n"/>
    </row>
    <row r="133" ht="15" customHeight="1">
      <c r="A133" s="73" t="n"/>
      <c r="B133" s="74" t="n"/>
      <c r="C133" s="74" t="n"/>
      <c r="D133" s="74" t="n"/>
      <c r="E133" s="74" t="n"/>
      <c r="F133" s="74" t="n"/>
      <c r="G133" s="74" t="n"/>
      <c r="H133" s="74" t="n"/>
      <c r="I133" s="75" t="n"/>
    </row>
    <row r="134" ht="15" customHeight="1">
      <c r="A134" s="73" t="n"/>
      <c r="B134" s="74" t="n"/>
      <c r="C134" s="74" t="n"/>
      <c r="D134" s="74" t="n"/>
      <c r="E134" s="74" t="n"/>
      <c r="F134" s="74" t="n"/>
      <c r="G134" s="74" t="n"/>
      <c r="H134" s="74" t="n"/>
      <c r="I134" s="75" t="n"/>
    </row>
    <row r="135" ht="15" customHeight="1">
      <c r="A135" s="73" t="n"/>
      <c r="B135" s="74" t="n"/>
      <c r="C135" s="74" t="n"/>
      <c r="D135" s="74" t="n"/>
      <c r="E135" s="74" t="n"/>
      <c r="F135" s="74" t="n"/>
      <c r="G135" s="74" t="n"/>
      <c r="H135" s="74" t="n"/>
      <c r="I135" s="75" t="n"/>
    </row>
    <row r="136" ht="15" customHeight="1">
      <c r="A136" s="73" t="n"/>
      <c r="B136" s="74" t="n"/>
      <c r="C136" s="74" t="n"/>
      <c r="D136" s="74" t="n"/>
      <c r="E136" s="74" t="n"/>
      <c r="F136" s="74" t="n"/>
      <c r="G136" s="74" t="n"/>
      <c r="H136" s="74" t="n"/>
      <c r="I136" s="75" t="n"/>
    </row>
    <row r="137" ht="15" customHeight="1">
      <c r="A137" s="73" t="n"/>
      <c r="B137" s="74" t="n"/>
      <c r="C137" s="74" t="n"/>
      <c r="D137" s="74" t="n"/>
      <c r="E137" s="74" t="n"/>
      <c r="F137" s="74" t="n"/>
      <c r="G137" s="74" t="n"/>
      <c r="H137" s="74" t="n"/>
      <c r="I137" s="75" t="n"/>
    </row>
    <row r="138" ht="15" customHeight="1">
      <c r="A138" s="73" t="n"/>
      <c r="B138" s="74" t="n"/>
      <c r="C138" s="74" t="n"/>
      <c r="D138" s="74" t="n"/>
      <c r="E138" s="74" t="n"/>
      <c r="F138" s="74" t="n"/>
      <c r="G138" s="74" t="n"/>
      <c r="H138" s="74" t="n"/>
      <c r="I138" s="75" t="n"/>
      <c r="J138" s="8" t="n"/>
    </row>
    <row r="139" ht="15" customHeight="1">
      <c r="A139" s="73" t="n"/>
      <c r="B139" s="74" t="n"/>
      <c r="C139" s="74" t="n"/>
      <c r="D139" s="74" t="n"/>
      <c r="E139" s="74" t="n"/>
      <c r="F139" s="74" t="n"/>
      <c r="G139" s="74" t="n"/>
      <c r="H139" s="74" t="n"/>
      <c r="I139" s="75" t="n"/>
    </row>
    <row r="140" ht="15" customHeight="1">
      <c r="A140" s="73" t="n"/>
      <c r="B140" s="74" t="n"/>
      <c r="C140" s="74" t="n"/>
      <c r="D140" s="74" t="n"/>
      <c r="E140" s="74" t="n"/>
      <c r="F140" s="74" t="n"/>
      <c r="G140" s="74" t="n"/>
      <c r="H140" s="74" t="n"/>
      <c r="I140" s="75" t="n"/>
    </row>
    <row r="141" ht="15" customHeight="1">
      <c r="A141" s="73" t="n"/>
      <c r="B141" s="74" t="n"/>
      <c r="C141" s="74" t="n"/>
      <c r="D141" s="74" t="n"/>
      <c r="E141" s="74" t="n"/>
      <c r="F141" s="74" t="n"/>
      <c r="G141" s="74" t="n"/>
      <c r="H141" s="74" t="n"/>
      <c r="I141" s="75" t="n"/>
    </row>
    <row r="142" ht="15" customHeight="1">
      <c r="A142" s="73" t="n"/>
      <c r="B142" s="74" t="n"/>
      <c r="C142" s="74" t="n"/>
      <c r="D142" s="74" t="n"/>
      <c r="E142" s="74" t="n"/>
      <c r="F142" s="74" t="n"/>
      <c r="G142" s="74" t="n"/>
      <c r="H142" s="74" t="n"/>
      <c r="I142" s="75" t="n"/>
    </row>
    <row r="143" ht="15" customHeight="1">
      <c r="A143" s="73" t="n"/>
      <c r="B143" s="74" t="n"/>
      <c r="C143" s="74" t="n"/>
      <c r="D143" s="74" t="n"/>
      <c r="E143" s="74" t="n"/>
      <c r="F143" s="74" t="n"/>
      <c r="G143" s="74" t="n"/>
      <c r="H143" s="74" t="n"/>
      <c r="I143" s="75" t="n"/>
    </row>
    <row r="144" ht="15" customHeight="1">
      <c r="A144" s="73" t="n"/>
      <c r="B144" s="74" t="n"/>
      <c r="C144" s="74" t="n"/>
      <c r="D144" s="74" t="n"/>
      <c r="E144" s="74" t="n"/>
      <c r="F144" s="74" t="n"/>
      <c r="G144" s="74" t="n"/>
      <c r="H144" s="74" t="n"/>
      <c r="I144" s="75" t="n"/>
    </row>
    <row r="145" ht="15.95" customHeight="1">
      <c r="A145" s="73" t="n"/>
      <c r="B145" s="74" t="n"/>
      <c r="C145" s="74" t="n"/>
      <c r="D145" s="74" t="n"/>
      <c r="E145" s="74" t="n"/>
      <c r="F145" s="74" t="n"/>
      <c r="G145" s="74" t="n"/>
      <c r="H145" s="74" t="n"/>
      <c r="I145" s="75" t="n"/>
    </row>
    <row r="146" ht="30.75" customHeight="1">
      <c r="A146" s="218" t="n"/>
      <c r="E146" s="220" t="n"/>
      <c r="I146" s="271"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ht="15.95" customHeight="1">
      <c r="A200" s="59" t="n"/>
      <c r="B200" s="60" t="n"/>
      <c r="C200" s="60" t="n"/>
      <c r="D200" s="60" t="n"/>
      <c r="E200" s="60" t="n"/>
      <c r="F200" s="60" t="n"/>
      <c r="G200" s="60" t="n"/>
      <c r="H200" s="60" t="n"/>
      <c r="I200" s="61" t="n"/>
    </row>
    <row r="201">
      <c r="A201" s="64" t="n"/>
      <c r="I201" s="65" t="n"/>
    </row>
    <row r="202">
      <c r="A202" s="64" t="n"/>
      <c r="I202" s="65" t="n"/>
    </row>
    <row r="203">
      <c r="A203" s="64" t="n"/>
      <c r="I203" s="65" t="n"/>
    </row>
    <row r="204">
      <c r="A204" s="64" t="n"/>
      <c r="I204" s="65" t="n"/>
    </row>
    <row r="205">
      <c r="A205" s="64" t="n"/>
      <c r="I205" s="65" t="n"/>
    </row>
    <row r="206">
      <c r="A206" s="64" t="n"/>
      <c r="I206" s="65" t="n"/>
    </row>
    <row r="207" ht="15.95" customHeight="1">
      <c r="A207" s="59" t="n"/>
      <c r="B207" s="60" t="n"/>
      <c r="C207" s="60" t="n"/>
      <c r="D207" s="60" t="n"/>
      <c r="E207" s="60" t="n"/>
      <c r="F207" s="60" t="n"/>
      <c r="G207" s="60" t="n"/>
      <c r="H207" s="60" t="n"/>
      <c r="I207" s="61" t="n"/>
    </row>
  </sheetData>
  <mergeCells count="40">
    <mergeCell ref="C61:I61"/>
    <mergeCell ref="A65:I65"/>
    <mergeCell ref="D13:F13"/>
    <mergeCell ref="G13:I13"/>
    <mergeCell ref="B8:D8"/>
    <mergeCell ref="A66:I66"/>
    <mergeCell ref="B46:C46"/>
    <mergeCell ref="B59:I59"/>
    <mergeCell ref="A74:I74"/>
    <mergeCell ref="A12:I12"/>
    <mergeCell ref="C57:I57"/>
    <mergeCell ref="D47:I47"/>
    <mergeCell ref="B56:I56"/>
    <mergeCell ref="A5:I5"/>
    <mergeCell ref="B9:D9"/>
    <mergeCell ref="C62:I62"/>
    <mergeCell ref="B6:D6"/>
    <mergeCell ref="C58:I58"/>
    <mergeCell ref="B44:C44"/>
    <mergeCell ref="A13:C13"/>
    <mergeCell ref="A68:I68"/>
    <mergeCell ref="A146:D146"/>
    <mergeCell ref="A10:I10"/>
    <mergeCell ref="A1:I4"/>
    <mergeCell ref="C64:I64"/>
    <mergeCell ref="A47:B47"/>
    <mergeCell ref="A67:I67"/>
    <mergeCell ref="D44:I44"/>
    <mergeCell ref="B7:D7"/>
    <mergeCell ref="C63:I63"/>
    <mergeCell ref="A48:I48"/>
    <mergeCell ref="A50:I53"/>
    <mergeCell ref="A11:I11"/>
    <mergeCell ref="D46:I46"/>
    <mergeCell ref="B55:I55"/>
    <mergeCell ref="A60:I60"/>
    <mergeCell ref="B45:C45"/>
    <mergeCell ref="D45:I45"/>
    <mergeCell ref="E146:I146"/>
    <mergeCell ref="A54:I54"/>
  </mergeCells>
  <printOptions horizontalCentered="1"/>
  <pageMargins left="0.2362204724409449" right="0.2362204724409449" top="0.7480314960629921" bottom="0.7480314960629921" header="0.3149606299212598" footer="0.3149606299212598"/>
  <pageSetup orientation="portrait" paperSize="9" scale="34" fitToHeight="0"/>
  <rowBreaks count="1" manualBreakCount="1">
    <brk id="73" min="0" max="16383" man="1"/>
  </rowBreaks>
</worksheet>
</file>

<file path=xl/worksheets/sheet10.xml><?xml version="1.0" encoding="utf-8"?>
<worksheet xmlns="http://schemas.openxmlformats.org/spreadsheetml/2006/main">
  <sheetPr>
    <outlinePr summaryBelow="1" summaryRight="1"/>
    <pageSetUpPr fitToPage="1"/>
  </sheetPr>
  <dimension ref="A1:J206"/>
  <sheetViews>
    <sheetView view="pageBreakPreview" topLeftCell="A20" zoomScale="60" zoomScaleNormal="70" workbookViewId="0">
      <selection activeCell="G20" sqref="G20"/>
    </sheetView>
  </sheetViews>
  <sheetFormatPr baseColWidth="8" defaultColWidth="9.140625" defaultRowHeight="14.45"/>
  <cols>
    <col width="62.140625" bestFit="1" customWidth="1" style="232" min="1" max="1"/>
    <col width="36.7109375" bestFit="1" customWidth="1" style="232" min="2" max="2"/>
    <col width="16" customWidth="1" style="232" min="3" max="3"/>
    <col width="15.42578125" bestFit="1"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43"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170" t="inlineStr">
        <is>
          <t>TCD DAILY FIELD REPORT</t>
        </is>
      </c>
      <c r="B5" s="275" t="n"/>
      <c r="C5" s="275" t="n"/>
      <c r="D5" s="275" t="n"/>
      <c r="E5" s="275" t="n"/>
      <c r="F5" s="275" t="n"/>
      <c r="G5" s="275" t="n"/>
      <c r="H5" s="275" t="n"/>
      <c r="I5" s="276" t="n"/>
    </row>
    <row r="6" ht="23.1" customHeight="1">
      <c r="A6" s="49" t="inlineStr">
        <is>
          <t>Project Name:</t>
        </is>
      </c>
      <c r="B6" s="173" t="inlineStr">
        <is>
          <t>Batavia Station Square</t>
        </is>
      </c>
      <c r="E6" s="173" t="n"/>
      <c r="F6" s="51" t="n"/>
      <c r="G6" s="51" t="n"/>
      <c r="H6" s="52" t="inlineStr">
        <is>
          <t>Date:</t>
        </is>
      </c>
      <c r="I6" s="53" t="n">
        <v>45881</v>
      </c>
    </row>
    <row r="7" ht="23.1" customHeight="1">
      <c r="A7" s="49" t="inlineStr">
        <is>
          <t>Project Location:</t>
        </is>
      </c>
      <c r="B7" s="173" t="inlineStr">
        <is>
          <t>Geraldton</t>
        </is>
      </c>
      <c r="E7" s="173" t="n"/>
      <c r="F7" s="51" t="n"/>
      <c r="G7" s="51" t="n"/>
      <c r="H7" s="54" t="inlineStr">
        <is>
          <t>Day:</t>
        </is>
      </c>
      <c r="I7" s="55" t="n">
        <v>45881</v>
      </c>
    </row>
    <row r="8" ht="23.1" customHeight="1">
      <c r="A8" s="49" t="inlineStr">
        <is>
          <t>Project Number:</t>
        </is>
      </c>
      <c r="B8" s="173" t="inlineStr">
        <is>
          <t>TCD-1816</t>
        </is>
      </c>
      <c r="E8" s="173" t="n"/>
      <c r="F8" s="51" t="n"/>
      <c r="G8" s="51" t="n"/>
      <c r="H8" s="54" t="inlineStr">
        <is>
          <t>Start:</t>
        </is>
      </c>
      <c r="I8" s="56" t="n">
        <v>0.25</v>
      </c>
    </row>
    <row r="9" ht="23.1" customHeight="1">
      <c r="A9" s="49" t="inlineStr">
        <is>
          <t>Report Number:</t>
        </is>
      </c>
      <c r="B9" s="159" t="n">
        <v>77</v>
      </c>
      <c r="C9" s="273" t="n"/>
      <c r="D9" s="273" t="n"/>
      <c r="E9" s="160" t="n"/>
      <c r="F9" s="58" t="n"/>
      <c r="G9" s="58" t="n"/>
      <c r="H9" s="54" t="inlineStr">
        <is>
          <t>Finish:</t>
        </is>
      </c>
      <c r="I9" s="56" t="n">
        <v>0.7083333333333334</v>
      </c>
    </row>
    <row r="10" ht="24.95" customHeight="1">
      <c r="A10" s="230" t="inlineStr">
        <is>
          <t>WEATHER &amp; GROUND CONDITIONS</t>
        </is>
      </c>
      <c r="B10" s="275" t="n"/>
      <c r="C10" s="275" t="n"/>
      <c r="D10" s="275" t="n"/>
      <c r="E10" s="275" t="n"/>
      <c r="F10" s="275" t="n"/>
      <c r="G10" s="275" t="n"/>
      <c r="H10" s="275" t="n"/>
      <c r="I10" s="277" t="n"/>
    </row>
    <row r="11" ht="23.1" customHeight="1">
      <c r="A11" s="242" t="inlineStr">
        <is>
          <t>Temperature: 24 degrees    Wind: 25 km/h SW Precip: 0mm</t>
        </is>
      </c>
      <c r="B11" s="275" t="n"/>
      <c r="C11" s="275" t="n"/>
      <c r="D11" s="275" t="n"/>
      <c r="E11" s="275" t="n"/>
      <c r="F11" s="275" t="n"/>
      <c r="G11" s="275" t="n"/>
      <c r="H11" s="275" t="n"/>
      <c r="I11" s="277" t="n"/>
    </row>
    <row r="12" ht="24.95" customHeight="1">
      <c r="A12" s="231" t="inlineStr">
        <is>
          <t>PERSONNEL</t>
        </is>
      </c>
      <c r="B12" s="278" t="n"/>
      <c r="C12" s="278" t="n"/>
      <c r="D12" s="278" t="n"/>
      <c r="E12" s="278" t="n"/>
      <c r="F12" s="278" t="n"/>
      <c r="G12" s="278" t="n"/>
      <c r="H12" s="278" t="n"/>
      <c r="I12" s="279" t="n"/>
    </row>
    <row r="13" ht="23.1" customHeight="1">
      <c r="A13" s="183" t="inlineStr">
        <is>
          <t>TCD Indirects</t>
        </is>
      </c>
      <c r="B13" s="275" t="n"/>
      <c r="C13" s="276" t="n"/>
      <c r="D13" s="184" t="inlineStr">
        <is>
          <t>TCD Directs</t>
        </is>
      </c>
      <c r="E13" s="275" t="n"/>
      <c r="F13" s="276" t="n"/>
      <c r="G13" s="184" t="inlineStr">
        <is>
          <t>Subcontractors</t>
        </is>
      </c>
      <c r="H13" s="275" t="n"/>
      <c r="I13" s="276" t="n"/>
    </row>
    <row r="14" ht="24" customHeight="1">
      <c r="A14" s="183" t="inlineStr">
        <is>
          <t xml:space="preserve"> Name</t>
        </is>
      </c>
      <c r="B14" s="184" t="inlineStr">
        <is>
          <t>Position</t>
        </is>
      </c>
      <c r="C14" s="39" t="inlineStr">
        <is>
          <t>Hours</t>
        </is>
      </c>
      <c r="D14" s="184" t="inlineStr">
        <is>
          <t xml:space="preserve"> Name</t>
        </is>
      </c>
      <c r="E14" s="184" t="inlineStr">
        <is>
          <t>Position</t>
        </is>
      </c>
      <c r="F14" s="39" t="inlineStr">
        <is>
          <t>Hours</t>
        </is>
      </c>
      <c r="G14" s="184" t="inlineStr">
        <is>
          <t xml:space="preserve"> Name</t>
        </is>
      </c>
      <c r="H14" s="184" t="inlineStr">
        <is>
          <t>Position</t>
        </is>
      </c>
      <c r="I14" s="185" t="inlineStr">
        <is>
          <t>Hours</t>
        </is>
      </c>
    </row>
    <row r="15" ht="23.1" customHeight="1">
      <c r="A15" s="25" t="inlineStr">
        <is>
          <t>WATKINS, Steve</t>
        </is>
      </c>
      <c r="B15" s="26" t="inlineStr">
        <is>
          <t>Civil Manager</t>
        </is>
      </c>
      <c r="C15" s="40" t="n"/>
      <c r="D15" s="41" t="n"/>
      <c r="E15" s="41" t="n"/>
      <c r="F15" s="26" t="n"/>
      <c r="G15" s="42" t="inlineStr">
        <is>
          <t>Khegan Brockman</t>
        </is>
      </c>
      <c r="H15" s="26" t="inlineStr">
        <is>
          <t>Labourer</t>
        </is>
      </c>
      <c r="I15" s="28" t="n">
        <v>8</v>
      </c>
    </row>
    <row r="16" ht="23.1" customHeight="1">
      <c r="A16" s="25" t="inlineStr">
        <is>
          <t>GRIFFITHS, Daniel</t>
        </is>
      </c>
      <c r="B16" s="26" t="inlineStr">
        <is>
          <t>Project Manager</t>
        </is>
      </c>
      <c r="C16" s="27" t="n">
        <v>11</v>
      </c>
      <c r="D16" s="43" t="n"/>
      <c r="E16" s="43" t="n"/>
      <c r="F16" s="26" t="n"/>
      <c r="G16" s="42" t="inlineStr">
        <is>
          <t>Laurent Levy</t>
        </is>
      </c>
      <c r="H16" s="26" t="inlineStr">
        <is>
          <t>Operator</t>
        </is>
      </c>
      <c r="I16" s="28" t="n">
        <v>10</v>
      </c>
    </row>
    <row r="17" ht="23.1" customHeight="1">
      <c r="A17" s="25" t="inlineStr">
        <is>
          <t>O"SHEA, John</t>
        </is>
      </c>
      <c r="B17" s="26" t="inlineStr">
        <is>
          <t>Senior Project Engineer</t>
        </is>
      </c>
      <c r="C17" s="27" t="n"/>
      <c r="D17" s="43" t="n"/>
      <c r="E17" s="43" t="n"/>
      <c r="F17" s="26" t="n"/>
      <c r="G17" s="42" t="inlineStr">
        <is>
          <t>Daniel McAuffile</t>
        </is>
      </c>
      <c r="H17" s="26" t="inlineStr">
        <is>
          <t>Operator</t>
        </is>
      </c>
      <c r="I17" s="28" t="n">
        <v>10</v>
      </c>
    </row>
    <row r="18" ht="23.1" customHeight="1">
      <c r="A18" s="25" t="inlineStr">
        <is>
          <t>GRIFFITHS, Ashley</t>
        </is>
      </c>
      <c r="B18" s="26" t="inlineStr">
        <is>
          <t>Supervisor</t>
        </is>
      </c>
      <c r="C18" s="27" t="n">
        <v>10</v>
      </c>
      <c r="D18" s="41" t="n"/>
      <c r="E18" s="41" t="n"/>
      <c r="F18" s="26" t="n"/>
      <c r="G18" s="42" t="inlineStr">
        <is>
          <t>Jachai Griffiths</t>
        </is>
      </c>
      <c r="H18" s="26" t="inlineStr">
        <is>
          <t>Operator</t>
        </is>
      </c>
      <c r="I18" s="28" t="n"/>
    </row>
    <row r="19" ht="23.1" customHeight="1">
      <c r="A19" s="25" t="inlineStr">
        <is>
          <t>LOW, June</t>
        </is>
      </c>
      <c r="B19" s="26" t="inlineStr">
        <is>
          <t>HSET</t>
        </is>
      </c>
      <c r="C19" s="27" t="n"/>
      <c r="D19" s="41" t="n"/>
      <c r="E19" s="41" t="n"/>
      <c r="F19" s="26" t="n"/>
      <c r="G19" s="42" t="inlineStr">
        <is>
          <t>O'Brian, Jamie</t>
        </is>
      </c>
      <c r="H19" s="26" t="inlineStr">
        <is>
          <t>Operator</t>
        </is>
      </c>
      <c r="I19" s="28" t="n">
        <v>9.5</v>
      </c>
    </row>
    <row r="20" ht="23.1" customHeight="1">
      <c r="A20" s="25" t="inlineStr">
        <is>
          <t>SKINNER,Jamie</t>
        </is>
      </c>
      <c r="B20" s="26" t="inlineStr">
        <is>
          <t>Supervisor</t>
        </is>
      </c>
      <c r="C20" s="27" t="n">
        <v>11</v>
      </c>
      <c r="D20" s="41" t="n"/>
      <c r="E20" s="41" t="n"/>
      <c r="F20" s="26" t="n"/>
      <c r="G20" s="42" t="inlineStr">
        <is>
          <t>O'Reilly,James</t>
        </is>
      </c>
      <c r="H20" s="26" t="inlineStr">
        <is>
          <t>Operator</t>
        </is>
      </c>
      <c r="I20" s="28" t="n">
        <v>10</v>
      </c>
    </row>
    <row r="21" ht="23.1" customHeight="1">
      <c r="A21" s="25" t="n"/>
      <c r="B21" s="26" t="n"/>
      <c r="C21" s="27" t="n"/>
      <c r="D21" s="41" t="n"/>
      <c r="E21" s="41" t="n"/>
      <c r="F21" s="26" t="n"/>
      <c r="G21" s="42" t="inlineStr">
        <is>
          <t>Simpson,Joshua</t>
        </is>
      </c>
      <c r="H21" s="26" t="inlineStr">
        <is>
          <t>Labourer</t>
        </is>
      </c>
      <c r="I21" s="28" t="n">
        <v>10</v>
      </c>
    </row>
    <row r="22" ht="23.1" customHeight="1">
      <c r="A22" s="25" t="n"/>
      <c r="B22" s="26" t="n"/>
      <c r="C22" s="27" t="n"/>
      <c r="D22" s="41" t="n"/>
      <c r="E22" s="41" t="n"/>
      <c r="F22" s="26" t="n"/>
      <c r="G22" s="42" t="inlineStr">
        <is>
          <t>Chester, Matt</t>
        </is>
      </c>
      <c r="H22" s="26" t="inlineStr">
        <is>
          <t>Gas Fitter</t>
        </is>
      </c>
      <c r="I22" s="28" t="n"/>
    </row>
    <row r="23" ht="23.1" customHeight="1">
      <c r="A23" s="25" t="n"/>
      <c r="B23" s="26" t="n"/>
      <c r="C23" s="27" t="n"/>
      <c r="D23" s="41" t="n"/>
      <c r="E23" s="41" t="n"/>
      <c r="F23" s="26" t="n"/>
      <c r="G23" s="42" t="inlineStr">
        <is>
          <t>Mounsey, Matt</t>
        </is>
      </c>
      <c r="H23" s="26" t="inlineStr">
        <is>
          <t>Gas Fitter</t>
        </is>
      </c>
      <c r="I23" s="28" t="n"/>
    </row>
    <row r="24" ht="23.1" customHeight="1">
      <c r="A24" s="25" t="n"/>
      <c r="B24" s="26" t="n"/>
      <c r="C24" s="27" t="n"/>
      <c r="D24" s="41" t="n"/>
      <c r="E24" s="41" t="n"/>
      <c r="F24" s="26" t="n"/>
      <c r="G24" s="42" t="inlineStr">
        <is>
          <t>Herring, Levin</t>
        </is>
      </c>
      <c r="H24" s="26" t="inlineStr">
        <is>
          <t>Gas Fitter</t>
        </is>
      </c>
      <c r="I24" s="28" t="n"/>
    </row>
    <row r="25" ht="23.1" customHeight="1">
      <c r="A25" s="25" t="n"/>
      <c r="B25" s="26" t="n"/>
      <c r="C25" s="27" t="n"/>
      <c r="D25" s="41" t="n"/>
      <c r="E25" s="41" t="n"/>
      <c r="F25" s="26" t="n"/>
      <c r="G25" s="42" t="inlineStr">
        <is>
          <t>Mosley,Joshua</t>
        </is>
      </c>
      <c r="H25" s="26" t="inlineStr">
        <is>
          <t>Surveyor</t>
        </is>
      </c>
      <c r="I25" s="28" t="n">
        <v>2</v>
      </c>
    </row>
    <row r="26" ht="23.1" customHeight="1">
      <c r="A26" s="239" t="inlineStr">
        <is>
          <t xml:space="preserve">Total Indirect Personnel onsite: </t>
        </is>
      </c>
      <c r="B26" s="45">
        <f>SUM(F15:F26)</f>
        <v/>
      </c>
      <c r="C26" s="41" t="n"/>
      <c r="D26" s="41" t="n"/>
      <c r="E26" s="41" t="n"/>
      <c r="F26" s="26" t="n"/>
      <c r="G26" s="194" t="inlineStr">
        <is>
          <t>Total Subcontractor on-site:</t>
        </is>
      </c>
      <c r="H26" s="46">
        <f>COUNTIF(I15:I25,"&gt;0")</f>
        <v/>
      </c>
      <c r="I26" s="28" t="n"/>
    </row>
    <row r="27" ht="23.1" customHeight="1">
      <c r="A27" s="239" t="inlineStr">
        <is>
          <t xml:space="preserve">Total Indirect Personnel hours: </t>
        </is>
      </c>
      <c r="B27" s="45">
        <f>SUM(C15:C25)</f>
        <v/>
      </c>
      <c r="C27" s="27" t="n"/>
      <c r="D27" s="41" t="n"/>
      <c r="E27" s="41" t="n"/>
      <c r="F27" s="26" t="n"/>
      <c r="G27" s="194" t="inlineStr">
        <is>
          <t>Total Subcontractor hours:</t>
        </is>
      </c>
      <c r="H27" s="46">
        <f>SUM(I15:I25)</f>
        <v/>
      </c>
      <c r="I27" s="28" t="n"/>
    </row>
    <row r="28" ht="23.1" customHeight="1">
      <c r="A28" s="239" t="inlineStr">
        <is>
          <t xml:space="preserve">Total Direct Personnel onsite:  </t>
        </is>
      </c>
      <c r="B28" s="45">
        <f>COUNTIF(F15:F29,"&gt;0")</f>
        <v/>
      </c>
      <c r="C28" s="45" t="n"/>
      <c r="D28" s="41" t="n"/>
      <c r="E28" s="41" t="n"/>
      <c r="F28" s="47" t="n"/>
      <c r="G28" s="194" t="n"/>
      <c r="H28" s="46" t="n"/>
      <c r="I28" s="238" t="n"/>
    </row>
    <row r="29" ht="23.1" customHeight="1">
      <c r="A29" s="239" t="inlineStr">
        <is>
          <t xml:space="preserve">Total Direct Personnel hours: </t>
        </is>
      </c>
      <c r="B29" s="45">
        <f>SUM(F15:F29)</f>
        <v/>
      </c>
      <c r="C29" s="45" t="n"/>
      <c r="D29" s="45" t="n"/>
      <c r="E29" s="45" t="n"/>
      <c r="F29" s="45" t="n"/>
      <c r="G29" s="45" t="n"/>
      <c r="H29" s="45" t="n"/>
      <c r="I29" s="238" t="n"/>
    </row>
    <row r="30" ht="24.95" customHeight="1">
      <c r="A30" s="10" t="inlineStr">
        <is>
          <t>PLANT &amp; EQUIPMENT</t>
        </is>
      </c>
      <c r="B30" s="1" t="n"/>
      <c r="C30" s="1" t="n"/>
      <c r="D30" s="1" t="n"/>
      <c r="E30" s="1" t="n"/>
      <c r="F30" s="1" t="n"/>
      <c r="G30" s="1" t="n"/>
      <c r="H30" s="1" t="n"/>
      <c r="I30" s="2" t="n"/>
    </row>
    <row r="31" ht="24" customHeight="1">
      <c r="A31" s="183" t="inlineStr">
        <is>
          <t>Plant</t>
        </is>
      </c>
      <c r="B31" s="184" t="inlineStr">
        <is>
          <t>ID</t>
        </is>
      </c>
      <c r="C31" s="184" t="inlineStr">
        <is>
          <t>Hours</t>
        </is>
      </c>
      <c r="D31" s="184" t="inlineStr">
        <is>
          <t xml:space="preserve"> Vehicles</t>
        </is>
      </c>
      <c r="E31" s="184" t="inlineStr">
        <is>
          <t>ID</t>
        </is>
      </c>
      <c r="F31" s="184" t="inlineStr">
        <is>
          <t>QTY</t>
        </is>
      </c>
      <c r="G31" s="23" t="inlineStr">
        <is>
          <t>Site Facilities</t>
        </is>
      </c>
      <c r="H31" s="23" t="inlineStr">
        <is>
          <t>ID</t>
        </is>
      </c>
      <c r="I31" s="24" t="inlineStr">
        <is>
          <t>Qty</t>
        </is>
      </c>
    </row>
    <row r="32" ht="23.1" customHeight="1">
      <c r="A32" s="25" t="inlineStr">
        <is>
          <t>Komatsu WA320</t>
        </is>
      </c>
      <c r="B32" s="26" t="inlineStr">
        <is>
          <t>LD-011</t>
        </is>
      </c>
      <c r="C32" s="26" t="n">
        <v>5</v>
      </c>
      <c r="D32" s="27" t="inlineStr">
        <is>
          <t>Hilux</t>
        </is>
      </c>
      <c r="E32" s="27" t="inlineStr">
        <is>
          <t>DLV90</t>
        </is>
      </c>
      <c r="F32" s="27" t="n">
        <v>1</v>
      </c>
      <c r="G32" s="27" t="inlineStr">
        <is>
          <t>Office 40ft</t>
        </is>
      </c>
      <c r="H32" s="27" t="n">
        <v>9255540</v>
      </c>
      <c r="I32" s="28" t="n">
        <v>1</v>
      </c>
    </row>
    <row r="33" ht="23.1" customHeight="1">
      <c r="A33" s="25" t="inlineStr">
        <is>
          <t>Wacker Neuson DPU</t>
        </is>
      </c>
      <c r="B33" s="26" t="inlineStr">
        <is>
          <t>DPC15</t>
        </is>
      </c>
      <c r="C33" s="26" t="n"/>
      <c r="D33" s="27" t="n"/>
      <c r="E33" s="27" t="n"/>
      <c r="F33" s="27" t="n"/>
      <c r="G33" s="27" t="inlineStr">
        <is>
          <t>Sea Container 20ft</t>
        </is>
      </c>
      <c r="H33" s="26" t="n">
        <v>951200</v>
      </c>
      <c r="I33" s="28" t="n">
        <v>1</v>
      </c>
    </row>
    <row r="34" ht="23.1" customHeight="1">
      <c r="A34" s="29" t="inlineStr">
        <is>
          <t>Positrak</t>
        </is>
      </c>
      <c r="B34" s="27" t="inlineStr">
        <is>
          <t>AMG 025</t>
        </is>
      </c>
      <c r="C34" s="26" t="n"/>
      <c r="D34" s="27" t="n"/>
      <c r="E34" s="26" t="n"/>
      <c r="F34" s="27" t="n"/>
      <c r="G34" s="27" t="inlineStr">
        <is>
          <t>Site Sentry Tower</t>
        </is>
      </c>
      <c r="H34" s="27" t="n"/>
      <c r="I34" s="28" t="n">
        <v>2</v>
      </c>
    </row>
    <row r="35" ht="23.1" customHeight="1">
      <c r="A35" s="29" t="inlineStr">
        <is>
          <t>Watercart</t>
        </is>
      </c>
      <c r="B35" s="27" t="inlineStr">
        <is>
          <t>WC04</t>
        </is>
      </c>
      <c r="C35" s="26" t="n">
        <v>10</v>
      </c>
      <c r="D35" s="27" t="n"/>
      <c r="E35" s="27" t="n"/>
      <c r="F35" s="27" t="n"/>
      <c r="G35" s="27" t="inlineStr">
        <is>
          <t>Skip Bin</t>
        </is>
      </c>
      <c r="H35" s="27" t="n"/>
      <c r="I35" s="28" t="n">
        <v>1</v>
      </c>
    </row>
    <row r="36" ht="23.1" customHeight="1">
      <c r="A36" s="29" t="inlineStr">
        <is>
          <t>8T Excavator</t>
        </is>
      </c>
      <c r="B36" s="30" t="inlineStr">
        <is>
          <t>AMG 014</t>
        </is>
      </c>
      <c r="C36" s="26" t="n"/>
      <c r="D36" s="27" t="n"/>
      <c r="E36" s="27" t="n"/>
      <c r="F36" s="27" t="n"/>
      <c r="G36" s="27" t="inlineStr">
        <is>
          <t>Hydrocarbon Bund</t>
        </is>
      </c>
      <c r="H36" s="27" t="n"/>
      <c r="I36" s="28" t="n">
        <v>1</v>
      </c>
    </row>
    <row r="37" ht="23.1" customHeight="1">
      <c r="A37" s="27" t="inlineStr">
        <is>
          <t>6 Wheel Tipper</t>
        </is>
      </c>
      <c r="B37" s="27" t="inlineStr">
        <is>
          <t>AMG 008</t>
        </is>
      </c>
      <c r="C37" s="27" t="n"/>
      <c r="D37" s="27" t="n"/>
      <c r="E37" s="27" t="n"/>
      <c r="F37" s="27" t="n"/>
      <c r="G37" s="27" t="inlineStr">
        <is>
          <t>Temp Fence</t>
        </is>
      </c>
      <c r="H37" s="26" t="n"/>
      <c r="I37" s="28" t="n">
        <v>1</v>
      </c>
    </row>
    <row r="38" ht="24" customHeight="1">
      <c r="A38" s="29" t="inlineStr">
        <is>
          <t>Padfoot/ Smooth Drum Roller</t>
        </is>
      </c>
      <c r="B38" s="27" t="inlineStr">
        <is>
          <t>RR 03</t>
        </is>
      </c>
      <c r="C38" s="26" t="n">
        <v>10</v>
      </c>
      <c r="D38" s="27" t="n"/>
      <c r="E38" s="27" t="n"/>
      <c r="F38" s="27" t="n"/>
      <c r="G38" s="31" t="n"/>
      <c r="H38" s="31" t="n"/>
      <c r="I38" s="32" t="n"/>
    </row>
    <row r="39" ht="24" customHeight="1">
      <c r="A39" s="29" t="inlineStr">
        <is>
          <t>Positrak SSL</t>
        </is>
      </c>
      <c r="B39" s="27" t="inlineStr">
        <is>
          <t>SSL08</t>
        </is>
      </c>
      <c r="C39" s="26" t="n">
        <v>5</v>
      </c>
      <c r="D39" s="27" t="n"/>
      <c r="E39" s="27" t="n"/>
      <c r="F39" s="27" t="n"/>
      <c r="G39" s="31" t="n"/>
      <c r="H39" s="31" t="n"/>
      <c r="I39" s="32" t="n"/>
    </row>
    <row r="40" ht="23.1" customHeight="1">
      <c r="A40" s="29" t="inlineStr">
        <is>
          <t>Grader</t>
        </is>
      </c>
      <c r="B40" s="27" t="inlineStr">
        <is>
          <t>SLS01</t>
        </is>
      </c>
      <c r="C40" s="26" t="n">
        <v>10</v>
      </c>
      <c r="D40" s="27" t="n"/>
      <c r="E40" s="27" t="n"/>
      <c r="F40" s="27" t="n"/>
      <c r="G40" s="27" t="n"/>
      <c r="H40" s="26" t="n"/>
      <c r="I40" s="28" t="n"/>
    </row>
    <row r="41" ht="23.1" customHeight="1">
      <c r="A41" s="29" t="inlineStr">
        <is>
          <t>5t Excavator</t>
        </is>
      </c>
      <c r="B41" s="27" t="inlineStr">
        <is>
          <t>AMG 007</t>
        </is>
      </c>
      <c r="C41" s="26" t="n">
        <v>5</v>
      </c>
      <c r="D41" s="27" t="n"/>
      <c r="E41" s="27" t="n"/>
      <c r="F41" s="27" t="n"/>
      <c r="G41" s="27" t="n"/>
      <c r="H41" s="26" t="n"/>
      <c r="I41" s="28" t="n"/>
    </row>
    <row r="42" ht="23.1" customHeight="1">
      <c r="A42" s="29" t="inlineStr">
        <is>
          <t>1.5 Excavator</t>
        </is>
      </c>
      <c r="B42" s="27" t="inlineStr">
        <is>
          <t>AMG 009</t>
        </is>
      </c>
      <c r="C42" s="26" t="n"/>
      <c r="D42" s="27" t="n"/>
      <c r="E42" s="27" t="n"/>
      <c r="F42" s="27" t="n"/>
      <c r="G42" s="27" t="n"/>
      <c r="H42" s="26" t="n"/>
      <c r="I42" s="28" t="n"/>
    </row>
    <row r="43" ht="24" customHeight="1">
      <c r="A43" s="29" t="inlineStr">
        <is>
          <t>5t Excavator</t>
        </is>
      </c>
      <c r="B43" s="27" t="inlineStr">
        <is>
          <t>AI-106</t>
        </is>
      </c>
      <c r="C43" s="26" t="n">
        <v>7</v>
      </c>
      <c r="D43" s="31" t="n"/>
      <c r="E43" s="31" t="n"/>
      <c r="F43" s="31" t="n"/>
      <c r="G43" s="31" t="n"/>
      <c r="H43" s="31" t="n"/>
      <c r="I43" s="32" t="n"/>
    </row>
    <row r="44" ht="18" customHeight="1">
      <c r="A44" s="33" t="n">
        <v>0</v>
      </c>
      <c r="B44" s="186" t="inlineStr">
        <is>
          <t xml:space="preserve">Repairs Required </t>
        </is>
      </c>
      <c r="C44" s="276" t="n"/>
      <c r="D44" s="233" t="inlineStr">
        <is>
          <t>N/A</t>
        </is>
      </c>
      <c r="E44" s="275" t="n"/>
      <c r="F44" s="275" t="n"/>
      <c r="G44" s="275" t="n"/>
      <c r="H44" s="275" t="n"/>
      <c r="I44" s="277" t="n"/>
    </row>
    <row r="45" ht="18" customHeight="1">
      <c r="A45" s="34" t="n">
        <v>0</v>
      </c>
      <c r="B45" s="186" t="inlineStr">
        <is>
          <t>Scheduled Service</t>
        </is>
      </c>
      <c r="C45" s="276" t="n"/>
      <c r="D45" s="233" t="inlineStr">
        <is>
          <t>N/A</t>
        </is>
      </c>
      <c r="E45" s="275" t="n"/>
      <c r="F45" s="275" t="n"/>
      <c r="G45" s="275" t="n"/>
      <c r="H45" s="275" t="n"/>
      <c r="I45" s="277" t="n"/>
    </row>
    <row r="46" ht="18" customHeight="1">
      <c r="A46" s="35" t="n">
        <v>0</v>
      </c>
      <c r="B46" s="186" t="inlineStr">
        <is>
          <t>Repairs required but operable</t>
        </is>
      </c>
      <c r="C46" s="276" t="n"/>
      <c r="D46" s="233" t="inlineStr">
        <is>
          <t>N/A</t>
        </is>
      </c>
      <c r="E46" s="275" t="n"/>
      <c r="F46" s="275" t="n"/>
      <c r="G46" s="275" t="n"/>
      <c r="H46" s="275" t="n"/>
      <c r="I46" s="277" t="n"/>
    </row>
    <row r="47" ht="23.1" customHeight="1">
      <c r="A47" s="239" t="inlineStr">
        <is>
          <t xml:space="preserve">Total Plant and Equipment Hours: </t>
        </is>
      </c>
      <c r="B47" s="276" t="n"/>
      <c r="C47" s="195" t="n"/>
      <c r="D47" s="185" t="n"/>
      <c r="E47" s="275" t="n"/>
      <c r="F47" s="275" t="n"/>
      <c r="G47" s="275" t="n"/>
      <c r="H47" s="275" t="n"/>
      <c r="I47" s="277" t="n"/>
    </row>
    <row r="48" ht="24.95" customHeight="1">
      <c r="A48" s="230" t="inlineStr">
        <is>
          <t>DELAYS-OPPORTUNITY</t>
        </is>
      </c>
      <c r="B48" s="275" t="n"/>
      <c r="C48" s="275" t="n"/>
      <c r="D48" s="275" t="n"/>
      <c r="E48" s="275" t="n"/>
      <c r="F48" s="275" t="n"/>
      <c r="G48" s="275" t="n"/>
      <c r="H48" s="275" t="n"/>
      <c r="I48" s="277" t="n"/>
    </row>
    <row r="49" ht="20.1" customHeight="1">
      <c r="A49" s="5" t="n"/>
      <c r="B49" s="6" t="n"/>
      <c r="C49" s="6" t="n"/>
      <c r="D49" s="6" t="n"/>
      <c r="E49" s="6" t="n"/>
      <c r="F49" s="6" t="n"/>
      <c r="G49" s="6" t="n"/>
      <c r="H49" s="6" t="n"/>
      <c r="I49" s="7" t="n"/>
    </row>
    <row r="50">
      <c r="A50" s="240" t="inlineStr">
        <is>
          <t>Awaiting Detail on Centrelink Carpark
Awaiting Crossing Details for Forrest Street
Awaiting Direction on Service Clash Forrest Street</t>
        </is>
      </c>
      <c r="B50" s="278" t="n"/>
      <c r="C50" s="278" t="n"/>
      <c r="D50" s="278" t="n"/>
      <c r="E50" s="278" t="n"/>
      <c r="F50" s="278" t="n"/>
      <c r="G50" s="278" t="n"/>
      <c r="H50" s="278" t="n"/>
      <c r="I50" s="279" t="n"/>
    </row>
    <row r="51">
      <c r="A51" s="270" t="n"/>
      <c r="I51" s="271" t="n"/>
    </row>
    <row r="52" ht="18" customHeight="1">
      <c r="A52" s="270" t="n"/>
      <c r="I52" s="271" t="n"/>
    </row>
    <row r="53" ht="13.5" customHeight="1">
      <c r="A53" s="280" t="n"/>
      <c r="B53" s="281" t="n"/>
      <c r="C53" s="281" t="n"/>
      <c r="D53" s="281" t="n"/>
      <c r="E53" s="281" t="n"/>
      <c r="F53" s="281" t="n"/>
      <c r="G53" s="281" t="n"/>
      <c r="H53" s="281" t="n"/>
      <c r="I53" s="282" t="n"/>
    </row>
    <row r="54" ht="24.95" customHeight="1">
      <c r="A54" s="236" t="inlineStr">
        <is>
          <t>HSEQ MESSAGES</t>
        </is>
      </c>
      <c r="B54" s="283" t="n"/>
      <c r="C54" s="283" t="n"/>
      <c r="D54" s="283" t="n"/>
      <c r="E54" s="283" t="n"/>
      <c r="F54" s="283" t="n"/>
      <c r="G54" s="283" t="n"/>
      <c r="H54" s="283" t="n"/>
      <c r="I54" s="284" t="n"/>
    </row>
    <row r="55" ht="18" customHeight="1">
      <c r="A55" s="18" t="inlineStr">
        <is>
          <t>TCD - Monthly Safety Focus:</t>
        </is>
      </c>
      <c r="B55" s="211" t="inlineStr">
        <is>
          <t>Speaking Up</t>
        </is>
      </c>
      <c r="C55" s="275" t="n"/>
      <c r="D55" s="275" t="n"/>
      <c r="E55" s="275" t="n"/>
      <c r="F55" s="275" t="n"/>
      <c r="G55" s="275" t="n"/>
      <c r="H55" s="275" t="n"/>
      <c r="I55" s="276" t="n"/>
    </row>
    <row r="56" ht="24" customHeight="1">
      <c r="A56" s="18" t="inlineStr">
        <is>
          <t>TCD - Daily Safety Focus:</t>
        </is>
      </c>
      <c r="B56" s="212" t="inlineStr">
        <is>
          <t>Simops</t>
        </is>
      </c>
      <c r="C56" s="275" t="n"/>
      <c r="D56" s="275" t="n"/>
      <c r="E56" s="275" t="n"/>
      <c r="F56" s="275" t="n"/>
      <c r="G56" s="275" t="n"/>
      <c r="H56" s="275" t="n"/>
      <c r="I56" s="277" t="n"/>
    </row>
    <row r="57" ht="18" customHeight="1">
      <c r="A57" s="19" t="inlineStr">
        <is>
          <t xml:space="preserve">Hazards Reported: </t>
        </is>
      </c>
      <c r="B57" s="20" t="inlineStr">
        <is>
          <t>Nil</t>
        </is>
      </c>
      <c r="C57" s="212" t="n"/>
      <c r="D57" s="275" t="n"/>
      <c r="E57" s="275" t="n"/>
      <c r="F57" s="275" t="n"/>
      <c r="G57" s="275" t="n"/>
      <c r="H57" s="275" t="n"/>
      <c r="I57" s="277" t="n"/>
    </row>
    <row r="58" ht="18" customHeight="1">
      <c r="A58" s="19" t="inlineStr">
        <is>
          <t>Incident Free Days</t>
        </is>
      </c>
      <c r="B58" s="20" t="n">
        <v>0</v>
      </c>
      <c r="C58" s="211" t="n"/>
      <c r="D58" s="275" t="n"/>
      <c r="E58" s="275" t="n"/>
      <c r="F58" s="275" t="n"/>
      <c r="G58" s="275" t="n"/>
      <c r="H58" s="275" t="n"/>
      <c r="I58" s="276" t="n"/>
    </row>
    <row r="59" ht="18" customHeight="1">
      <c r="A59" s="21" t="inlineStr">
        <is>
          <t>Other Notes</t>
        </is>
      </c>
      <c r="B59" s="241" t="n"/>
      <c r="C59" s="278" t="n"/>
      <c r="D59" s="278" t="n"/>
      <c r="E59" s="278" t="n"/>
      <c r="F59" s="278" t="n"/>
      <c r="G59" s="278" t="n"/>
      <c r="H59" s="278" t="n"/>
      <c r="I59" s="279" t="n"/>
    </row>
    <row r="60" ht="20.25" customHeight="1">
      <c r="A60" s="230" t="inlineStr">
        <is>
          <t xml:space="preserve">INCIDENTS &amp; REPORTS </t>
        </is>
      </c>
      <c r="B60" s="275" t="n"/>
      <c r="C60" s="275" t="n"/>
      <c r="D60" s="275" t="n"/>
      <c r="E60" s="275" t="n"/>
      <c r="F60" s="275" t="n"/>
      <c r="G60" s="275" t="n"/>
      <c r="H60" s="275" t="n"/>
      <c r="I60" s="277" t="n"/>
    </row>
    <row r="61" ht="24.95" customHeight="1">
      <c r="A61" s="11" t="n"/>
      <c r="B61" s="184" t="inlineStr">
        <is>
          <t>QTY</t>
        </is>
      </c>
      <c r="C61" s="238" t="inlineStr">
        <is>
          <t>Comments</t>
        </is>
      </c>
      <c r="D61" s="275" t="n"/>
      <c r="E61" s="275" t="n"/>
      <c r="F61" s="275" t="n"/>
      <c r="G61" s="275" t="n"/>
      <c r="H61" s="275" t="n"/>
      <c r="I61" s="277" t="n"/>
    </row>
    <row r="62" ht="24.95" customHeight="1">
      <c r="A62" s="13" t="inlineStr">
        <is>
          <t>INCIDENT</t>
        </is>
      </c>
      <c r="B62" s="184" t="n">
        <v>1</v>
      </c>
      <c r="C62" s="233" t="inlineStr">
        <is>
          <t>Light Pole Struck by positrack Foreshore Drive</t>
        </is>
      </c>
      <c r="D62" s="275" t="n"/>
      <c r="E62" s="275" t="n"/>
      <c r="F62" s="275" t="n"/>
      <c r="G62" s="275" t="n"/>
      <c r="H62" s="275" t="n"/>
      <c r="I62" s="277" t="n"/>
    </row>
    <row r="63" ht="24.95" customHeight="1">
      <c r="A63" s="14" t="inlineStr">
        <is>
          <t>IR</t>
        </is>
      </c>
      <c r="B63" s="15" t="n">
        <v>0</v>
      </c>
      <c r="C63" s="234" t="inlineStr">
        <is>
          <t>NA</t>
        </is>
      </c>
      <c r="D63" s="278" t="n"/>
      <c r="E63" s="278" t="n"/>
      <c r="F63" s="278" t="n"/>
      <c r="G63" s="278" t="n"/>
      <c r="H63" s="278" t="n"/>
      <c r="I63" s="279" t="n"/>
    </row>
    <row r="64" ht="24.95" customHeight="1">
      <c r="A64" s="16" t="inlineStr">
        <is>
          <t>NCR</t>
        </is>
      </c>
      <c r="B64" s="17" t="n">
        <v>0</v>
      </c>
      <c r="C64" s="235" t="inlineStr">
        <is>
          <t>NA</t>
        </is>
      </c>
      <c r="D64" s="285" t="n"/>
      <c r="E64" s="285" t="n"/>
      <c r="F64" s="285" t="n"/>
      <c r="G64" s="285" t="n"/>
      <c r="H64" s="285" t="n"/>
      <c r="I64" s="286" t="n"/>
    </row>
    <row r="65" ht="20.25" customHeight="1">
      <c r="A65" s="236" t="inlineStr">
        <is>
          <t>COMMUNICATIONS</t>
        </is>
      </c>
      <c r="B65" s="283" t="n"/>
      <c r="C65" s="283" t="n"/>
      <c r="D65" s="283" t="n"/>
      <c r="E65" s="283" t="n"/>
      <c r="F65" s="283" t="n"/>
      <c r="G65" s="283" t="n"/>
      <c r="H65" s="283" t="n"/>
      <c r="I65" s="284" t="n"/>
    </row>
    <row r="66" ht="24.95" customHeight="1">
      <c r="A66" s="237" t="inlineStr">
        <is>
          <t>TGS MB1119-05 Scheme D implemented</t>
        </is>
      </c>
      <c r="B66" s="275" t="n"/>
      <c r="C66" s="275" t="n"/>
      <c r="D66" s="275" t="n"/>
      <c r="E66" s="275" t="n"/>
      <c r="F66" s="275" t="n"/>
      <c r="G66" s="275" t="n"/>
      <c r="H66" s="275" t="n"/>
      <c r="I66" s="277" t="n"/>
    </row>
    <row r="67" ht="24.95" customHeight="1">
      <c r="A67" s="237" t="n"/>
      <c r="B67" s="275" t="n"/>
      <c r="C67" s="275" t="n"/>
      <c r="D67" s="275" t="n"/>
      <c r="E67" s="275" t="n"/>
      <c r="F67" s="275" t="n"/>
      <c r="G67" s="275" t="n"/>
      <c r="H67" s="275" t="n"/>
      <c r="I67" s="277" t="n"/>
    </row>
    <row r="68" ht="24.95" customHeight="1">
      <c r="A68" s="230" t="inlineStr">
        <is>
          <t>PRODUCTION (CONSTRUCTION STATUS &amp; PROGRESS)</t>
        </is>
      </c>
      <c r="B68" s="275" t="n"/>
      <c r="C68" s="275" t="n"/>
      <c r="D68" s="275" t="n"/>
      <c r="E68" s="275" t="n"/>
      <c r="F68" s="275" t="n"/>
      <c r="G68" s="275" t="n"/>
      <c r="H68" s="275" t="n"/>
      <c r="I68" s="277" t="n"/>
    </row>
    <row r="69" ht="24.95" customHeight="1">
      <c r="A69" s="66" t="inlineStr">
        <is>
          <t xml:space="preserve">Underground services - Backfilling </t>
        </is>
      </c>
      <c r="B69" s="62" t="n"/>
      <c r="C69" s="79" t="inlineStr">
        <is>
          <t>Commence Cable Jointing</t>
        </is>
      </c>
      <c r="D69" s="79" t="n"/>
      <c r="E69" s="62" t="n"/>
      <c r="F69" s="62" t="n"/>
      <c r="G69" s="62" t="n"/>
      <c r="H69" s="62" t="n"/>
      <c r="I69" s="63" t="n"/>
    </row>
    <row r="70" ht="24.95" customHeight="1">
      <c r="A70" s="66" t="inlineStr">
        <is>
          <t>Proof roll test witnessed by COGG at 7:30am</t>
        </is>
      </c>
      <c r="B70" s="62" t="n"/>
      <c r="C70" s="79" t="inlineStr">
        <is>
          <t xml:space="preserve">Centre-link ramp access boxed out and rolled </t>
        </is>
      </c>
      <c r="D70" s="79" t="n"/>
      <c r="E70" s="62" t="n"/>
      <c r="F70" s="62" t="n"/>
      <c r="G70" s="62" t="n"/>
      <c r="H70" s="62" t="n"/>
      <c r="I70" s="63" t="n"/>
    </row>
    <row r="71" ht="24.95" customHeight="1">
      <c r="A71" s="66" t="inlineStr">
        <is>
          <t>Importing of Sub-base material</t>
        </is>
      </c>
      <c r="B71" s="62" t="n"/>
      <c r="C71" s="79" t="inlineStr">
        <is>
          <t xml:space="preserve">Builiding up verges to design height </t>
        </is>
      </c>
      <c r="D71" s="62" t="n"/>
      <c r="E71" s="62" t="n"/>
      <c r="F71" s="62" t="n"/>
      <c r="G71" s="62" t="n"/>
      <c r="H71" s="62" t="n"/>
      <c r="I71" s="63" t="n"/>
    </row>
    <row r="72" ht="24.95" customHeight="1">
      <c r="A72" s="66" t="inlineStr">
        <is>
          <t>Balancing of Sub-base material@Chambers</t>
        </is>
      </c>
      <c r="B72" s="62" t="n"/>
      <c r="C72" s="79" t="inlineStr">
        <is>
          <t>Furniture Ordered</t>
        </is>
      </c>
      <c r="D72" s="62" t="n"/>
      <c r="E72" s="62" t="n"/>
      <c r="F72" s="62" t="n"/>
      <c r="G72" s="62" t="n"/>
      <c r="H72" s="62" t="n"/>
      <c r="I72" s="63" t="n"/>
    </row>
    <row r="73" ht="26.1" customHeight="1">
      <c r="A73" s="231" t="inlineStr">
        <is>
          <t>PHOTOS</t>
        </is>
      </c>
      <c r="B73" s="278" t="n"/>
      <c r="C73" s="278" t="n"/>
      <c r="D73" s="278" t="n"/>
      <c r="E73" s="278" t="n"/>
      <c r="F73" s="278" t="n"/>
      <c r="G73" s="278" t="n"/>
      <c r="H73" s="278" t="n"/>
      <c r="I73" s="279" t="n"/>
    </row>
    <row r="74" ht="23.1" customHeight="1">
      <c r="A74" s="70" t="n"/>
      <c r="B74" s="71" t="n"/>
      <c r="C74" s="71" t="n"/>
      <c r="D74" s="71" t="n"/>
      <c r="E74" s="71" t="n"/>
      <c r="F74" s="71" t="n"/>
      <c r="G74" s="71" t="n"/>
      <c r="H74" s="71" t="n"/>
      <c r="I74" s="72" t="n"/>
    </row>
    <row r="75" ht="23.1" customHeight="1">
      <c r="A75" s="73" t="n"/>
      <c r="B75" s="74" t="n"/>
      <c r="C75" s="74" t="n"/>
      <c r="D75" s="74" t="n"/>
      <c r="E75" s="74" t="n"/>
      <c r="F75" s="74" t="n"/>
      <c r="G75" s="74" t="n"/>
      <c r="H75" s="74" t="n"/>
      <c r="I75" s="75" t="n"/>
    </row>
    <row r="76" ht="15" customHeight="1">
      <c r="A76" s="73" t="n"/>
      <c r="B76" s="74" t="n"/>
      <c r="C76" s="74" t="n"/>
      <c r="D76" s="74" t="n"/>
      <c r="E76" s="74" t="n"/>
      <c r="F76" s="74" t="n"/>
      <c r="G76" s="74" t="n"/>
      <c r="H76" s="74" t="n"/>
      <c r="I76" s="75" t="n"/>
    </row>
    <row r="77" ht="15" customHeight="1">
      <c r="A77" s="73" t="n"/>
      <c r="B77" s="74" t="n"/>
      <c r="C77" s="74" t="n"/>
      <c r="D77" s="74" t="n"/>
      <c r="E77" s="74" t="n"/>
      <c r="F77" s="74" t="n"/>
      <c r="G77" s="74" t="n"/>
      <c r="H77" s="74" t="n"/>
      <c r="I77" s="75" t="n"/>
    </row>
    <row r="78" ht="15" customHeight="1">
      <c r="A78" s="73" t="n"/>
      <c r="B78" s="74" t="n"/>
      <c r="C78" s="74" t="n"/>
      <c r="D78" s="74" t="n"/>
      <c r="E78" s="74" t="n"/>
      <c r="F78" s="74" t="n"/>
      <c r="G78" s="74" t="n"/>
      <c r="H78" s="74" t="n"/>
      <c r="I78" s="75" t="n"/>
    </row>
    <row r="79" ht="15" customHeight="1">
      <c r="A79" s="73" t="n"/>
      <c r="B79" s="74" t="n"/>
      <c r="C79" s="74" t="n"/>
      <c r="D79" s="74" t="n"/>
      <c r="E79" s="74" t="n"/>
      <c r="F79" s="74" t="n"/>
      <c r="G79" s="74" t="n"/>
      <c r="H79" s="74" t="n"/>
      <c r="I79" s="75" t="n"/>
    </row>
    <row r="80" ht="15" customHeight="1">
      <c r="A80" s="73" t="n"/>
      <c r="B80" s="74" t="n"/>
      <c r="C80" s="74" t="n"/>
      <c r="D80" s="74" t="n"/>
      <c r="E80" s="74" t="n"/>
      <c r="F80" s="74" t="n"/>
      <c r="G80" s="74" t="n"/>
      <c r="H80" s="74" t="n"/>
      <c r="I80" s="75" t="n"/>
    </row>
    <row r="81" ht="15" customHeight="1">
      <c r="A81" s="73" t="n"/>
      <c r="B81" s="74" t="n"/>
      <c r="C81" s="74" t="n"/>
      <c r="D81" s="74" t="n"/>
      <c r="E81" s="74" t="n"/>
      <c r="F81" s="74" t="n"/>
      <c r="G81" s="74" t="n"/>
      <c r="H81" s="74" t="n"/>
      <c r="I81" s="75" t="n"/>
    </row>
    <row r="82" ht="15" customHeight="1">
      <c r="A82" s="73" t="n"/>
      <c r="B82" s="74" t="n"/>
      <c r="C82" s="74" t="n"/>
      <c r="D82" s="74" t="n"/>
      <c r="E82" s="74" t="n"/>
      <c r="F82" s="74" t="n"/>
      <c r="G82" s="74" t="n"/>
      <c r="H82" s="74" t="n"/>
      <c r="I82" s="75" t="n"/>
    </row>
    <row r="83" ht="15" customHeight="1">
      <c r="A83" s="73" t="n"/>
      <c r="B83" s="74" t="n"/>
      <c r="C83" s="74" t="n"/>
      <c r="D83" s="74" t="n"/>
      <c r="E83" s="74" t="n"/>
      <c r="F83" s="74" t="n"/>
      <c r="G83" s="74" t="n"/>
      <c r="H83" s="74" t="n"/>
      <c r="I83" s="75" t="n"/>
    </row>
    <row r="84" ht="15" customHeight="1">
      <c r="A84" s="73" t="n"/>
      <c r="B84" s="74" t="n"/>
      <c r="C84" s="74" t="n"/>
      <c r="D84" s="74" t="n"/>
      <c r="E84" s="74" t="n"/>
      <c r="F84" s="74" t="n"/>
      <c r="G84" s="74" t="n"/>
      <c r="H84" s="74" t="n"/>
      <c r="I84" s="75" t="n"/>
    </row>
    <row r="85" ht="15" customHeight="1">
      <c r="A85" s="73" t="n"/>
      <c r="B85" s="74" t="n"/>
      <c r="C85" s="74" t="n"/>
      <c r="D85" s="74" t="n"/>
      <c r="E85" s="74" t="n"/>
      <c r="F85" s="74" t="n"/>
      <c r="G85" s="74" t="n"/>
      <c r="H85" s="74" t="n"/>
      <c r="I85" s="75" t="n"/>
    </row>
    <row r="86" ht="15" customHeight="1">
      <c r="A86" s="73" t="n"/>
      <c r="B86" s="74" t="n"/>
      <c r="C86" s="74" t="n"/>
      <c r="D86" s="74" t="n"/>
      <c r="E86" s="74" t="n"/>
      <c r="F86" s="74" t="n"/>
      <c r="G86" s="74" t="n"/>
      <c r="H86" s="74" t="n"/>
      <c r="I86" s="75" t="n"/>
    </row>
    <row r="87" ht="15" customHeight="1">
      <c r="A87" s="73" t="n"/>
      <c r="B87" s="74" t="n"/>
      <c r="C87" s="74" t="n"/>
      <c r="D87" s="74" t="n"/>
      <c r="E87" s="74" t="n"/>
      <c r="F87" s="74" t="n"/>
      <c r="G87" s="74" t="n"/>
      <c r="H87" s="74" t="n"/>
      <c r="I87" s="75" t="n"/>
    </row>
    <row r="88" ht="15" customHeight="1">
      <c r="A88" s="73" t="n"/>
      <c r="B88" s="74" t="n"/>
      <c r="C88" s="74" t="n"/>
      <c r="D88" s="74" t="n"/>
      <c r="E88" s="74" t="n"/>
      <c r="F88" s="74" t="n"/>
      <c r="G88" s="74" t="n"/>
      <c r="H88" s="74" t="n"/>
      <c r="I88" s="75" t="n"/>
    </row>
    <row r="89" ht="15" customHeight="1">
      <c r="A89" s="73" t="n"/>
      <c r="B89" s="74" t="n"/>
      <c r="C89" s="74" t="n"/>
      <c r="D89" s="74" t="n"/>
      <c r="E89" s="74" t="n"/>
      <c r="F89" s="74" t="n"/>
      <c r="G89" s="74" t="n"/>
      <c r="H89" s="74" t="n"/>
      <c r="I89" s="75" t="n"/>
    </row>
    <row r="90" ht="15" customHeight="1">
      <c r="A90" s="73" t="n"/>
      <c r="B90" s="74" t="n"/>
      <c r="C90" s="74" t="n"/>
      <c r="D90" s="74" t="n"/>
      <c r="E90" s="74" t="n"/>
      <c r="F90" s="74" t="n"/>
      <c r="G90" s="74" t="n"/>
      <c r="H90" s="74" t="n"/>
      <c r="I90" s="75" t="n"/>
    </row>
    <row r="91" ht="15" customHeight="1">
      <c r="A91" s="73" t="n"/>
      <c r="B91" s="74" t="n"/>
      <c r="C91" s="74" t="n"/>
      <c r="D91" s="74" t="n"/>
      <c r="E91" s="74" t="n"/>
      <c r="F91" s="74" t="n"/>
      <c r="G91" s="74" t="n"/>
      <c r="H91" s="74" t="n"/>
      <c r="I91" s="75" t="n"/>
    </row>
    <row r="92" ht="15" customHeight="1">
      <c r="A92" s="73" t="n"/>
      <c r="B92" s="74" t="n"/>
      <c r="C92" s="74" t="n"/>
      <c r="D92" s="74" t="n"/>
      <c r="E92" s="74" t="n"/>
      <c r="F92" s="74" t="n"/>
      <c r="G92" s="74" t="n"/>
      <c r="H92" s="74" t="n"/>
      <c r="I92" s="75" t="n"/>
    </row>
    <row r="93" ht="15" customHeight="1">
      <c r="A93" s="73" t="n"/>
      <c r="B93" s="74" t="n"/>
      <c r="C93" s="74" t="n"/>
      <c r="D93" s="74" t="n"/>
      <c r="E93" s="74" t="n"/>
      <c r="F93" s="74" t="n"/>
      <c r="G93" s="74" t="n"/>
      <c r="H93" s="74" t="n"/>
      <c r="I93" s="75" t="n"/>
    </row>
    <row r="94" ht="15" customHeight="1">
      <c r="A94" s="73" t="n"/>
      <c r="B94" s="74" t="n"/>
      <c r="C94" s="74" t="n"/>
      <c r="D94" s="74" t="n"/>
      <c r="E94" s="74" t="n"/>
      <c r="F94" s="74" t="n"/>
      <c r="G94" s="74" t="n"/>
      <c r="H94" s="74" t="n"/>
      <c r="I94" s="75" t="n"/>
    </row>
    <row r="95" ht="15" customHeight="1">
      <c r="A95" s="73" t="n"/>
      <c r="B95" s="74" t="n"/>
      <c r="C95" s="74" t="n"/>
      <c r="D95" s="74" t="n"/>
      <c r="E95" s="74" t="n"/>
      <c r="F95" s="74" t="n"/>
      <c r="G95" s="74" t="n"/>
      <c r="H95" s="74" t="n"/>
      <c r="I95" s="75" t="n"/>
    </row>
    <row r="96" ht="15" customHeight="1">
      <c r="A96" s="73" t="n"/>
      <c r="B96" s="74" t="n"/>
      <c r="C96" s="74" t="n"/>
      <c r="D96" s="74" t="n"/>
      <c r="E96" s="74" t="n"/>
      <c r="F96" s="74" t="n"/>
      <c r="H96" s="74" t="n"/>
      <c r="I96" s="75" t="n"/>
    </row>
    <row r="97" ht="24.95" customFormat="1" customHeight="1" s="4">
      <c r="A97" s="73" t="n"/>
      <c r="B97" s="74" t="n"/>
      <c r="C97" s="74" t="n"/>
      <c r="D97" s="74" t="n"/>
      <c r="E97" s="74" t="n"/>
      <c r="F97" s="74" t="n"/>
      <c r="G97" s="74" t="n"/>
      <c r="H97" s="74" t="n"/>
      <c r="I97" s="75" t="n"/>
    </row>
    <row r="98" ht="15" customHeight="1">
      <c r="A98" s="73" t="n"/>
      <c r="B98" s="74" t="n"/>
      <c r="C98" s="74" t="n"/>
      <c r="D98" s="74" t="n"/>
      <c r="E98" s="74" t="n"/>
      <c r="F98" s="74" t="n"/>
      <c r="G98" s="74" t="n"/>
      <c r="H98" s="74" t="n"/>
      <c r="I98" s="75" t="n"/>
    </row>
    <row r="99" ht="15" customHeight="1">
      <c r="A99" s="73" t="n"/>
      <c r="B99" s="74" t="n"/>
      <c r="C99" s="74" t="n"/>
      <c r="D99" s="74" t="n"/>
      <c r="E99" s="74" t="n"/>
      <c r="F99" s="74" t="n"/>
      <c r="G99" s="74" t="n"/>
      <c r="H99" s="74" t="n"/>
      <c r="I99" s="75" t="n"/>
    </row>
    <row r="100" ht="15" customHeight="1">
      <c r="A100" s="73" t="n"/>
      <c r="B100" s="74" t="n"/>
      <c r="C100" s="74" t="n"/>
      <c r="D100" s="74" t="n"/>
      <c r="E100" s="74" t="n"/>
      <c r="F100" s="74" t="n"/>
      <c r="G100" s="74" t="n"/>
      <c r="H100" s="74" t="n"/>
      <c r="I100" s="75" t="n"/>
    </row>
    <row r="101" ht="15" customHeight="1">
      <c r="A101" s="73" t="n"/>
      <c r="B101" s="74" t="n"/>
      <c r="C101" s="74" t="n"/>
      <c r="D101" s="74" t="n"/>
      <c r="E101" s="74" t="n"/>
      <c r="F101" s="74" t="n"/>
      <c r="G101" s="74" t="n"/>
      <c r="H101" s="74" t="n"/>
      <c r="I101" s="75" t="n"/>
    </row>
    <row r="102" ht="15" customHeight="1">
      <c r="A102" s="73" t="n"/>
      <c r="B102" s="74" t="n"/>
      <c r="C102" s="74" t="n"/>
      <c r="D102" s="74" t="n"/>
      <c r="E102" s="74" t="n"/>
      <c r="F102" s="74" t="n"/>
      <c r="G102" s="74" t="n"/>
      <c r="H102" s="74" t="n"/>
      <c r="I102" s="75" t="n"/>
    </row>
    <row r="103" ht="15" customHeight="1">
      <c r="A103" s="73" t="n"/>
      <c r="B103" s="74" t="n"/>
      <c r="C103" s="74" t="n"/>
      <c r="D103" s="74" t="n"/>
      <c r="E103" s="74" t="n"/>
      <c r="F103" s="74" t="n"/>
      <c r="G103" s="74" t="n"/>
      <c r="H103" s="74" t="n"/>
      <c r="I103" s="75" t="n"/>
    </row>
    <row r="104" ht="15" customHeight="1">
      <c r="A104" s="73" t="n"/>
      <c r="B104" s="74" t="n"/>
      <c r="C104" s="74" t="n"/>
      <c r="D104" s="74" t="n"/>
      <c r="E104" s="74" t="n"/>
      <c r="F104" s="74" t="n"/>
      <c r="G104" s="74" t="n"/>
      <c r="H104" s="74" t="n"/>
      <c r="I104" s="75" t="n"/>
    </row>
    <row r="105" ht="15" customHeight="1">
      <c r="A105" s="73" t="n"/>
      <c r="B105" s="74" t="n"/>
      <c r="C105" s="74" t="n"/>
      <c r="D105" s="74" t="n"/>
      <c r="E105" s="74" t="n"/>
      <c r="F105" s="74" t="n"/>
      <c r="G105" s="74" t="n"/>
      <c r="H105" s="74" t="n"/>
      <c r="I105" s="75" t="n"/>
    </row>
    <row r="106" ht="15" customHeight="1">
      <c r="A106" s="73" t="n"/>
      <c r="B106" s="74" t="n"/>
      <c r="C106" s="74" t="n"/>
      <c r="D106" s="74" t="n"/>
      <c r="E106" s="74" t="n"/>
      <c r="F106" s="74" t="n"/>
      <c r="G106" s="74" t="n"/>
      <c r="H106" s="74" t="n"/>
      <c r="I106" s="75" t="n"/>
    </row>
    <row r="107" ht="15" customHeight="1">
      <c r="A107" s="73" t="n"/>
      <c r="B107" s="74" t="n"/>
      <c r="C107" s="74" t="n"/>
      <c r="D107" s="74" t="n"/>
      <c r="E107" s="74" t="n"/>
      <c r="F107" s="74" t="n"/>
      <c r="G107" s="74" t="n"/>
      <c r="H107" s="74" t="n"/>
      <c r="I107" s="75" t="n"/>
    </row>
    <row r="108" ht="15" customHeight="1">
      <c r="A108" s="73" t="n"/>
      <c r="B108" s="74" t="n"/>
      <c r="C108" s="74" t="n"/>
      <c r="D108" s="74" t="n"/>
      <c r="E108" s="74" t="n"/>
      <c r="F108" s="74" t="n"/>
      <c r="G108" s="74" t="n"/>
      <c r="H108" s="74" t="n"/>
      <c r="I108" s="75" t="n"/>
    </row>
    <row r="109" ht="15" customHeight="1">
      <c r="A109" s="73" t="n"/>
      <c r="B109" s="74" t="n"/>
      <c r="C109" s="74" t="n"/>
      <c r="D109" s="74" t="n"/>
      <c r="E109" s="74" t="n"/>
      <c r="F109" s="74" t="n"/>
      <c r="G109" s="74" t="n"/>
      <c r="H109" s="74" t="n"/>
      <c r="I109" s="75" t="n"/>
    </row>
    <row r="110" ht="15" customHeight="1">
      <c r="A110" s="73" t="n"/>
      <c r="B110" s="74" t="n"/>
      <c r="C110" s="74" t="n"/>
      <c r="D110" s="74" t="n"/>
      <c r="E110" s="74" t="n"/>
      <c r="F110" s="74" t="n"/>
      <c r="G110" s="74" t="n"/>
      <c r="H110" s="74" t="n"/>
      <c r="I110" s="75" t="n"/>
    </row>
    <row r="111" ht="15" customHeight="1">
      <c r="A111" s="73" t="n"/>
      <c r="B111" s="74" t="n"/>
      <c r="C111" s="74" t="n"/>
      <c r="D111" s="74" t="n"/>
      <c r="E111" s="74" t="n"/>
      <c r="F111" s="74" t="n"/>
      <c r="G111" s="74" t="n"/>
      <c r="H111" s="74" t="n"/>
      <c r="I111" s="75" t="n"/>
    </row>
    <row r="112" ht="15" customHeight="1">
      <c r="A112" s="76" t="n"/>
      <c r="B112" s="77" t="n"/>
      <c r="C112" s="77" t="n"/>
      <c r="D112" s="77" t="n"/>
      <c r="E112" s="77" t="n"/>
      <c r="F112" s="77" t="n"/>
      <c r="G112" s="77" t="n"/>
      <c r="H112" s="77" t="n"/>
      <c r="I112" s="78" t="n"/>
    </row>
    <row r="113" ht="15" customHeight="1">
      <c r="A113" s="73" t="n"/>
      <c r="B113" s="74" t="n"/>
      <c r="C113" s="74" t="n"/>
      <c r="D113" s="74" t="n"/>
      <c r="E113" s="74" t="n"/>
      <c r="F113" s="74" t="n"/>
      <c r="G113" s="74" t="n"/>
      <c r="H113" s="74" t="n"/>
      <c r="I113" s="75" t="n"/>
    </row>
    <row r="114" ht="15" customHeight="1">
      <c r="A114" s="73" t="n"/>
      <c r="B114" s="74" t="n"/>
      <c r="C114" s="74" t="n"/>
      <c r="D114" s="74" t="n"/>
      <c r="E114" s="74" t="n"/>
      <c r="F114" s="74" t="n"/>
      <c r="G114" s="74" t="n"/>
      <c r="H114" s="74" t="n"/>
      <c r="I114" s="75" t="n"/>
    </row>
    <row r="115" ht="15" customHeight="1">
      <c r="A115" s="73" t="n"/>
      <c r="B115" s="74" t="n"/>
      <c r="C115" s="74" t="n"/>
      <c r="D115" s="74" t="n"/>
      <c r="E115" s="74" t="n"/>
      <c r="F115" s="74" t="n"/>
      <c r="G115" s="74" t="n"/>
      <c r="H115" s="74" t="n"/>
      <c r="I115" s="75" t="n"/>
    </row>
    <row r="116" ht="15" customHeight="1">
      <c r="A116" s="73" t="n"/>
      <c r="B116" s="74" t="n"/>
      <c r="C116" s="74" t="n"/>
      <c r="D116" s="74" t="n"/>
      <c r="E116" s="74" t="n"/>
      <c r="F116" s="74" t="n"/>
      <c r="G116" s="74" t="n"/>
      <c r="H116" s="74" t="n"/>
      <c r="I116" s="75" t="n"/>
    </row>
    <row r="117" ht="15" customHeight="1">
      <c r="A117" s="73" t="n"/>
      <c r="B117" s="74" t="n"/>
      <c r="C117" s="74" t="n"/>
      <c r="D117" s="74" t="n"/>
      <c r="E117" s="74" t="n"/>
      <c r="F117" s="74" t="n"/>
      <c r="G117" s="74" t="n"/>
      <c r="H117" s="74" t="n"/>
      <c r="I117" s="75" t="n"/>
    </row>
    <row r="118" ht="15" customHeight="1">
      <c r="A118" s="73" t="n"/>
      <c r="B118" s="74" t="n"/>
      <c r="C118" s="74" t="n"/>
      <c r="D118" s="74" t="n"/>
      <c r="E118" s="74" t="n"/>
      <c r="F118" s="74" t="n"/>
      <c r="G118" s="74" t="n"/>
      <c r="H118" s="74" t="n"/>
      <c r="I118" s="75" t="n"/>
    </row>
    <row r="119" ht="15" customHeight="1">
      <c r="A119" s="73" t="n"/>
      <c r="B119" s="74" t="n"/>
      <c r="C119" s="74" t="n"/>
      <c r="D119" s="74" t="n"/>
      <c r="E119" s="74" t="n"/>
      <c r="F119" s="74" t="n"/>
      <c r="G119" s="74" t="n"/>
      <c r="H119" s="74" t="n"/>
      <c r="I119" s="75" t="n"/>
    </row>
    <row r="120" ht="15" customHeight="1">
      <c r="A120" s="73" t="n"/>
      <c r="B120" s="74" t="n"/>
      <c r="C120" s="74" t="n"/>
      <c r="D120" s="74" t="n"/>
      <c r="E120" s="74" t="n"/>
      <c r="F120" s="74" t="n"/>
      <c r="G120" s="74" t="n"/>
      <c r="H120" s="74" t="n"/>
      <c r="I120" s="75" t="n"/>
    </row>
    <row r="121" ht="24.95" customHeight="1">
      <c r="A121" s="73" t="n"/>
      <c r="B121" s="74" t="n"/>
      <c r="C121" s="74" t="n"/>
      <c r="D121" s="74" t="n"/>
      <c r="E121" s="74" t="n"/>
      <c r="F121" s="74" t="n"/>
      <c r="G121" s="74" t="n"/>
      <c r="H121" s="74" t="n"/>
      <c r="I121" s="75" t="n"/>
    </row>
    <row r="122" ht="15" customHeight="1">
      <c r="A122" s="73" t="n"/>
      <c r="B122" s="74" t="n"/>
      <c r="C122" s="74" t="n"/>
      <c r="D122" s="74" t="n"/>
      <c r="E122" s="74" t="n"/>
      <c r="F122" s="74" t="n"/>
      <c r="G122" s="74" t="n"/>
      <c r="H122" s="74" t="n"/>
      <c r="I122" s="75" t="n"/>
    </row>
    <row r="123" ht="15" customHeight="1">
      <c r="A123" s="73" t="n"/>
      <c r="B123" s="74" t="n"/>
      <c r="C123" s="74" t="n"/>
      <c r="D123" s="74" t="n"/>
      <c r="E123" s="74" t="n"/>
      <c r="F123" s="74" t="n"/>
      <c r="G123" s="74" t="n"/>
      <c r="H123" s="74" t="n"/>
      <c r="I123" s="75" t="n"/>
    </row>
    <row r="124" ht="27.95" customHeight="1">
      <c r="A124" s="73" t="n"/>
      <c r="B124" s="74" t="n"/>
      <c r="C124" s="74" t="n"/>
      <c r="D124" s="74" t="n"/>
      <c r="E124" s="74" t="n"/>
      <c r="F124" s="74" t="n"/>
      <c r="G124" s="74" t="n"/>
      <c r="H124" s="74" t="n"/>
      <c r="I124" s="75" t="n"/>
    </row>
    <row r="125" ht="15" customHeight="1">
      <c r="A125" s="73" t="n"/>
      <c r="B125" s="74" t="n"/>
      <c r="C125" s="74" t="n"/>
      <c r="D125" s="74" t="n"/>
      <c r="E125" s="74" t="n"/>
      <c r="F125" s="74" t="n"/>
      <c r="G125" s="74" t="n"/>
      <c r="H125" s="74" t="n"/>
      <c r="I125" s="75" t="n"/>
    </row>
    <row r="126" ht="15" customHeight="1">
      <c r="A126" s="73" t="n"/>
      <c r="B126" s="74" t="n"/>
      <c r="C126" s="74" t="n"/>
      <c r="D126" s="74" t="n"/>
      <c r="E126" s="74" t="n"/>
      <c r="F126" s="74" t="n"/>
      <c r="G126" s="74" t="n"/>
      <c r="H126" s="74" t="n"/>
      <c r="I126" s="75" t="n"/>
    </row>
    <row r="127" ht="15" customHeight="1">
      <c r="A127" s="73" t="n"/>
      <c r="B127" s="74" t="n"/>
      <c r="C127" s="74" t="n"/>
      <c r="D127" s="74" t="n"/>
      <c r="E127" s="74" t="n"/>
      <c r="F127" s="74" t="n"/>
      <c r="G127" s="74" t="n"/>
      <c r="H127" s="74" t="n"/>
      <c r="I127" s="75" t="n"/>
    </row>
    <row r="128" ht="15" customHeight="1">
      <c r="A128" s="73" t="n"/>
      <c r="B128" s="74" t="n"/>
      <c r="C128" s="74" t="n"/>
      <c r="D128" s="74" t="n"/>
      <c r="E128" s="74" t="n"/>
      <c r="F128" s="74" t="n"/>
      <c r="G128" s="74" t="n"/>
      <c r="H128" s="74" t="n"/>
      <c r="I128" s="75" t="n"/>
    </row>
    <row r="129" ht="15" customHeight="1">
      <c r="A129" s="73" t="n"/>
      <c r="B129" s="74" t="n"/>
      <c r="C129" s="74" t="n"/>
      <c r="D129" s="74" t="n"/>
      <c r="E129" s="74" t="n"/>
      <c r="F129" s="74" t="n"/>
      <c r="G129" s="74" t="n"/>
      <c r="H129" s="74" t="n"/>
      <c r="I129" s="75" t="n"/>
    </row>
    <row r="130" ht="15" customHeight="1">
      <c r="A130" s="73" t="n"/>
      <c r="B130" s="74" t="n"/>
      <c r="C130" s="74" t="n"/>
      <c r="D130" s="74" t="n"/>
      <c r="E130" s="74" t="n"/>
      <c r="F130" s="74" t="n"/>
      <c r="G130" s="74" t="n"/>
      <c r="H130" s="74" t="n"/>
      <c r="I130" s="75" t="n"/>
    </row>
    <row r="131" ht="15" customHeight="1">
      <c r="A131" s="73" t="n"/>
      <c r="B131" s="74" t="n"/>
      <c r="C131" s="74" t="n"/>
      <c r="D131" s="74" t="n"/>
      <c r="E131" s="74" t="n"/>
      <c r="F131" s="74" t="n"/>
      <c r="G131" s="74" t="n"/>
      <c r="H131" s="74" t="n"/>
      <c r="I131" s="75" t="n"/>
    </row>
    <row r="132" ht="15" customHeight="1">
      <c r="A132" s="73" t="n"/>
      <c r="B132" s="74" t="n"/>
      <c r="C132" s="74" t="n"/>
      <c r="D132" s="74" t="n"/>
      <c r="E132" s="74" t="n"/>
      <c r="F132" s="74" t="n"/>
      <c r="G132" s="74" t="n"/>
      <c r="H132" s="74" t="n"/>
      <c r="I132" s="75" t="n"/>
    </row>
    <row r="133" ht="15" customHeight="1">
      <c r="A133" s="73" t="n"/>
      <c r="B133" s="74" t="n"/>
      <c r="C133" s="74" t="n"/>
      <c r="D133" s="74" t="n"/>
      <c r="E133" s="74" t="n"/>
      <c r="F133" s="74" t="n"/>
      <c r="G133" s="74" t="n"/>
      <c r="H133" s="74" t="n"/>
      <c r="I133" s="75" t="n"/>
    </row>
    <row r="134" ht="15" customHeight="1">
      <c r="A134" s="73" t="n"/>
      <c r="B134" s="74" t="n"/>
      <c r="C134" s="74" t="n"/>
      <c r="D134" s="74" t="n"/>
      <c r="E134" s="74" t="n"/>
      <c r="F134" s="74" t="n"/>
      <c r="G134" s="74" t="n"/>
      <c r="H134" s="74" t="n"/>
      <c r="I134" s="75" t="n"/>
    </row>
    <row r="135" ht="15" customHeight="1">
      <c r="A135" s="73" t="n"/>
      <c r="B135" s="74" t="n"/>
      <c r="C135" s="74" t="n"/>
      <c r="D135" s="74" t="n"/>
      <c r="E135" s="74" t="n"/>
      <c r="F135" s="74" t="n"/>
      <c r="G135" s="74" t="n"/>
      <c r="H135" s="74" t="n"/>
      <c r="I135" s="75" t="n"/>
    </row>
    <row r="136" ht="15" customHeight="1">
      <c r="A136" s="73" t="n"/>
      <c r="B136" s="74" t="n"/>
      <c r="C136" s="74" t="n"/>
      <c r="D136" s="74" t="n"/>
      <c r="E136" s="74" t="n"/>
      <c r="F136" s="74" t="n"/>
      <c r="G136" s="74" t="n"/>
      <c r="H136" s="74" t="n"/>
      <c r="I136" s="75" t="n"/>
    </row>
    <row r="137" ht="15" customHeight="1">
      <c r="A137" s="73" t="n"/>
      <c r="B137" s="74" t="n"/>
      <c r="C137" s="74" t="n"/>
      <c r="D137" s="74" t="n"/>
      <c r="E137" s="74" t="n"/>
      <c r="F137" s="74" t="n"/>
      <c r="G137" s="74" t="n"/>
      <c r="H137" s="74" t="n"/>
      <c r="I137" s="75" t="n"/>
      <c r="J137" s="8" t="n"/>
    </row>
    <row r="138" ht="15" customHeight="1">
      <c r="A138" s="73" t="n"/>
      <c r="B138" s="74" t="n"/>
      <c r="C138" s="74" t="n"/>
      <c r="D138" s="74" t="n"/>
      <c r="E138" s="74" t="n"/>
      <c r="F138" s="74" t="n"/>
      <c r="G138" s="74" t="n"/>
      <c r="H138" s="74" t="n"/>
      <c r="I138" s="75" t="n"/>
    </row>
    <row r="139" ht="15" customHeight="1">
      <c r="A139" s="73" t="n"/>
      <c r="B139" s="74" t="n"/>
      <c r="C139" s="74" t="n"/>
      <c r="D139" s="74" t="n"/>
      <c r="E139" s="74" t="n"/>
      <c r="F139" s="74" t="n"/>
      <c r="G139" s="74" t="n"/>
      <c r="H139" s="74" t="n"/>
      <c r="I139" s="75" t="n"/>
    </row>
    <row r="140" ht="15" customHeight="1">
      <c r="A140" s="73" t="n"/>
      <c r="B140" s="74" t="n"/>
      <c r="C140" s="74" t="n"/>
      <c r="D140" s="74" t="n"/>
      <c r="E140" s="74" t="n"/>
      <c r="F140" s="74" t="n"/>
      <c r="G140" s="74" t="n"/>
      <c r="H140" s="74" t="n"/>
      <c r="I140" s="75" t="n"/>
    </row>
    <row r="141" ht="15" customHeight="1">
      <c r="A141" s="73" t="n"/>
      <c r="B141" s="74" t="n"/>
      <c r="C141" s="74" t="n"/>
      <c r="D141" s="74" t="n"/>
      <c r="E141" s="74" t="n"/>
      <c r="F141" s="74" t="n"/>
      <c r="G141" s="74" t="n"/>
      <c r="H141" s="74" t="n"/>
      <c r="I141" s="75" t="n"/>
    </row>
    <row r="142" ht="15" customHeight="1">
      <c r="A142" s="73" t="n"/>
      <c r="B142" s="74" t="n"/>
      <c r="C142" s="74" t="n"/>
      <c r="D142" s="74" t="n"/>
      <c r="E142" s="74" t="n"/>
      <c r="F142" s="74" t="n"/>
      <c r="G142" s="74" t="n"/>
      <c r="H142" s="74" t="n"/>
      <c r="I142" s="75" t="n"/>
    </row>
    <row r="143" ht="15" customHeight="1">
      <c r="A143" s="73" t="n"/>
      <c r="B143" s="74" t="n"/>
      <c r="C143" s="74" t="n"/>
      <c r="D143" s="74" t="n"/>
      <c r="E143" s="74" t="n"/>
      <c r="F143" s="74" t="n"/>
      <c r="G143" s="74" t="n"/>
      <c r="H143" s="74" t="n"/>
      <c r="I143" s="75" t="n"/>
    </row>
    <row r="144" ht="15.95" customHeight="1">
      <c r="A144" s="73" t="n"/>
      <c r="B144" s="74" t="n"/>
      <c r="C144" s="74" t="n"/>
      <c r="D144" s="74" t="n"/>
      <c r="E144" s="74" t="n"/>
      <c r="F144" s="74" t="n"/>
      <c r="G144" s="74" t="n"/>
      <c r="H144" s="74" t="n"/>
      <c r="I144" s="75" t="n"/>
    </row>
    <row r="145" ht="30.75" customHeight="1">
      <c r="A145" s="218" t="n"/>
      <c r="E145" s="220" t="n"/>
      <c r="I145" s="271" t="n"/>
    </row>
    <row r="146">
      <c r="A146" s="64" t="n"/>
      <c r="I146" s="65"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I180" s="65" t="n"/>
    </row>
    <row r="181">
      <c r="A181" s="64" t="n"/>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ht="15.95" customHeight="1">
      <c r="A199" s="59" t="n"/>
      <c r="B199" s="60" t="n"/>
      <c r="C199" s="60" t="n"/>
      <c r="D199" s="60" t="n"/>
      <c r="E199" s="60" t="n"/>
      <c r="F199" s="60" t="n"/>
      <c r="G199" s="60" t="n"/>
      <c r="H199" s="60" t="n"/>
      <c r="I199" s="61" t="n"/>
    </row>
    <row r="200">
      <c r="A200" s="64" t="n"/>
      <c r="I200" s="65" t="n"/>
    </row>
    <row r="201">
      <c r="A201" s="64" t="n"/>
      <c r="I201" s="65" t="n"/>
    </row>
    <row r="202">
      <c r="A202" s="64" t="n"/>
      <c r="I202" s="65" t="n"/>
    </row>
    <row r="203">
      <c r="A203" s="64" t="n"/>
      <c r="I203" s="65" t="n"/>
    </row>
    <row r="204">
      <c r="A204" s="64" t="n"/>
      <c r="I204" s="65" t="n"/>
    </row>
    <row r="205">
      <c r="A205" s="64" t="n"/>
      <c r="I205" s="65" t="n"/>
    </row>
    <row r="206" ht="15.95" customHeight="1">
      <c r="A206" s="59" t="n"/>
      <c r="B206" s="60" t="n"/>
      <c r="C206" s="60" t="n"/>
      <c r="D206" s="60" t="n"/>
      <c r="E206" s="60" t="n"/>
      <c r="F206" s="60" t="n"/>
      <c r="G206" s="60" t="n"/>
      <c r="H206" s="60" t="n"/>
      <c r="I206" s="61" t="n"/>
    </row>
  </sheetData>
  <mergeCells count="40">
    <mergeCell ref="C61:I61"/>
    <mergeCell ref="A65:I65"/>
    <mergeCell ref="D13:F13"/>
    <mergeCell ref="A54:I54"/>
    <mergeCell ref="G13:I13"/>
    <mergeCell ref="B8:D8"/>
    <mergeCell ref="A66:I66"/>
    <mergeCell ref="B46:C46"/>
    <mergeCell ref="B59:I59"/>
    <mergeCell ref="A12:I12"/>
    <mergeCell ref="C57:I57"/>
    <mergeCell ref="D47:I47"/>
    <mergeCell ref="B56:I56"/>
    <mergeCell ref="A5:I5"/>
    <mergeCell ref="B9:D9"/>
    <mergeCell ref="C62:I62"/>
    <mergeCell ref="B6:D6"/>
    <mergeCell ref="C58:I58"/>
    <mergeCell ref="B44:C44"/>
    <mergeCell ref="A13:C13"/>
    <mergeCell ref="A68:I68"/>
    <mergeCell ref="A10:I10"/>
    <mergeCell ref="A1:I4"/>
    <mergeCell ref="C64:I64"/>
    <mergeCell ref="A47:B47"/>
    <mergeCell ref="A67:I67"/>
    <mergeCell ref="D44:I44"/>
    <mergeCell ref="B7:D7"/>
    <mergeCell ref="C63:I63"/>
    <mergeCell ref="A48:I48"/>
    <mergeCell ref="A50:I53"/>
    <mergeCell ref="A73:I73"/>
    <mergeCell ref="A11:I11"/>
    <mergeCell ref="D46:I46"/>
    <mergeCell ref="B55:I55"/>
    <mergeCell ref="A60:I60"/>
    <mergeCell ref="A145:D145"/>
    <mergeCell ref="B45:C45"/>
    <mergeCell ref="D45:I45"/>
    <mergeCell ref="E145:I145"/>
  </mergeCells>
  <printOptions horizontalCentered="1"/>
  <pageMargins left="0.2362204724409449" right="0.2362204724409449" top="0.7480314960629921" bottom="0.7480314960629921" header="0.3149606299212598" footer="0.3149606299212598"/>
  <pageSetup orientation="portrait" paperSize="9" scale="36" fitToHeight="0"/>
  <rowBreaks count="1" manualBreakCount="1">
    <brk id="72" min="0" max="8" man="1"/>
  </rowBreaks>
</worksheet>
</file>

<file path=xl/worksheets/sheet11.xml><?xml version="1.0" encoding="utf-8"?>
<worksheet xmlns="http://schemas.openxmlformats.org/spreadsheetml/2006/main">
  <sheetPr>
    <outlinePr summaryBelow="1" summaryRight="1"/>
    <pageSetUpPr fitToPage="1"/>
  </sheetPr>
  <dimension ref="A1:J206"/>
  <sheetViews>
    <sheetView topLeftCell="A23" zoomScale="70" zoomScaleNormal="70" workbookViewId="0">
      <selection activeCell="A50" sqref="A50:I53"/>
    </sheetView>
  </sheetViews>
  <sheetFormatPr baseColWidth="8" defaultColWidth="9.140625" defaultRowHeight="14.45"/>
  <cols>
    <col width="62.140625" bestFit="1" customWidth="1" style="232" min="1" max="1"/>
    <col width="36.7109375" bestFit="1" customWidth="1" style="232" min="2" max="2"/>
    <col width="16" customWidth="1" style="232" min="3" max="3"/>
    <col width="28.710937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43"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170" t="inlineStr">
        <is>
          <t>TCD DAILY FIELD REPORT</t>
        </is>
      </c>
      <c r="B5" s="275" t="n"/>
      <c r="C5" s="275" t="n"/>
      <c r="D5" s="275" t="n"/>
      <c r="E5" s="275" t="n"/>
      <c r="F5" s="275" t="n"/>
      <c r="G5" s="275" t="n"/>
      <c r="H5" s="275" t="n"/>
      <c r="I5" s="276" t="n"/>
    </row>
    <row r="6" ht="23.1" customHeight="1">
      <c r="A6" s="49" t="inlineStr">
        <is>
          <t>Project Name:</t>
        </is>
      </c>
      <c r="B6" s="173" t="inlineStr">
        <is>
          <t>Batavia Station Square</t>
        </is>
      </c>
      <c r="E6" s="173" t="n"/>
      <c r="F6" s="51" t="n"/>
      <c r="G6" s="51" t="n"/>
      <c r="H6" s="52" t="inlineStr">
        <is>
          <t>Date:</t>
        </is>
      </c>
      <c r="I6" s="53" t="n">
        <v>45882</v>
      </c>
    </row>
    <row r="7" ht="23.1" customHeight="1">
      <c r="A7" s="49" t="inlineStr">
        <is>
          <t>Project Location:</t>
        </is>
      </c>
      <c r="B7" s="173" t="inlineStr">
        <is>
          <t>Geraldton</t>
        </is>
      </c>
      <c r="E7" s="173" t="n"/>
      <c r="F7" s="51" t="n"/>
      <c r="G7" s="51" t="n"/>
      <c r="H7" s="54" t="inlineStr">
        <is>
          <t>Day:</t>
        </is>
      </c>
      <c r="I7" s="55" t="n">
        <v>45882</v>
      </c>
    </row>
    <row r="8" ht="23.1" customHeight="1">
      <c r="A8" s="49" t="inlineStr">
        <is>
          <t>Project Number:</t>
        </is>
      </c>
      <c r="B8" s="173" t="inlineStr">
        <is>
          <t>TCD-1816</t>
        </is>
      </c>
      <c r="E8" s="173" t="n"/>
      <c r="F8" s="51" t="n"/>
      <c r="G8" s="51" t="n"/>
      <c r="H8" s="54" t="inlineStr">
        <is>
          <t>Start:</t>
        </is>
      </c>
      <c r="I8" s="56" t="inlineStr">
        <is>
          <t xml:space="preserve">  0600AM</t>
        </is>
      </c>
    </row>
    <row r="9" ht="23.1" customHeight="1">
      <c r="A9" s="49" t="inlineStr">
        <is>
          <t>Report Number:</t>
        </is>
      </c>
      <c r="B9" s="159" t="n">
        <v>77</v>
      </c>
      <c r="C9" s="273" t="n"/>
      <c r="D9" s="273" t="n"/>
      <c r="E9" s="160" t="n"/>
      <c r="F9" s="58" t="n"/>
      <c r="G9" s="58" t="n"/>
      <c r="H9" s="54" t="inlineStr">
        <is>
          <t>Finish:</t>
        </is>
      </c>
      <c r="I9" s="56" t="n">
        <v>0.7083333333333334</v>
      </c>
    </row>
    <row r="10" ht="24.95" customHeight="1">
      <c r="A10" s="230" t="inlineStr">
        <is>
          <t>WEATHER &amp; GROUND CONDITIONS</t>
        </is>
      </c>
      <c r="B10" s="275" t="n"/>
      <c r="C10" s="275" t="n"/>
      <c r="D10" s="275" t="n"/>
      <c r="E10" s="275" t="n"/>
      <c r="F10" s="275" t="n"/>
      <c r="G10" s="275" t="n"/>
      <c r="H10" s="275" t="n"/>
      <c r="I10" s="277" t="n"/>
    </row>
    <row r="11" ht="23.1" customHeight="1">
      <c r="A11" s="242" t="inlineStr">
        <is>
          <t>Temperature: 22 degrees    Wind: 51 km/h SW Precip: 7mm</t>
        </is>
      </c>
      <c r="B11" s="275" t="n"/>
      <c r="C11" s="275" t="n"/>
      <c r="D11" s="275" t="n"/>
      <c r="E11" s="275" t="n"/>
      <c r="F11" s="275" t="n"/>
      <c r="G11" s="275" t="n"/>
      <c r="H11" s="275" t="n"/>
      <c r="I11" s="277" t="n"/>
      <c r="J11" t="inlineStr">
        <is>
          <t>0.0 mm</t>
        </is>
      </c>
    </row>
    <row r="12" ht="24.95" customHeight="1">
      <c r="A12" s="231" t="inlineStr">
        <is>
          <t>PERSONNEL</t>
        </is>
      </c>
      <c r="B12" s="278" t="n"/>
      <c r="C12" s="278" t="n"/>
      <c r="D12" s="278" t="n"/>
      <c r="E12" s="278" t="n"/>
      <c r="F12" s="278" t="n"/>
      <c r="G12" s="278" t="n"/>
      <c r="H12" s="278" t="n"/>
      <c r="I12" s="279" t="n"/>
    </row>
    <row r="13" ht="23.1" customHeight="1">
      <c r="A13" s="183" t="inlineStr">
        <is>
          <t>TCD Indirects</t>
        </is>
      </c>
      <c r="B13" s="275" t="n"/>
      <c r="C13" s="276" t="n"/>
      <c r="D13" s="184" t="inlineStr">
        <is>
          <t>TCD Directs</t>
        </is>
      </c>
      <c r="E13" s="275" t="n"/>
      <c r="F13" s="276" t="n"/>
      <c r="G13" s="184" t="inlineStr">
        <is>
          <t>Subcontractors</t>
        </is>
      </c>
      <c r="H13" s="275" t="n"/>
      <c r="I13" s="276" t="n"/>
    </row>
    <row r="14" ht="24" customHeight="1">
      <c r="A14" s="183" t="inlineStr">
        <is>
          <t xml:space="preserve"> Name</t>
        </is>
      </c>
      <c r="B14" s="184" t="inlineStr">
        <is>
          <t>Position</t>
        </is>
      </c>
      <c r="C14" s="39" t="inlineStr">
        <is>
          <t>Hours</t>
        </is>
      </c>
      <c r="D14" s="184" t="inlineStr">
        <is>
          <t xml:space="preserve"> Name</t>
        </is>
      </c>
      <c r="E14" s="184" t="inlineStr">
        <is>
          <t>Position</t>
        </is>
      </c>
      <c r="F14" s="39" t="inlineStr">
        <is>
          <t>Hours</t>
        </is>
      </c>
      <c r="G14" s="184" t="inlineStr">
        <is>
          <t xml:space="preserve"> Name</t>
        </is>
      </c>
      <c r="H14" s="184" t="inlineStr">
        <is>
          <t>Position</t>
        </is>
      </c>
      <c r="I14" s="185" t="inlineStr">
        <is>
          <t>Hours</t>
        </is>
      </c>
    </row>
    <row r="15" ht="23.1" customHeight="1">
      <c r="A15" s="25" t="inlineStr">
        <is>
          <t>WATKINS, Steve</t>
        </is>
      </c>
      <c r="B15" s="26" t="inlineStr">
        <is>
          <t>Civil Manager</t>
        </is>
      </c>
      <c r="C15" s="40" t="n"/>
      <c r="D15" s="41" t="n"/>
      <c r="E15" s="41" t="n"/>
      <c r="F15" s="26" t="n"/>
      <c r="G15" s="42" t="inlineStr">
        <is>
          <t>Khegan Brockman</t>
        </is>
      </c>
      <c r="H15" s="26" t="inlineStr">
        <is>
          <t>Labourer</t>
        </is>
      </c>
      <c r="I15" s="28" t="n">
        <v>9</v>
      </c>
    </row>
    <row r="16" ht="23.1" customHeight="1">
      <c r="A16" s="25" t="inlineStr">
        <is>
          <t>GRIFFITHS, Daniel</t>
        </is>
      </c>
      <c r="B16" s="26" t="inlineStr">
        <is>
          <t>Project Manager</t>
        </is>
      </c>
      <c r="C16" s="27" t="n">
        <v>10</v>
      </c>
      <c r="D16" s="43" t="n"/>
      <c r="E16" s="43" t="n"/>
      <c r="F16" s="26" t="n"/>
      <c r="G16" s="42" t="inlineStr">
        <is>
          <t>Laurent Levy</t>
        </is>
      </c>
      <c r="H16" s="26" t="inlineStr">
        <is>
          <t>Operator</t>
        </is>
      </c>
      <c r="I16" s="28" t="n">
        <v>10</v>
      </c>
    </row>
    <row r="17" ht="23.1" customHeight="1">
      <c r="A17" s="25" t="inlineStr">
        <is>
          <t>O"SHEA, John</t>
        </is>
      </c>
      <c r="B17" s="26" t="inlineStr">
        <is>
          <t>Senior Project Engineer</t>
        </is>
      </c>
      <c r="C17" s="27" t="n"/>
      <c r="D17" s="43" t="n"/>
      <c r="E17" s="43" t="n"/>
      <c r="F17" s="26" t="n"/>
      <c r="G17" s="42" t="inlineStr">
        <is>
          <t>Daniel McAuffile</t>
        </is>
      </c>
      <c r="H17" s="26" t="inlineStr">
        <is>
          <t>Operator</t>
        </is>
      </c>
      <c r="I17" s="28" t="n">
        <v>10</v>
      </c>
    </row>
    <row r="18" ht="23.1" customHeight="1">
      <c r="A18" s="25" t="inlineStr">
        <is>
          <t>GRIFFITHS, Ashley</t>
        </is>
      </c>
      <c r="B18" s="26" t="inlineStr">
        <is>
          <t>Supervisor</t>
        </is>
      </c>
      <c r="C18" s="27" t="n">
        <v>10</v>
      </c>
      <c r="D18" s="41" t="n"/>
      <c r="E18" s="41" t="n"/>
      <c r="F18" s="26" t="n"/>
      <c r="G18" s="42" t="inlineStr">
        <is>
          <t>Jachai Griffiths</t>
        </is>
      </c>
      <c r="H18" s="26" t="inlineStr">
        <is>
          <t>Operator</t>
        </is>
      </c>
      <c r="I18" s="28" t="n"/>
    </row>
    <row r="19" ht="23.1" customHeight="1">
      <c r="A19" s="25" t="inlineStr">
        <is>
          <t>LOW, June</t>
        </is>
      </c>
      <c r="B19" s="26" t="inlineStr">
        <is>
          <t>HSET</t>
        </is>
      </c>
      <c r="C19" s="27" t="n"/>
      <c r="D19" s="41" t="n"/>
      <c r="E19" s="41" t="n"/>
      <c r="F19" s="26" t="n"/>
      <c r="G19" s="42" t="inlineStr">
        <is>
          <t>O'Brian, Jamie</t>
        </is>
      </c>
      <c r="H19" s="26" t="inlineStr">
        <is>
          <t>Operator</t>
        </is>
      </c>
      <c r="I19" s="28" t="n">
        <v>10</v>
      </c>
    </row>
    <row r="20" ht="23.1" customHeight="1">
      <c r="A20" s="25" t="inlineStr">
        <is>
          <t>SKINNER,JAMIE</t>
        </is>
      </c>
      <c r="B20" s="26" t="inlineStr">
        <is>
          <t>SUPERVISOR</t>
        </is>
      </c>
      <c r="C20" s="27" t="n">
        <v>11.5</v>
      </c>
      <c r="D20" s="41" t="n"/>
      <c r="E20" s="41" t="n"/>
      <c r="F20" s="26" t="n"/>
      <c r="G20" s="42" t="inlineStr">
        <is>
          <t>Jamie.O'K</t>
        </is>
      </c>
      <c r="H20" s="26" t="inlineStr">
        <is>
          <t>Operator</t>
        </is>
      </c>
      <c r="I20" s="28" t="n">
        <v>10</v>
      </c>
    </row>
    <row r="21" ht="23.1" customHeight="1">
      <c r="A21" s="25" t="n"/>
      <c r="B21" s="26" t="n"/>
      <c r="C21" s="27" t="n"/>
      <c r="D21" s="41" t="n"/>
      <c r="E21" s="41" t="n"/>
      <c r="F21" s="26" t="n"/>
      <c r="G21" s="42" t="inlineStr">
        <is>
          <t>Simpson,Joshua</t>
        </is>
      </c>
      <c r="H21" s="26" t="inlineStr">
        <is>
          <t>Labourer</t>
        </is>
      </c>
      <c r="I21" s="28" t="n">
        <v>0</v>
      </c>
    </row>
    <row r="22" ht="23.1" customHeight="1">
      <c r="A22" s="25" t="n"/>
      <c r="B22" s="26" t="n"/>
      <c r="C22" s="27" t="n"/>
      <c r="D22" s="41" t="n"/>
      <c r="E22" s="41" t="n"/>
      <c r="F22" s="26" t="n"/>
      <c r="G22" s="42" t="inlineStr">
        <is>
          <t>Chester, Matt</t>
        </is>
      </c>
      <c r="H22" s="26" t="inlineStr">
        <is>
          <t>Gas Fitter</t>
        </is>
      </c>
      <c r="I22" s="28" t="n"/>
    </row>
    <row r="23" ht="23.1" customHeight="1">
      <c r="A23" s="25" t="n"/>
      <c r="B23" s="26" t="n"/>
      <c r="C23" s="27" t="n"/>
      <c r="D23" s="41" t="n"/>
      <c r="E23" s="41" t="n"/>
      <c r="F23" s="26" t="n"/>
      <c r="G23" s="42" t="inlineStr">
        <is>
          <t>Mounsey, Matt</t>
        </is>
      </c>
      <c r="H23" s="26" t="inlineStr">
        <is>
          <t>Gas Fitter</t>
        </is>
      </c>
      <c r="I23" s="28" t="n"/>
    </row>
    <row r="24" ht="23.1" customHeight="1">
      <c r="A24" s="25" t="n"/>
      <c r="B24" s="26" t="n"/>
      <c r="C24" s="27" t="n"/>
      <c r="D24" s="41" t="n"/>
      <c r="E24" s="41" t="n"/>
      <c r="F24" s="26" t="n"/>
      <c r="G24" s="42" t="inlineStr">
        <is>
          <t>Herring, Levin</t>
        </is>
      </c>
      <c r="H24" s="26" t="inlineStr">
        <is>
          <t>Gas Fitter</t>
        </is>
      </c>
      <c r="I24" s="28" t="n"/>
    </row>
    <row r="25" ht="23.1" customHeight="1">
      <c r="A25" s="25" t="n"/>
      <c r="B25" s="26" t="n"/>
      <c r="C25" s="27" t="n"/>
      <c r="D25" s="41" t="n"/>
      <c r="E25" s="41" t="n"/>
      <c r="F25" s="26" t="n"/>
      <c r="G25" s="44" t="inlineStr">
        <is>
          <t>Mosley,Joshua</t>
        </is>
      </c>
      <c r="H25" s="26" t="inlineStr">
        <is>
          <t>Surveyor</t>
        </is>
      </c>
      <c r="I25" s="28" t="n">
        <v>2</v>
      </c>
    </row>
    <row r="26" ht="23.1" customHeight="1">
      <c r="A26" s="239" t="inlineStr">
        <is>
          <t xml:space="preserve">Total Indirect Personnel onsite: </t>
        </is>
      </c>
      <c r="B26" s="45">
        <f>SUM(F15:F26)</f>
        <v/>
      </c>
      <c r="C26" s="41" t="n"/>
      <c r="D26" s="41" t="n"/>
      <c r="E26" s="41" t="n"/>
      <c r="F26" s="26" t="n"/>
      <c r="G26" s="194" t="inlineStr">
        <is>
          <t>Total Subcontractor on-site:</t>
        </is>
      </c>
      <c r="H26" s="46">
        <f>COUNTIF(I15:I25,"&gt;0")</f>
        <v/>
      </c>
      <c r="I26" s="28" t="n"/>
    </row>
    <row r="27" ht="23.1" customHeight="1">
      <c r="A27" s="239" t="inlineStr">
        <is>
          <t xml:space="preserve">Total Indirect Personnel hours: </t>
        </is>
      </c>
      <c r="B27" s="45">
        <f>SUM(C15:C25)</f>
        <v/>
      </c>
      <c r="C27" s="27" t="n"/>
      <c r="D27" s="41" t="n"/>
      <c r="E27" s="41" t="n"/>
      <c r="F27" s="26" t="n"/>
      <c r="G27" s="194" t="inlineStr">
        <is>
          <t>Total Subcontractor hours:</t>
        </is>
      </c>
      <c r="H27" s="46">
        <f>SUM(I15:I25)</f>
        <v/>
      </c>
      <c r="I27" s="28" t="n"/>
    </row>
    <row r="28" ht="23.1" customHeight="1">
      <c r="A28" s="239" t="inlineStr">
        <is>
          <t xml:space="preserve">Total Direct Personnel onsite:  </t>
        </is>
      </c>
      <c r="B28" s="45">
        <f>COUNTIF(F15:F29,"&gt;0")</f>
        <v/>
      </c>
      <c r="C28" s="45" t="n"/>
      <c r="D28" s="41" t="n"/>
      <c r="E28" s="41" t="n"/>
      <c r="F28" s="47" t="n"/>
      <c r="G28" s="194" t="n"/>
      <c r="H28" s="46" t="n"/>
      <c r="I28" s="238" t="n"/>
    </row>
    <row r="29" ht="23.1" customHeight="1">
      <c r="A29" s="239" t="inlineStr">
        <is>
          <t xml:space="preserve">Total Direct Personnel hours: </t>
        </is>
      </c>
      <c r="B29" s="45">
        <f>SUM(F15:F29)</f>
        <v/>
      </c>
      <c r="C29" s="45" t="n"/>
      <c r="D29" s="45" t="n"/>
      <c r="E29" s="45" t="n"/>
      <c r="F29" s="45" t="n"/>
      <c r="G29" s="45" t="n"/>
      <c r="H29" s="45" t="n"/>
      <c r="I29" s="238" t="n"/>
    </row>
    <row r="30" ht="24.95" customHeight="1">
      <c r="A30" s="10" t="inlineStr">
        <is>
          <t>PLANT &amp; EQUIPMENT</t>
        </is>
      </c>
      <c r="B30" s="1" t="n"/>
      <c r="C30" s="1" t="n"/>
      <c r="D30" s="1" t="n"/>
      <c r="E30" s="1" t="n"/>
      <c r="F30" s="1" t="n"/>
      <c r="G30" s="1" t="n"/>
      <c r="H30" s="1" t="n"/>
      <c r="I30" s="2" t="n"/>
    </row>
    <row r="31" ht="24" customHeight="1">
      <c r="A31" s="183" t="inlineStr">
        <is>
          <t>Plant</t>
        </is>
      </c>
      <c r="B31" s="184" t="inlineStr">
        <is>
          <t>ID</t>
        </is>
      </c>
      <c r="C31" s="184" t="inlineStr">
        <is>
          <t>Hours</t>
        </is>
      </c>
      <c r="D31" s="184" t="inlineStr">
        <is>
          <t xml:space="preserve"> Vehicles</t>
        </is>
      </c>
      <c r="E31" s="184" t="inlineStr">
        <is>
          <t>ID</t>
        </is>
      </c>
      <c r="F31" s="184" t="inlineStr">
        <is>
          <t>QTY</t>
        </is>
      </c>
      <c r="G31" s="23" t="inlineStr">
        <is>
          <t>Site Facilities</t>
        </is>
      </c>
      <c r="H31" s="23" t="inlineStr">
        <is>
          <t>ID</t>
        </is>
      </c>
      <c r="I31" s="24" t="inlineStr">
        <is>
          <t>Qty</t>
        </is>
      </c>
    </row>
    <row r="32" ht="23.1" customHeight="1">
      <c r="A32" s="25" t="inlineStr">
        <is>
          <t>Komatsu WA320</t>
        </is>
      </c>
      <c r="B32" s="26" t="inlineStr">
        <is>
          <t>FWL18</t>
        </is>
      </c>
      <c r="C32" s="26" t="n">
        <v>5</v>
      </c>
      <c r="D32" s="27" t="inlineStr">
        <is>
          <t>Hilux</t>
        </is>
      </c>
      <c r="E32" s="27" t="inlineStr">
        <is>
          <t>DLV90</t>
        </is>
      </c>
      <c r="F32" s="27" t="n">
        <v>1</v>
      </c>
      <c r="G32" s="27" t="inlineStr">
        <is>
          <t>Office 40ft</t>
        </is>
      </c>
      <c r="H32" s="27" t="n">
        <v>9255540</v>
      </c>
      <c r="I32" s="28" t="n">
        <v>1</v>
      </c>
    </row>
    <row r="33" ht="23.1" customHeight="1">
      <c r="A33" s="25" t="inlineStr">
        <is>
          <t>Wacker Neuson DPU</t>
        </is>
      </c>
      <c r="B33" s="26" t="inlineStr">
        <is>
          <t>DPC15</t>
        </is>
      </c>
      <c r="C33" s="26" t="n"/>
      <c r="D33" s="27" t="inlineStr">
        <is>
          <t>6 Wheel Tipper</t>
        </is>
      </c>
      <c r="E33" s="27" t="inlineStr">
        <is>
          <t>AMG04</t>
        </is>
      </c>
      <c r="F33" s="27" t="n"/>
      <c r="G33" s="27" t="inlineStr">
        <is>
          <t>Sea Container 20ft</t>
        </is>
      </c>
      <c r="H33" s="26" t="n">
        <v>951200</v>
      </c>
      <c r="I33" s="28" t="n">
        <v>1</v>
      </c>
    </row>
    <row r="34" ht="23.1" customHeight="1">
      <c r="A34" s="29" t="inlineStr">
        <is>
          <t>Positrak</t>
        </is>
      </c>
      <c r="B34" s="27" t="inlineStr">
        <is>
          <t>AMG 025</t>
        </is>
      </c>
      <c r="C34" s="26" t="n">
        <v>10</v>
      </c>
      <c r="D34" s="27" t="n"/>
      <c r="E34" s="26" t="n"/>
      <c r="F34" s="27" t="n"/>
      <c r="G34" s="27" t="inlineStr">
        <is>
          <t>Site Sentry Tower</t>
        </is>
      </c>
      <c r="H34" s="27" t="n"/>
      <c r="I34" s="28" t="n">
        <v>2</v>
      </c>
    </row>
    <row r="35" ht="23.1" customHeight="1">
      <c r="A35" s="29" t="inlineStr">
        <is>
          <t>Watercart</t>
        </is>
      </c>
      <c r="B35" s="27" t="inlineStr">
        <is>
          <t>WC04</t>
        </is>
      </c>
      <c r="C35" s="26" t="n">
        <v>5</v>
      </c>
      <c r="D35" s="27" t="n"/>
      <c r="E35" s="27" t="n"/>
      <c r="F35" s="27" t="n"/>
      <c r="G35" s="27" t="inlineStr">
        <is>
          <t>Skip Bin</t>
        </is>
      </c>
      <c r="H35" s="27" t="n"/>
      <c r="I35" s="28" t="n">
        <v>1</v>
      </c>
    </row>
    <row r="36" ht="23.1" customHeight="1">
      <c r="A36" s="29" t="inlineStr">
        <is>
          <t>8T Excavator</t>
        </is>
      </c>
      <c r="B36" s="30" t="inlineStr">
        <is>
          <t>AMG 014</t>
        </is>
      </c>
      <c r="C36" s="26" t="n">
        <v>10</v>
      </c>
      <c r="D36" s="27" t="n"/>
      <c r="E36" s="27" t="n"/>
      <c r="F36" s="27" t="n"/>
      <c r="G36" s="27" t="inlineStr">
        <is>
          <t>Hydrocarbon Bund</t>
        </is>
      </c>
      <c r="H36" s="27" t="n"/>
      <c r="I36" s="28" t="n">
        <v>1</v>
      </c>
    </row>
    <row r="37" ht="23.1" customHeight="1">
      <c r="A37" s="27" t="inlineStr">
        <is>
          <t>6 Wheel Tipper</t>
        </is>
      </c>
      <c r="B37" s="27" t="inlineStr">
        <is>
          <t>AMG 008</t>
        </is>
      </c>
      <c r="C37" s="27" t="n"/>
      <c r="D37" s="27" t="n"/>
      <c r="E37" s="27" t="n"/>
      <c r="F37" s="27" t="n"/>
      <c r="G37" s="27" t="inlineStr">
        <is>
          <t>Temp Fence</t>
        </is>
      </c>
      <c r="H37" s="26" t="n"/>
      <c r="I37" s="28" t="n">
        <v>1</v>
      </c>
    </row>
    <row r="38" ht="24" customHeight="1">
      <c r="A38" s="29" t="inlineStr">
        <is>
          <t>Padfoot/ Smooth Drum Roller</t>
        </is>
      </c>
      <c r="B38" s="27" t="inlineStr">
        <is>
          <t>RR 03</t>
        </is>
      </c>
      <c r="C38" s="26" t="n"/>
      <c r="D38" s="27" t="n"/>
      <c r="E38" s="27" t="n"/>
      <c r="F38" s="27" t="n"/>
      <c r="G38" s="31" t="n"/>
      <c r="H38" s="31" t="n"/>
      <c r="I38" s="32" t="n"/>
    </row>
    <row r="39" ht="24" customHeight="1">
      <c r="A39" s="29" t="inlineStr">
        <is>
          <t>Positrak SSL</t>
        </is>
      </c>
      <c r="B39" s="27" t="inlineStr">
        <is>
          <t>SSL08</t>
        </is>
      </c>
      <c r="C39" s="26" t="n">
        <v>10</v>
      </c>
      <c r="D39" s="27" t="n"/>
      <c r="E39" s="27" t="n"/>
      <c r="F39" s="27" t="n"/>
      <c r="G39" s="31" t="n"/>
      <c r="H39" s="31" t="n"/>
      <c r="I39" s="32" t="n"/>
    </row>
    <row r="40" ht="23.1" customHeight="1">
      <c r="A40" s="29" t="inlineStr">
        <is>
          <t>Grader</t>
        </is>
      </c>
      <c r="B40" s="27" t="inlineStr">
        <is>
          <t>SLS01</t>
        </is>
      </c>
      <c r="C40" s="26" t="n"/>
      <c r="D40" s="27" t="n"/>
      <c r="E40" s="27" t="n"/>
      <c r="F40" s="27" t="n"/>
      <c r="G40" s="27" t="n"/>
      <c r="H40" s="26" t="n"/>
      <c r="I40" s="28" t="n"/>
    </row>
    <row r="41" ht="23.1" customHeight="1">
      <c r="A41" s="29" t="inlineStr">
        <is>
          <t>5t Excavator</t>
        </is>
      </c>
      <c r="B41" s="27" t="inlineStr">
        <is>
          <t>AMG 007</t>
        </is>
      </c>
      <c r="C41" s="26" t="n">
        <v>10</v>
      </c>
      <c r="D41" s="27" t="n"/>
      <c r="E41" s="27" t="n"/>
      <c r="F41" s="27" t="n"/>
      <c r="G41" s="27" t="n"/>
      <c r="H41" s="26" t="n"/>
      <c r="I41" s="28" t="n"/>
    </row>
    <row r="42" ht="23.1" customHeight="1">
      <c r="A42" s="29" t="inlineStr">
        <is>
          <t>1.5 Excavator</t>
        </is>
      </c>
      <c r="B42" s="27" t="inlineStr">
        <is>
          <t>AMG 009</t>
        </is>
      </c>
      <c r="C42" s="26" t="n">
        <v>10</v>
      </c>
      <c r="D42" s="27" t="n"/>
      <c r="E42" s="27" t="n"/>
      <c r="F42" s="27" t="n"/>
      <c r="G42" s="27" t="n"/>
      <c r="H42" s="26" t="n"/>
      <c r="I42" s="28" t="n"/>
    </row>
    <row r="43" ht="24" customHeight="1">
      <c r="A43" s="29" t="n"/>
      <c r="B43" s="27" t="n"/>
      <c r="C43" s="26" t="n"/>
      <c r="D43" s="31" t="n"/>
      <c r="E43" s="31" t="n"/>
      <c r="F43" s="31" t="n"/>
      <c r="G43" s="31" t="n"/>
      <c r="H43" s="31" t="n"/>
      <c r="I43" s="32" t="n"/>
    </row>
    <row r="44" ht="18" customHeight="1">
      <c r="A44" s="33" t="n">
        <v>0</v>
      </c>
      <c r="B44" s="186" t="inlineStr">
        <is>
          <t xml:space="preserve">Repairs Required </t>
        </is>
      </c>
      <c r="C44" s="276" t="n"/>
      <c r="D44" s="233" t="inlineStr">
        <is>
          <t>N/A</t>
        </is>
      </c>
      <c r="E44" s="275" t="n"/>
      <c r="F44" s="275" t="n"/>
      <c r="G44" s="275" t="n"/>
      <c r="H44" s="275" t="n"/>
      <c r="I44" s="277" t="n"/>
    </row>
    <row r="45" ht="18" customHeight="1">
      <c r="A45" s="34" t="n">
        <v>0</v>
      </c>
      <c r="B45" s="186" t="inlineStr">
        <is>
          <t>Scheduled Service</t>
        </is>
      </c>
      <c r="C45" s="276" t="n"/>
      <c r="D45" s="233" t="inlineStr">
        <is>
          <t>N/A</t>
        </is>
      </c>
      <c r="E45" s="275" t="n"/>
      <c r="F45" s="275" t="n"/>
      <c r="G45" s="275" t="n"/>
      <c r="H45" s="275" t="n"/>
      <c r="I45" s="277" t="n"/>
    </row>
    <row r="46" ht="18" customHeight="1">
      <c r="A46" s="35" t="n">
        <v>0</v>
      </c>
      <c r="B46" s="186" t="inlineStr">
        <is>
          <t>Repairs required but operable</t>
        </is>
      </c>
      <c r="C46" s="276" t="n"/>
      <c r="D46" s="233" t="inlineStr">
        <is>
          <t>N/A</t>
        </is>
      </c>
      <c r="E46" s="275" t="n"/>
      <c r="F46" s="275" t="n"/>
      <c r="G46" s="275" t="n"/>
      <c r="H46" s="275" t="n"/>
      <c r="I46" s="277" t="n"/>
    </row>
    <row r="47" ht="23.1" customHeight="1">
      <c r="A47" s="239" t="inlineStr">
        <is>
          <t xml:space="preserve">Total Plant and Equipment Hours: </t>
        </is>
      </c>
      <c r="B47" s="276" t="n"/>
      <c r="C47" s="195">
        <f>SUM(C32:C43)</f>
        <v/>
      </c>
      <c r="D47" s="185" t="n"/>
      <c r="E47" s="275" t="n"/>
      <c r="F47" s="275" t="n"/>
      <c r="G47" s="275" t="n"/>
      <c r="H47" s="275" t="n"/>
      <c r="I47" s="277" t="n"/>
    </row>
    <row r="48" ht="24.95" customHeight="1">
      <c r="A48" s="230" t="inlineStr">
        <is>
          <t>DELAYS-OPPORTUNITY</t>
        </is>
      </c>
      <c r="B48" s="275" t="n"/>
      <c r="C48" s="275" t="n"/>
      <c r="D48" s="275" t="n"/>
      <c r="E48" s="275" t="n"/>
      <c r="F48" s="275" t="n"/>
      <c r="G48" s="275" t="n"/>
      <c r="H48" s="275" t="n"/>
      <c r="I48" s="277" t="n"/>
    </row>
    <row r="49" ht="20.1" customHeight="1">
      <c r="A49" s="5" t="n"/>
      <c r="B49" s="6" t="n"/>
      <c r="C49" s="6" t="n"/>
      <c r="D49" s="6" t="n"/>
      <c r="E49" s="6" t="n"/>
      <c r="F49" s="6" t="n"/>
      <c r="G49" s="6" t="n"/>
      <c r="H49" s="6" t="n"/>
      <c r="I49" s="7" t="n"/>
    </row>
    <row r="50" ht="15" customHeight="1">
      <c r="A50" s="244" t="inlineStr">
        <is>
          <t>Awaiting Detail on Centrelink Carpark
Awaiting Crossing Details for Forrest Street
Awaiting Direction on Service Clash Forrest Street</t>
        </is>
      </c>
      <c r="B50" s="278" t="n"/>
      <c r="C50" s="278" t="n"/>
      <c r="D50" s="278" t="n"/>
      <c r="E50" s="278" t="n"/>
      <c r="F50" s="278" t="n"/>
      <c r="G50" s="278" t="n"/>
      <c r="H50" s="278" t="n"/>
      <c r="I50" s="279" t="n"/>
    </row>
    <row r="51" ht="14.45" customHeight="1">
      <c r="A51" s="270" t="n"/>
      <c r="I51" s="271" t="n"/>
    </row>
    <row r="52" ht="14.45" customHeight="1">
      <c r="A52" s="270" t="n"/>
      <c r="I52" s="271" t="n"/>
    </row>
    <row r="53" ht="13.5" customHeight="1">
      <c r="A53" s="280" t="n"/>
      <c r="B53" s="281" t="n"/>
      <c r="C53" s="281" t="n"/>
      <c r="D53" s="281" t="n"/>
      <c r="E53" s="281" t="n"/>
      <c r="F53" s="281" t="n"/>
      <c r="G53" s="281" t="n"/>
      <c r="H53" s="281" t="n"/>
      <c r="I53" s="282" t="n"/>
    </row>
    <row r="54" ht="24.95" customHeight="1">
      <c r="A54" s="236" t="inlineStr">
        <is>
          <t>HSEQ MESSAGES</t>
        </is>
      </c>
      <c r="B54" s="283" t="n"/>
      <c r="C54" s="283" t="n"/>
      <c r="D54" s="283" t="n"/>
      <c r="E54" s="283" t="n"/>
      <c r="F54" s="283" t="n"/>
      <c r="G54" s="283" t="n"/>
      <c r="H54" s="283" t="n"/>
      <c r="I54" s="284" t="n"/>
    </row>
    <row r="55" ht="18" customHeight="1">
      <c r="A55" s="18" t="inlineStr">
        <is>
          <t>TCD - Monthly Safety Focus:</t>
        </is>
      </c>
      <c r="B55" s="211" t="inlineStr">
        <is>
          <t>Return to Work</t>
        </is>
      </c>
      <c r="C55" s="275" t="n"/>
      <c r="D55" s="275" t="n"/>
      <c r="E55" s="275" t="n"/>
      <c r="F55" s="275" t="n"/>
      <c r="G55" s="275" t="n"/>
      <c r="H55" s="275" t="n"/>
      <c r="I55" s="276" t="n"/>
    </row>
    <row r="56" ht="24" customHeight="1">
      <c r="A56" s="18" t="inlineStr">
        <is>
          <t>TCD - Daily Safety Focus:</t>
        </is>
      </c>
      <c r="B56" s="212" t="inlineStr">
        <is>
          <t>Simops</t>
        </is>
      </c>
      <c r="C56" s="275" t="n"/>
      <c r="D56" s="275" t="n"/>
      <c r="E56" s="275" t="n"/>
      <c r="F56" s="275" t="n"/>
      <c r="G56" s="275" t="n"/>
      <c r="H56" s="275" t="n"/>
      <c r="I56" s="277" t="n"/>
    </row>
    <row r="57" ht="18" customHeight="1">
      <c r="A57" s="19" t="inlineStr">
        <is>
          <t xml:space="preserve">Hazards Reported: </t>
        </is>
      </c>
      <c r="B57" s="20" t="inlineStr">
        <is>
          <t>Nil</t>
        </is>
      </c>
      <c r="C57" s="212" t="n"/>
      <c r="D57" s="275" t="n"/>
      <c r="E57" s="275" t="n"/>
      <c r="F57" s="275" t="n"/>
      <c r="G57" s="275" t="n"/>
      <c r="H57" s="275" t="n"/>
      <c r="I57" s="277" t="n"/>
    </row>
    <row r="58" ht="18" customHeight="1">
      <c r="A58" s="19" t="inlineStr">
        <is>
          <t>Incident Free Days</t>
        </is>
      </c>
      <c r="B58" s="20" t="n">
        <v>0</v>
      </c>
      <c r="C58" s="211" t="n"/>
      <c r="D58" s="275" t="n"/>
      <c r="E58" s="275" t="n"/>
      <c r="F58" s="275" t="n"/>
      <c r="G58" s="275" t="n"/>
      <c r="H58" s="275" t="n"/>
      <c r="I58" s="276" t="n"/>
    </row>
    <row r="59" ht="18" customHeight="1">
      <c r="A59" s="21" t="inlineStr">
        <is>
          <t>Other Notes</t>
        </is>
      </c>
      <c r="B59" s="241" t="n"/>
      <c r="C59" s="278" t="n"/>
      <c r="D59" s="278" t="n"/>
      <c r="E59" s="278" t="n"/>
      <c r="F59" s="278" t="n"/>
      <c r="G59" s="278" t="n"/>
      <c r="H59" s="278" t="n"/>
      <c r="I59" s="279" t="n"/>
    </row>
    <row r="60" ht="20.25" customHeight="1">
      <c r="A60" s="230" t="inlineStr">
        <is>
          <t xml:space="preserve">INCIDENTS &amp; REPORTS </t>
        </is>
      </c>
      <c r="B60" s="275" t="n"/>
      <c r="C60" s="275" t="n"/>
      <c r="D60" s="275" t="n"/>
      <c r="E60" s="275" t="n"/>
      <c r="F60" s="275" t="n"/>
      <c r="G60" s="275" t="n"/>
      <c r="H60" s="275" t="n"/>
      <c r="I60" s="277" t="n"/>
    </row>
    <row r="61" ht="24.95" customHeight="1">
      <c r="A61" s="11" t="n"/>
      <c r="B61" s="184" t="inlineStr">
        <is>
          <t>QTY</t>
        </is>
      </c>
      <c r="C61" s="238" t="inlineStr">
        <is>
          <t>Comments</t>
        </is>
      </c>
      <c r="D61" s="275" t="n"/>
      <c r="E61" s="275" t="n"/>
      <c r="F61" s="275" t="n"/>
      <c r="G61" s="275" t="n"/>
      <c r="H61" s="275" t="n"/>
      <c r="I61" s="277" t="n"/>
    </row>
    <row r="62" ht="24.95" customHeight="1">
      <c r="A62" s="13" t="inlineStr">
        <is>
          <t>INCIDENT</t>
        </is>
      </c>
      <c r="B62" s="184" t="n">
        <v>0</v>
      </c>
      <c r="C62" s="233" t="inlineStr">
        <is>
          <t>NA</t>
        </is>
      </c>
      <c r="D62" s="275" t="n"/>
      <c r="E62" s="275" t="n"/>
      <c r="F62" s="275" t="n"/>
      <c r="G62" s="275" t="n"/>
      <c r="H62" s="275" t="n"/>
      <c r="I62" s="277" t="n"/>
    </row>
    <row r="63" ht="24.95" customHeight="1">
      <c r="A63" s="14" t="inlineStr">
        <is>
          <t>IR</t>
        </is>
      </c>
      <c r="B63" s="15" t="n">
        <v>0</v>
      </c>
      <c r="C63" s="234" t="inlineStr">
        <is>
          <t>NA</t>
        </is>
      </c>
      <c r="D63" s="278" t="n"/>
      <c r="E63" s="278" t="n"/>
      <c r="F63" s="278" t="n"/>
      <c r="G63" s="278" t="n"/>
      <c r="H63" s="278" t="n"/>
      <c r="I63" s="279" t="n"/>
    </row>
    <row r="64" ht="24.95" customHeight="1">
      <c r="A64" s="16" t="inlineStr">
        <is>
          <t>NCR</t>
        </is>
      </c>
      <c r="B64" s="17" t="n">
        <v>0</v>
      </c>
      <c r="C64" s="235" t="inlineStr">
        <is>
          <t>NA</t>
        </is>
      </c>
      <c r="D64" s="285" t="n"/>
      <c r="E64" s="285" t="n"/>
      <c r="F64" s="285" t="n"/>
      <c r="G64" s="285" t="n"/>
      <c r="H64" s="285" t="n"/>
      <c r="I64" s="286" t="n"/>
    </row>
    <row r="65" ht="20.25" customHeight="1">
      <c r="A65" s="236" t="inlineStr">
        <is>
          <t>COMMUNICATIONS</t>
        </is>
      </c>
      <c r="B65" s="283" t="n"/>
      <c r="C65" s="283" t="n"/>
      <c r="D65" s="283" t="n"/>
      <c r="E65" s="283" t="n"/>
      <c r="F65" s="283" t="n"/>
      <c r="G65" s="283" t="n"/>
      <c r="H65" s="283" t="n"/>
      <c r="I65" s="284" t="n"/>
    </row>
    <row r="66" ht="24.95" customHeight="1">
      <c r="A66" s="237" t="inlineStr">
        <is>
          <t>TGS MB1119-05 Scheme D impletmented</t>
        </is>
      </c>
      <c r="B66" s="275" t="n"/>
      <c r="C66" s="275" t="n"/>
      <c r="D66" s="275" t="n"/>
      <c r="E66" s="275" t="n"/>
      <c r="F66" s="275" t="n"/>
      <c r="G66" s="275" t="n"/>
      <c r="H66" s="275" t="n"/>
      <c r="I66" s="277" t="n"/>
    </row>
    <row r="67" ht="24.95" customHeight="1">
      <c r="A67" s="237" t="n"/>
      <c r="B67" s="275" t="n"/>
      <c r="C67" s="275" t="n"/>
      <c r="D67" s="275" t="n"/>
      <c r="E67" s="275" t="n"/>
      <c r="F67" s="275" t="n"/>
      <c r="G67" s="275" t="n"/>
      <c r="H67" s="275" t="n"/>
      <c r="I67" s="277" t="n"/>
    </row>
    <row r="68" ht="24.95" customHeight="1">
      <c r="A68" s="230" t="inlineStr">
        <is>
          <t>PRODUCTION (CONSTRUCTION STATUS &amp; PROGRESS)</t>
        </is>
      </c>
      <c r="B68" s="275" t="n"/>
      <c r="C68" s="275" t="n"/>
      <c r="D68" s="275" t="n"/>
      <c r="E68" s="275" t="n"/>
      <c r="F68" s="275" t="n"/>
      <c r="G68" s="275" t="n"/>
      <c r="H68" s="275" t="n"/>
      <c r="I68" s="277" t="n"/>
    </row>
    <row r="69" ht="24.95" customHeight="1">
      <c r="A69" s="66" t="inlineStr">
        <is>
          <t>.Underground services - Gas main install and welding</t>
        </is>
      </c>
      <c r="B69" s="62" t="n"/>
      <c r="C69" s="79" t="inlineStr">
        <is>
          <t>.Kiosk/Transformer install and switching</t>
        </is>
      </c>
      <c r="D69" s="79" t="n"/>
      <c r="E69" s="62" t="n"/>
      <c r="F69" s="62" t="n"/>
      <c r="G69" s="62" t="n"/>
      <c r="H69" s="62" t="n"/>
      <c r="I69" s="63" t="n"/>
    </row>
    <row r="70" ht="24.95" customHeight="1">
      <c r="A70" s="66" t="inlineStr">
        <is>
          <t>.Final-trimming and rolling off@Chambers</t>
        </is>
      </c>
      <c r="B70" s="62" t="n"/>
      <c r="C70" s="79" t="inlineStr">
        <is>
          <t>.Sub-base placement on centrelink ramp</t>
        </is>
      </c>
      <c r="D70" s="79" t="n"/>
      <c r="E70" s="62" t="n"/>
      <c r="F70" s="62" t="n"/>
      <c r="G70" s="62" t="n"/>
      <c r="H70" s="62" t="n"/>
      <c r="I70" s="63" t="n"/>
    </row>
    <row r="71" ht="24.95" customHeight="1">
      <c r="A71" s="66" t="inlineStr">
        <is>
          <t xml:space="preserve">.Importing of Sub-base material </t>
        </is>
      </c>
      <c r="B71" s="62" t="n"/>
      <c r="C71" s="79" t="inlineStr">
        <is>
          <t>.Building verges up@Lot 118</t>
        </is>
      </c>
      <c r="D71" s="62" t="n"/>
      <c r="E71" s="62" t="n"/>
      <c r="F71" s="62" t="n"/>
      <c r="G71" s="62" t="n"/>
      <c r="H71" s="62" t="n"/>
      <c r="I71" s="63" t="n"/>
    </row>
    <row r="72" ht="24.95" customHeight="1">
      <c r="A72" s="66" t="inlineStr">
        <is>
          <t>.Balancing of Sub-base material@Bayly to Forrest street</t>
        </is>
      </c>
      <c r="B72" s="62" t="n"/>
      <c r="C72" s="80" t="inlineStr">
        <is>
          <t>.Soil tested Sub-base 125mm test</t>
        </is>
      </c>
      <c r="D72" s="62" t="n"/>
      <c r="E72" s="62" t="n"/>
      <c r="F72" s="62" t="n"/>
      <c r="G72" s="62" t="n"/>
      <c r="H72" s="62" t="n"/>
      <c r="I72" s="63" t="n"/>
    </row>
    <row r="73" ht="26.1" customHeight="1">
      <c r="A73" s="231" t="n"/>
      <c r="B73" s="278" t="n"/>
      <c r="C73" s="278" t="n"/>
      <c r="D73" s="278" t="n"/>
      <c r="E73" s="278" t="n"/>
      <c r="F73" s="278" t="n"/>
      <c r="G73" s="278" t="n"/>
      <c r="H73" s="278" t="n"/>
      <c r="I73" s="279" t="n"/>
    </row>
    <row r="74" ht="23.1" customHeight="1">
      <c r="A74" s="70" t="n"/>
      <c r="B74" s="71" t="n"/>
      <c r="C74" s="71" t="n"/>
      <c r="D74" s="71" t="n"/>
      <c r="E74" s="71" t="n"/>
      <c r="F74" s="71" t="n"/>
      <c r="G74" s="71" t="n"/>
      <c r="H74" s="71" t="n"/>
      <c r="I74" s="72" t="n"/>
    </row>
    <row r="75" ht="23.1" customHeight="1">
      <c r="A75" s="73" t="n"/>
      <c r="B75" s="74" t="n"/>
      <c r="C75" s="74" t="n"/>
      <c r="D75" s="74" t="n"/>
      <c r="E75" s="74" t="n"/>
      <c r="F75" s="74" t="n"/>
      <c r="G75" s="74" t="n"/>
      <c r="H75" s="74" t="n"/>
      <c r="I75" s="75" t="n"/>
    </row>
    <row r="76" ht="15" customHeight="1">
      <c r="A76" s="73" t="n"/>
      <c r="B76" s="74" t="n"/>
      <c r="C76" s="74" t="n"/>
      <c r="D76" s="74" t="n"/>
      <c r="E76" s="74" t="n"/>
      <c r="F76" s="74" t="n"/>
      <c r="G76" s="74" t="n"/>
      <c r="H76" s="74" t="n"/>
      <c r="I76" s="75" t="n"/>
    </row>
    <row r="77" ht="15" customHeight="1">
      <c r="A77" s="73" t="n"/>
      <c r="B77" s="74" t="n"/>
      <c r="C77" s="74" t="n"/>
      <c r="D77" s="74" t="n"/>
      <c r="E77" s="74" t="n"/>
      <c r="F77" s="74" t="n"/>
      <c r="G77" s="74" t="n"/>
      <c r="H77" s="74" t="n"/>
      <c r="I77" s="75" t="n"/>
    </row>
    <row r="78" ht="15" customHeight="1">
      <c r="A78" s="73" t="n"/>
      <c r="B78" s="74" t="n"/>
      <c r="C78" s="74" t="n"/>
      <c r="D78" s="74" t="n"/>
      <c r="E78" s="74" t="n"/>
      <c r="F78" s="74" t="n"/>
      <c r="G78" s="74" t="n"/>
      <c r="H78" s="74" t="n"/>
      <c r="I78" s="75" t="n"/>
    </row>
    <row r="79" ht="15" customHeight="1">
      <c r="A79" s="73" t="n"/>
      <c r="B79" s="74" t="n"/>
      <c r="C79" s="74" t="n"/>
      <c r="D79" s="74" t="n"/>
      <c r="E79" s="74" t="n"/>
      <c r="F79" s="74" t="n"/>
      <c r="G79" s="74" t="n"/>
      <c r="H79" s="74" t="n"/>
      <c r="I79" s="75" t="n"/>
    </row>
    <row r="80" ht="15" customHeight="1">
      <c r="A80" s="73" t="n"/>
      <c r="B80" s="74" t="n"/>
      <c r="C80" s="74" t="n"/>
      <c r="D80" s="74" t="n"/>
      <c r="E80" s="74" t="n"/>
      <c r="F80" s="74" t="n"/>
      <c r="G80" s="74" t="n"/>
      <c r="H80" s="74" t="n"/>
      <c r="I80" s="75" t="n"/>
    </row>
    <row r="81" ht="15" customHeight="1">
      <c r="A81" s="73" t="n"/>
      <c r="B81" s="74" t="n"/>
      <c r="C81" s="74" t="n"/>
      <c r="D81" s="74" t="n"/>
      <c r="E81" s="74" t="n"/>
      <c r="F81" s="74" t="n"/>
      <c r="G81" s="74" t="n"/>
      <c r="H81" s="74" t="n"/>
      <c r="I81" s="75" t="n"/>
    </row>
    <row r="82" ht="15" customHeight="1">
      <c r="A82" s="73" t="n"/>
      <c r="B82" s="74" t="n"/>
      <c r="C82" s="74" t="n"/>
      <c r="D82" s="74" t="n"/>
      <c r="E82" s="74" t="n"/>
      <c r="F82" s="74" t="n"/>
      <c r="G82" s="74" t="n"/>
      <c r="H82" s="74" t="n"/>
      <c r="I82" s="75" t="n"/>
    </row>
    <row r="83" ht="15" customHeight="1">
      <c r="A83" s="73" t="n"/>
      <c r="B83" s="74" t="n"/>
      <c r="C83" s="74" t="n"/>
      <c r="D83" s="74" t="n"/>
      <c r="E83" s="74" t="n"/>
      <c r="F83" s="74" t="n"/>
      <c r="G83" s="74" t="n"/>
      <c r="H83" s="74" t="n"/>
      <c r="I83" s="75" t="n"/>
    </row>
    <row r="84" ht="15" customHeight="1">
      <c r="A84" s="73" t="n"/>
      <c r="B84" s="74" t="n"/>
      <c r="C84" s="74" t="n"/>
      <c r="D84" s="74" t="n"/>
      <c r="E84" s="74" t="n"/>
      <c r="F84" s="74" t="n"/>
      <c r="G84" s="74" t="n"/>
      <c r="H84" s="74" t="n"/>
      <c r="I84" s="75" t="n"/>
    </row>
    <row r="85" ht="15" customHeight="1">
      <c r="A85" s="73" t="n"/>
      <c r="B85" s="74" t="n"/>
      <c r="C85" s="74" t="n"/>
      <c r="D85" s="74" t="n"/>
      <c r="E85" s="74" t="n"/>
      <c r="F85" s="74" t="n"/>
      <c r="G85" s="74" t="n"/>
      <c r="H85" s="74" t="n"/>
      <c r="I85" s="75" t="n"/>
    </row>
    <row r="86" ht="15" customHeight="1">
      <c r="A86" s="73" t="n"/>
      <c r="B86" s="74" t="n"/>
      <c r="C86" s="74" t="n"/>
      <c r="D86" s="74" t="n"/>
      <c r="E86" s="74" t="n"/>
      <c r="F86" s="74" t="n"/>
      <c r="G86" s="74" t="n"/>
      <c r="H86" s="74" t="n"/>
      <c r="I86" s="75" t="n"/>
    </row>
    <row r="87" ht="15" customHeight="1">
      <c r="A87" s="73" t="n"/>
      <c r="B87" s="74" t="n"/>
      <c r="C87" s="74" t="n"/>
      <c r="D87" s="74" t="n"/>
      <c r="E87" s="74" t="n"/>
      <c r="F87" s="74" t="n"/>
      <c r="G87" s="74" t="n"/>
      <c r="H87" s="74" t="n"/>
      <c r="I87" s="75" t="n"/>
    </row>
    <row r="88" ht="15" customHeight="1">
      <c r="A88" s="73" t="n"/>
      <c r="B88" s="74" t="n"/>
      <c r="C88" s="74" t="n"/>
      <c r="D88" s="74" t="n"/>
      <c r="E88" s="74" t="n"/>
      <c r="F88" s="74" t="n"/>
      <c r="G88" s="74" t="n"/>
      <c r="H88" s="74" t="n"/>
      <c r="I88" s="75" t="n"/>
    </row>
    <row r="89" ht="15" customHeight="1">
      <c r="A89" s="73" t="n"/>
      <c r="B89" s="74" t="n"/>
      <c r="C89" s="74" t="n"/>
      <c r="D89" s="74" t="n"/>
      <c r="E89" s="74" t="n"/>
      <c r="F89" s="74" t="n"/>
      <c r="G89" s="74" t="n"/>
      <c r="H89" s="74" t="n"/>
      <c r="I89" s="75" t="n"/>
    </row>
    <row r="90" ht="15" customHeight="1">
      <c r="A90" s="73" t="n"/>
      <c r="B90" s="74" t="n"/>
      <c r="C90" s="74" t="n"/>
      <c r="D90" s="74" t="n"/>
      <c r="E90" s="74" t="n"/>
      <c r="F90" s="74" t="n"/>
      <c r="G90" s="74" t="n"/>
      <c r="H90" s="74" t="n"/>
      <c r="I90" s="75" t="n"/>
    </row>
    <row r="91" ht="15" customHeight="1">
      <c r="A91" s="73" t="n"/>
      <c r="B91" s="74" t="n"/>
      <c r="C91" s="74" t="n"/>
      <c r="D91" s="74" t="n"/>
      <c r="E91" s="74" t="n"/>
      <c r="F91" s="74" t="n"/>
      <c r="G91" s="74" t="n"/>
      <c r="H91" s="74" t="n"/>
      <c r="I91" s="75" t="n"/>
    </row>
    <row r="92" ht="15" customHeight="1">
      <c r="A92" s="73" t="n"/>
      <c r="B92" s="74" t="n"/>
      <c r="C92" s="74" t="n"/>
      <c r="D92" s="74" t="n"/>
      <c r="E92" s="74" t="n"/>
      <c r="F92" s="74" t="n"/>
      <c r="G92" s="74" t="n"/>
      <c r="H92" s="74" t="n"/>
      <c r="I92" s="75" t="n"/>
    </row>
    <row r="93" ht="15" customHeight="1">
      <c r="A93" s="73" t="n"/>
      <c r="B93" s="74" t="n"/>
      <c r="C93" s="74" t="n"/>
      <c r="D93" s="74" t="n"/>
      <c r="E93" s="74" t="n"/>
      <c r="F93" s="74" t="n"/>
      <c r="G93" s="74" t="n"/>
      <c r="H93" s="74" t="n"/>
      <c r="I93" s="75" t="n"/>
    </row>
    <row r="94" ht="15" customHeight="1">
      <c r="A94" s="73" t="n"/>
      <c r="B94" s="74" t="n"/>
      <c r="C94" s="74" t="n"/>
      <c r="D94" s="74" t="n"/>
      <c r="E94" s="74" t="n"/>
      <c r="F94" s="74" t="n"/>
      <c r="G94" s="74" t="n"/>
      <c r="H94" s="74" t="n"/>
      <c r="I94" s="75" t="n"/>
    </row>
    <row r="95" ht="15" customHeight="1">
      <c r="A95" s="73" t="n"/>
      <c r="B95" s="74" t="n"/>
      <c r="C95" s="74" t="n"/>
      <c r="D95" s="74" t="n"/>
      <c r="E95" s="74" t="n"/>
      <c r="F95" s="74" t="n"/>
      <c r="G95" s="74" t="n"/>
      <c r="H95" s="74" t="n"/>
      <c r="I95" s="75" t="n"/>
    </row>
    <row r="96" ht="15" customHeight="1">
      <c r="A96" s="73" t="n"/>
      <c r="B96" s="74" t="n"/>
      <c r="C96" s="74" t="n"/>
      <c r="D96" s="74" t="n"/>
      <c r="E96" s="74" t="n"/>
      <c r="F96" s="74" t="n"/>
      <c r="H96" s="74" t="n"/>
      <c r="I96" s="75" t="n"/>
    </row>
    <row r="97" ht="24.95" customFormat="1" customHeight="1" s="4">
      <c r="A97" s="73" t="n"/>
      <c r="B97" s="74" t="n"/>
      <c r="C97" s="74" t="n"/>
      <c r="D97" s="74" t="n"/>
      <c r="E97" s="74" t="n"/>
      <c r="F97" s="74" t="n"/>
      <c r="G97" s="74" t="n"/>
      <c r="H97" s="74" t="n"/>
      <c r="I97" s="75" t="n"/>
    </row>
    <row r="98" ht="15" customHeight="1">
      <c r="A98" s="73" t="n"/>
      <c r="B98" s="74" t="n"/>
      <c r="C98" s="74" t="n"/>
      <c r="D98" s="74" t="n"/>
      <c r="E98" s="74" t="n"/>
      <c r="F98" s="74" t="n"/>
      <c r="G98" s="74" t="n"/>
      <c r="H98" s="74" t="n"/>
      <c r="I98" s="75" t="n"/>
    </row>
    <row r="99" ht="15" customHeight="1">
      <c r="A99" s="73" t="n"/>
      <c r="B99" s="74" t="n"/>
      <c r="C99" s="74" t="n"/>
      <c r="D99" s="74" t="n"/>
      <c r="E99" s="74" t="n"/>
      <c r="F99" s="74" t="n"/>
      <c r="G99" s="74" t="n"/>
      <c r="H99" s="74" t="n"/>
      <c r="I99" s="75" t="n"/>
    </row>
    <row r="100" ht="15" customHeight="1">
      <c r="A100" s="73" t="n"/>
      <c r="B100" s="74" t="n"/>
      <c r="C100" s="74" t="n"/>
      <c r="D100" s="74" t="n"/>
      <c r="E100" s="74" t="n"/>
      <c r="F100" s="74" t="n"/>
      <c r="G100" s="74" t="n"/>
      <c r="H100" s="74" t="n"/>
      <c r="I100" s="75" t="n"/>
    </row>
    <row r="101" ht="15" customHeight="1">
      <c r="A101" s="73" t="n"/>
      <c r="B101" s="74" t="n"/>
      <c r="C101" s="74" t="n"/>
      <c r="D101" s="74" t="n"/>
      <c r="E101" s="74" t="n"/>
      <c r="F101" s="74" t="n"/>
      <c r="G101" s="74" t="n"/>
      <c r="H101" s="74" t="n"/>
      <c r="I101" s="75" t="n"/>
    </row>
    <row r="102" ht="15" customHeight="1">
      <c r="A102" s="73" t="n"/>
      <c r="B102" s="74" t="n"/>
      <c r="C102" s="74" t="n"/>
      <c r="D102" s="74" t="n"/>
      <c r="E102" s="74" t="n"/>
      <c r="F102" s="74" t="n"/>
      <c r="G102" s="74" t="n"/>
      <c r="H102" s="74" t="n"/>
      <c r="I102" s="75" t="n"/>
    </row>
    <row r="103" ht="15" customHeight="1">
      <c r="A103" s="73" t="n"/>
      <c r="B103" s="74" t="n"/>
      <c r="C103" s="74" t="n"/>
      <c r="D103" s="74" t="n"/>
      <c r="E103" s="74" t="n"/>
      <c r="F103" s="74" t="n"/>
      <c r="G103" s="74" t="n"/>
      <c r="H103" s="74" t="n"/>
      <c r="I103" s="75" t="n"/>
    </row>
    <row r="104" ht="15" customHeight="1">
      <c r="A104" s="73" t="n"/>
      <c r="B104" s="74" t="n"/>
      <c r="C104" s="74" t="n"/>
      <c r="D104" s="74" t="n"/>
      <c r="E104" s="74" t="n"/>
      <c r="F104" s="74" t="n"/>
      <c r="G104" s="74" t="n"/>
      <c r="H104" s="74" t="n"/>
      <c r="I104" s="75" t="n"/>
    </row>
    <row r="105" ht="15" customHeight="1">
      <c r="A105" s="73" t="n"/>
      <c r="B105" s="74" t="n"/>
      <c r="C105" s="74" t="n"/>
      <c r="D105" s="74" t="n"/>
      <c r="E105" s="74" t="n"/>
      <c r="F105" s="74" t="n"/>
      <c r="G105" s="74" t="n"/>
      <c r="H105" s="74" t="n"/>
      <c r="I105" s="75" t="n"/>
    </row>
    <row r="106" ht="15" customHeight="1">
      <c r="A106" s="73" t="n"/>
      <c r="B106" s="74" t="n"/>
      <c r="C106" s="74" t="n"/>
      <c r="D106" s="74" t="n"/>
      <c r="E106" s="74" t="n"/>
      <c r="F106" s="74" t="n"/>
      <c r="G106" s="74" t="n"/>
      <c r="H106" s="74" t="n"/>
      <c r="I106" s="75" t="n"/>
    </row>
    <row r="107" ht="15" customHeight="1">
      <c r="A107" s="73" t="n"/>
      <c r="B107" s="74" t="n"/>
      <c r="C107" s="74" t="n"/>
      <c r="D107" s="74" t="n"/>
      <c r="E107" s="74" t="n"/>
      <c r="F107" s="74" t="n"/>
      <c r="G107" s="74" t="n"/>
      <c r="H107" s="74" t="n"/>
      <c r="I107" s="75" t="n"/>
    </row>
    <row r="108" ht="15" customHeight="1">
      <c r="A108" s="73" t="n"/>
      <c r="B108" s="74" t="n"/>
      <c r="C108" s="74" t="n"/>
      <c r="D108" s="74" t="n"/>
      <c r="E108" s="74" t="n"/>
      <c r="F108" s="74" t="n"/>
      <c r="G108" s="74" t="n"/>
      <c r="H108" s="74" t="n"/>
      <c r="I108" s="75" t="n"/>
    </row>
    <row r="109" ht="15" customHeight="1">
      <c r="A109" s="73" t="n"/>
      <c r="B109" s="74" t="n"/>
      <c r="C109" s="74" t="n"/>
      <c r="D109" s="74" t="n"/>
      <c r="E109" s="74" t="n"/>
      <c r="F109" s="74" t="n"/>
      <c r="G109" s="74" t="n"/>
      <c r="H109" s="74" t="n"/>
      <c r="I109" s="75" t="n"/>
    </row>
    <row r="110" ht="15" customHeight="1">
      <c r="A110" s="73" t="n"/>
      <c r="B110" s="74" t="n"/>
      <c r="C110" s="74" t="n"/>
      <c r="D110" s="74" t="n"/>
      <c r="E110" s="74" t="n"/>
      <c r="F110" s="74" t="n"/>
      <c r="G110" s="74" t="n"/>
      <c r="H110" s="74" t="n"/>
      <c r="I110" s="75" t="n"/>
    </row>
    <row r="111" ht="15" customHeight="1">
      <c r="A111" s="73" t="n"/>
      <c r="B111" s="74" t="n"/>
      <c r="C111" s="74" t="n"/>
      <c r="D111" s="74" t="n"/>
      <c r="E111" s="74" t="n"/>
      <c r="F111" s="74" t="n"/>
      <c r="G111" s="74" t="n"/>
      <c r="H111" s="74" t="n"/>
      <c r="I111" s="75" t="n"/>
    </row>
    <row r="112" ht="15" customHeight="1">
      <c r="A112" s="76" t="n"/>
      <c r="B112" s="77" t="n"/>
      <c r="C112" s="77" t="n"/>
      <c r="D112" s="77" t="n"/>
      <c r="E112" s="77" t="n"/>
      <c r="F112" s="77" t="n"/>
      <c r="G112" s="77" t="n"/>
      <c r="H112" s="77" t="n"/>
      <c r="I112" s="78" t="n"/>
    </row>
    <row r="113" ht="15" customHeight="1">
      <c r="A113" s="73" t="n"/>
      <c r="B113" s="74" t="n"/>
      <c r="C113" s="74" t="n"/>
      <c r="D113" s="74" t="n"/>
      <c r="E113" s="74" t="n"/>
      <c r="F113" s="74" t="n"/>
      <c r="G113" s="74" t="n"/>
      <c r="H113" s="74" t="n"/>
      <c r="I113" s="75" t="n"/>
    </row>
    <row r="114" ht="15" customHeight="1">
      <c r="A114" s="73" t="n"/>
      <c r="B114" s="74" t="n"/>
      <c r="C114" s="74" t="n"/>
      <c r="D114" s="74" t="n"/>
      <c r="E114" s="74" t="n"/>
      <c r="F114" s="74" t="n"/>
      <c r="G114" s="74" t="n"/>
      <c r="H114" s="74" t="n"/>
      <c r="I114" s="75" t="n"/>
    </row>
    <row r="115" ht="15" customHeight="1">
      <c r="A115" s="73" t="n"/>
      <c r="B115" s="74" t="n"/>
      <c r="C115" s="74" t="n"/>
      <c r="D115" s="74" t="n"/>
      <c r="E115" s="74" t="n"/>
      <c r="F115" s="74" t="n"/>
      <c r="G115" s="74" t="n"/>
      <c r="H115" s="74" t="n"/>
      <c r="I115" s="75" t="n"/>
    </row>
    <row r="116" ht="15" customHeight="1">
      <c r="A116" s="73" t="n"/>
      <c r="B116" s="74" t="n"/>
      <c r="C116" s="74" t="n"/>
      <c r="D116" s="74" t="n"/>
      <c r="E116" s="74" t="n"/>
      <c r="F116" s="74" t="n"/>
      <c r="G116" s="74" t="n"/>
      <c r="H116" s="74" t="n"/>
      <c r="I116" s="75" t="n"/>
    </row>
    <row r="117" ht="15" customHeight="1">
      <c r="A117" s="73" t="n"/>
      <c r="B117" s="74" t="n"/>
      <c r="C117" s="74" t="n"/>
      <c r="D117" s="74" t="n"/>
      <c r="E117" s="74" t="n"/>
      <c r="F117" s="74" t="n"/>
      <c r="G117" s="74" t="n"/>
      <c r="H117" s="74" t="n"/>
      <c r="I117" s="75" t="n"/>
    </row>
    <row r="118" ht="15" customHeight="1">
      <c r="A118" s="73" t="n"/>
      <c r="B118" s="74" t="n"/>
      <c r="C118" s="74" t="n"/>
      <c r="D118" s="74" t="n"/>
      <c r="E118" s="74" t="n"/>
      <c r="F118" s="74" t="n"/>
      <c r="G118" s="74" t="n"/>
      <c r="H118" s="74" t="n"/>
      <c r="I118" s="75" t="n"/>
    </row>
    <row r="119" ht="15" customHeight="1">
      <c r="A119" s="73" t="n"/>
      <c r="B119" s="74" t="n"/>
      <c r="C119" s="74" t="n"/>
      <c r="D119" s="74" t="n"/>
      <c r="E119" s="74" t="n"/>
      <c r="F119" s="74" t="n"/>
      <c r="G119" s="74" t="n"/>
      <c r="H119" s="74" t="n"/>
      <c r="I119" s="75" t="n"/>
    </row>
    <row r="120" ht="15" customHeight="1">
      <c r="A120" s="73" t="n"/>
      <c r="B120" s="74" t="n"/>
      <c r="C120" s="74" t="n"/>
      <c r="D120" s="74" t="n"/>
      <c r="E120" s="74" t="n"/>
      <c r="F120" s="74" t="n"/>
      <c r="G120" s="74" t="n"/>
      <c r="H120" s="74" t="n"/>
      <c r="I120" s="75" t="n"/>
    </row>
    <row r="121" ht="24.95" customHeight="1">
      <c r="A121" s="73" t="n"/>
      <c r="B121" s="74" t="n"/>
      <c r="C121" s="74" t="n"/>
      <c r="D121" s="74" t="n"/>
      <c r="E121" s="74" t="n"/>
      <c r="F121" s="74" t="n"/>
      <c r="G121" s="74" t="n"/>
      <c r="H121" s="74" t="n"/>
      <c r="I121" s="75" t="n"/>
    </row>
    <row r="122" ht="15" customHeight="1">
      <c r="A122" s="73" t="n"/>
      <c r="B122" s="74" t="n"/>
      <c r="C122" s="74" t="n"/>
      <c r="D122" s="74" t="n"/>
      <c r="E122" s="74" t="n"/>
      <c r="F122" s="74" t="n"/>
      <c r="G122" s="74" t="n"/>
      <c r="H122" s="74" t="n"/>
      <c r="I122" s="75" t="n"/>
    </row>
    <row r="123" ht="15" customHeight="1">
      <c r="A123" s="73" t="n"/>
      <c r="B123" s="74" t="n"/>
      <c r="C123" s="74" t="n"/>
      <c r="D123" s="74" t="n"/>
      <c r="E123" s="74" t="n"/>
      <c r="F123" s="74" t="n"/>
      <c r="G123" s="74" t="n"/>
      <c r="H123" s="74" t="n"/>
      <c r="I123" s="75" t="n"/>
    </row>
    <row r="124" ht="27.95" customHeight="1">
      <c r="A124" s="73" t="n"/>
      <c r="B124" s="74" t="n"/>
      <c r="C124" s="74" t="n"/>
      <c r="D124" s="74" t="n"/>
      <c r="E124" s="74" t="n"/>
      <c r="F124" s="74" t="n"/>
      <c r="G124" s="74" t="n"/>
      <c r="H124" s="74" t="n"/>
      <c r="I124" s="75" t="n"/>
    </row>
    <row r="125" ht="15" customHeight="1">
      <c r="A125" s="73" t="n"/>
      <c r="B125" s="74" t="n"/>
      <c r="C125" s="74" t="n"/>
      <c r="D125" s="74" t="n"/>
      <c r="E125" s="74" t="n"/>
      <c r="F125" s="74" t="n"/>
      <c r="G125" s="74" t="n"/>
      <c r="H125" s="74" t="n"/>
      <c r="I125" s="75" t="n"/>
    </row>
    <row r="126" ht="15" customHeight="1">
      <c r="A126" s="73" t="n"/>
      <c r="B126" s="74" t="n"/>
      <c r="C126" s="74" t="n"/>
      <c r="D126" s="74" t="n"/>
      <c r="E126" s="74" t="n"/>
      <c r="F126" s="74" t="n"/>
      <c r="G126" s="74" t="n"/>
      <c r="H126" s="74" t="n"/>
      <c r="I126" s="75" t="n"/>
    </row>
    <row r="127" ht="15" customHeight="1">
      <c r="A127" s="73" t="n"/>
      <c r="B127" s="74" t="n"/>
      <c r="C127" s="74" t="n"/>
      <c r="D127" s="74" t="n"/>
      <c r="E127" s="74" t="n"/>
      <c r="F127" s="74" t="n"/>
      <c r="G127" s="74" t="n"/>
      <c r="H127" s="74" t="n"/>
      <c r="I127" s="75" t="n"/>
    </row>
    <row r="128" ht="15" customHeight="1">
      <c r="A128" s="73" t="n"/>
      <c r="B128" s="74" t="n"/>
      <c r="C128" s="74" t="n"/>
      <c r="D128" s="74" t="n"/>
      <c r="E128" s="74" t="n"/>
      <c r="F128" s="74" t="n"/>
      <c r="G128" s="74" t="n"/>
      <c r="H128" s="74" t="n"/>
      <c r="I128" s="75" t="n"/>
    </row>
    <row r="129" ht="15" customHeight="1">
      <c r="A129" s="73" t="n"/>
      <c r="B129" s="74" t="n"/>
      <c r="C129" s="74" t="n"/>
      <c r="D129" s="74" t="n"/>
      <c r="E129" s="74" t="n"/>
      <c r="F129" s="74" t="n"/>
      <c r="G129" s="74" t="n"/>
      <c r="H129" s="74" t="n"/>
      <c r="I129" s="75" t="n"/>
    </row>
    <row r="130" ht="15" customHeight="1">
      <c r="A130" s="73" t="n"/>
      <c r="B130" s="74" t="n"/>
      <c r="C130" s="74" t="n"/>
      <c r="D130" s="74" t="n"/>
      <c r="E130" s="74" t="n"/>
      <c r="F130" s="74" t="n"/>
      <c r="G130" s="74" t="n"/>
      <c r="H130" s="74" t="n"/>
      <c r="I130" s="75" t="n"/>
    </row>
    <row r="131" ht="15" customHeight="1">
      <c r="A131" s="73" t="n"/>
      <c r="B131" s="74" t="n"/>
      <c r="C131" s="74" t="n"/>
      <c r="D131" s="74" t="n"/>
      <c r="E131" s="74" t="n"/>
      <c r="F131" s="74" t="n"/>
      <c r="G131" s="74" t="n"/>
      <c r="H131" s="74" t="n"/>
      <c r="I131" s="75" t="n"/>
    </row>
    <row r="132" ht="15" customHeight="1">
      <c r="A132" s="73" t="n"/>
      <c r="B132" s="74" t="n"/>
      <c r="C132" s="74" t="n"/>
      <c r="D132" s="74" t="n"/>
      <c r="E132" s="74" t="n"/>
      <c r="F132" s="74" t="n"/>
      <c r="G132" s="74" t="n"/>
      <c r="H132" s="74" t="n"/>
      <c r="I132" s="75" t="n"/>
    </row>
    <row r="133" ht="15" customHeight="1">
      <c r="A133" s="73" t="n"/>
      <c r="B133" s="74" t="n"/>
      <c r="C133" s="74" t="n"/>
      <c r="D133" s="74" t="n"/>
      <c r="E133" s="74" t="n"/>
      <c r="F133" s="74" t="n"/>
      <c r="G133" s="74" t="n"/>
      <c r="H133" s="74" t="n"/>
      <c r="I133" s="75" t="n"/>
    </row>
    <row r="134" ht="15" customHeight="1">
      <c r="A134" s="73" t="n"/>
      <c r="B134" s="74" t="n"/>
      <c r="C134" s="74" t="n"/>
      <c r="D134" s="74" t="n"/>
      <c r="E134" s="74" t="n"/>
      <c r="F134" s="74" t="n"/>
      <c r="G134" s="74" t="n"/>
      <c r="H134" s="74" t="n"/>
      <c r="I134" s="75" t="n"/>
    </row>
    <row r="135" ht="15" customHeight="1">
      <c r="A135" s="73" t="n"/>
      <c r="B135" s="74" t="n"/>
      <c r="C135" s="74" t="n"/>
      <c r="D135" s="74" t="n"/>
      <c r="E135" s="74" t="n"/>
      <c r="F135" s="74" t="n"/>
      <c r="G135" s="74" t="n"/>
      <c r="H135" s="74" t="n"/>
      <c r="I135" s="75" t="n"/>
    </row>
    <row r="136" ht="15" customHeight="1">
      <c r="A136" s="73" t="n"/>
      <c r="B136" s="74" t="n"/>
      <c r="C136" s="74" t="n"/>
      <c r="D136" s="74" t="n"/>
      <c r="E136" s="74" t="n"/>
      <c r="F136" s="74" t="n"/>
      <c r="G136" s="74" t="n"/>
      <c r="H136" s="74" t="n"/>
      <c r="I136" s="75" t="n"/>
    </row>
    <row r="137" ht="15" customHeight="1">
      <c r="A137" s="73" t="n"/>
      <c r="B137" s="74" t="n"/>
      <c r="C137" s="74" t="n"/>
      <c r="D137" s="74" t="n"/>
      <c r="E137" s="74" t="n"/>
      <c r="F137" s="74" t="n"/>
      <c r="G137" s="74" t="n"/>
      <c r="H137" s="74" t="n"/>
      <c r="I137" s="75" t="n"/>
      <c r="J137" s="8" t="n"/>
    </row>
    <row r="138" ht="15" customHeight="1">
      <c r="A138" s="73" t="n"/>
      <c r="B138" s="74" t="n"/>
      <c r="C138" s="74" t="n"/>
      <c r="D138" s="74" t="n"/>
      <c r="E138" s="74" t="n"/>
      <c r="F138" s="74" t="n"/>
      <c r="G138" s="74" t="n"/>
      <c r="H138" s="74" t="n"/>
      <c r="I138" s="75" t="n"/>
    </row>
    <row r="139" ht="15" customHeight="1">
      <c r="A139" s="73" t="n"/>
      <c r="B139" s="74" t="n"/>
      <c r="C139" s="74" t="n"/>
      <c r="D139" s="74" t="n"/>
      <c r="E139" s="74" t="n"/>
      <c r="F139" s="74" t="n"/>
      <c r="G139" s="74" t="n"/>
      <c r="H139" s="74" t="n"/>
      <c r="I139" s="75" t="n"/>
    </row>
    <row r="140" ht="15" customHeight="1">
      <c r="A140" s="73" t="n"/>
      <c r="B140" s="74" t="n"/>
      <c r="C140" s="74" t="n"/>
      <c r="D140" s="74" t="n"/>
      <c r="E140" s="74" t="n"/>
      <c r="F140" s="74" t="n"/>
      <c r="G140" s="74" t="n"/>
      <c r="H140" s="74" t="n"/>
      <c r="I140" s="75" t="n"/>
    </row>
    <row r="141" ht="15" customHeight="1">
      <c r="A141" s="73" t="n"/>
      <c r="B141" s="74" t="n"/>
      <c r="C141" s="74" t="n"/>
      <c r="D141" s="74" t="n"/>
      <c r="E141" s="74" t="n"/>
      <c r="F141" s="74" t="n"/>
      <c r="G141" s="74" t="n"/>
      <c r="H141" s="74" t="n"/>
      <c r="I141" s="75" t="n"/>
    </row>
    <row r="142" ht="15" customHeight="1">
      <c r="A142" s="73" t="n"/>
      <c r="B142" s="74" t="n"/>
      <c r="C142" s="74" t="n"/>
      <c r="D142" s="74" t="n"/>
      <c r="E142" s="74" t="n"/>
      <c r="F142" s="74" t="n"/>
      <c r="G142" s="74" t="n"/>
      <c r="H142" s="74" t="n"/>
      <c r="I142" s="75" t="n"/>
    </row>
    <row r="143" ht="15" customHeight="1">
      <c r="A143" s="73" t="n"/>
      <c r="B143" s="74" t="n"/>
      <c r="C143" s="74" t="n"/>
      <c r="D143" s="74" t="n"/>
      <c r="E143" s="74" t="n"/>
      <c r="F143" s="74" t="n"/>
      <c r="G143" s="74" t="n"/>
      <c r="H143" s="74" t="n"/>
      <c r="I143" s="75" t="n"/>
    </row>
    <row r="144" ht="15.95" customHeight="1">
      <c r="A144" s="73" t="n"/>
      <c r="B144" s="74" t="n"/>
      <c r="C144" s="74" t="n"/>
      <c r="D144" s="74" t="n"/>
      <c r="E144" s="74" t="n"/>
      <c r="F144" s="74" t="n"/>
      <c r="G144" s="74" t="n"/>
      <c r="H144" s="74" t="n"/>
      <c r="I144" s="75" t="n"/>
    </row>
    <row r="145" ht="30.75" customHeight="1">
      <c r="A145" s="218" t="n"/>
      <c r="E145" s="220" t="n"/>
      <c r="I145" s="271" t="n"/>
    </row>
    <row r="146">
      <c r="A146" s="64" t="n"/>
      <c r="I146" s="65"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I180" s="65" t="n"/>
    </row>
    <row r="181">
      <c r="A181" s="64" t="n"/>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ht="15.95" customHeight="1">
      <c r="A199" s="59" t="n"/>
      <c r="B199" s="60" t="n"/>
      <c r="C199" s="60" t="n"/>
      <c r="D199" s="60" t="n"/>
      <c r="E199" s="60" t="n"/>
      <c r="F199" s="60" t="n"/>
      <c r="G199" s="60" t="n"/>
      <c r="H199" s="60" t="n"/>
      <c r="I199" s="61" t="n"/>
    </row>
    <row r="200">
      <c r="A200" s="64" t="n"/>
      <c r="I200" s="65" t="n"/>
    </row>
    <row r="201">
      <c r="A201" s="64" t="n"/>
      <c r="I201" s="65" t="n"/>
    </row>
    <row r="202">
      <c r="A202" s="64" t="n"/>
      <c r="I202" s="65" t="n"/>
    </row>
    <row r="203">
      <c r="A203" s="64" t="n"/>
      <c r="I203" s="65" t="n"/>
    </row>
    <row r="204">
      <c r="A204" s="64" t="n"/>
      <c r="I204" s="65" t="n"/>
    </row>
    <row r="205">
      <c r="A205" s="64" t="n"/>
      <c r="I205" s="65" t="n"/>
    </row>
    <row r="206" ht="15.95" customHeight="1">
      <c r="A206" s="59" t="n"/>
      <c r="B206" s="60" t="n"/>
      <c r="C206" s="60" t="n"/>
      <c r="D206" s="60" t="n"/>
      <c r="E206" s="60" t="n"/>
      <c r="F206" s="60" t="n"/>
      <c r="G206" s="60" t="n"/>
      <c r="H206" s="60" t="n"/>
      <c r="I206" s="61" t="n"/>
    </row>
  </sheetData>
  <mergeCells count="40">
    <mergeCell ref="C61:I61"/>
    <mergeCell ref="A65:I65"/>
    <mergeCell ref="D13:F13"/>
    <mergeCell ref="A54:I54"/>
    <mergeCell ref="G13:I13"/>
    <mergeCell ref="B8:D8"/>
    <mergeCell ref="A66:I66"/>
    <mergeCell ref="B46:C46"/>
    <mergeCell ref="B59:I59"/>
    <mergeCell ref="A12:I12"/>
    <mergeCell ref="C57:I57"/>
    <mergeCell ref="D47:I47"/>
    <mergeCell ref="B56:I56"/>
    <mergeCell ref="A5:I5"/>
    <mergeCell ref="B9:D9"/>
    <mergeCell ref="C62:I62"/>
    <mergeCell ref="B6:D6"/>
    <mergeCell ref="C58:I58"/>
    <mergeCell ref="B44:C44"/>
    <mergeCell ref="A13:C13"/>
    <mergeCell ref="A68:I68"/>
    <mergeCell ref="A10:I10"/>
    <mergeCell ref="A1:I4"/>
    <mergeCell ref="C64:I64"/>
    <mergeCell ref="A47:B47"/>
    <mergeCell ref="A67:I67"/>
    <mergeCell ref="D44:I44"/>
    <mergeCell ref="B7:D7"/>
    <mergeCell ref="C63:I63"/>
    <mergeCell ref="A48:I48"/>
    <mergeCell ref="A50:I53"/>
    <mergeCell ref="A73:I73"/>
    <mergeCell ref="A11:I11"/>
    <mergeCell ref="D46:I46"/>
    <mergeCell ref="B55:I55"/>
    <mergeCell ref="A60:I60"/>
    <mergeCell ref="A145:D145"/>
    <mergeCell ref="B45:C45"/>
    <mergeCell ref="D45:I45"/>
    <mergeCell ref="E145:I145"/>
  </mergeCells>
  <printOptions horizontalCentered="1"/>
  <pageMargins left="0.2362204724409449" right="0.2362204724409449" top="0.7480314960629921" bottom="0.7480314960629921" header="0.3149606299212598" footer="0.3149606299212598"/>
  <pageSetup orientation="portrait" paperSize="9" scale="34" fitToHeight="0"/>
  <rowBreaks count="1" manualBreakCount="1">
    <brk id="72" min="0" max="8" man="1"/>
  </rowBreaks>
</worksheet>
</file>

<file path=xl/worksheets/sheet12.xml><?xml version="1.0" encoding="utf-8"?>
<worksheet xmlns="http://schemas.openxmlformats.org/spreadsheetml/2006/main">
  <sheetPr>
    <outlinePr summaryBelow="1" summaryRight="1"/>
    <pageSetUpPr fitToPage="1"/>
  </sheetPr>
  <dimension ref="A1:J206"/>
  <sheetViews>
    <sheetView view="pageBreakPreview" topLeftCell="A22" zoomScale="60" zoomScaleNormal="55" workbookViewId="0">
      <selection activeCell="A50" sqref="A50:I53"/>
    </sheetView>
  </sheetViews>
  <sheetFormatPr baseColWidth="8" defaultColWidth="9.140625" defaultRowHeight="14.45"/>
  <cols>
    <col width="62.140625" bestFit="1" customWidth="1" style="232" min="1" max="1"/>
    <col width="36.7109375" bestFit="1" customWidth="1" style="232" min="2" max="2"/>
    <col width="16" customWidth="1" style="232" min="3" max="3"/>
    <col width="28.710937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45883</v>
      </c>
    </row>
    <row r="7" ht="23.1" customHeight="1">
      <c r="A7" s="82" t="inlineStr">
        <is>
          <t>Project Location:</t>
        </is>
      </c>
      <c r="B7" s="267" t="inlineStr">
        <is>
          <t>Geraldton</t>
        </is>
      </c>
      <c r="E7" s="267" t="n"/>
      <c r="F7" s="84" t="n"/>
      <c r="G7" s="84" t="n"/>
      <c r="H7" s="87" t="inlineStr">
        <is>
          <t>Day:</t>
        </is>
      </c>
      <c r="I7" s="88" t="n">
        <v>45883</v>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80</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19 degrees    Wind: 43 km/h WSW Precip: 10.2mm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n"/>
      <c r="E15" s="99" t="n"/>
      <c r="F15" s="97" t="n"/>
      <c r="G15" s="100" t="inlineStr">
        <is>
          <t>Khegan Brockman</t>
        </is>
      </c>
      <c r="H15" s="97" t="inlineStr">
        <is>
          <t>Labourer</t>
        </is>
      </c>
      <c r="I15" s="101" t="n">
        <v>10.5</v>
      </c>
    </row>
    <row r="16" ht="23.1" customHeight="1">
      <c r="A16" s="96" t="inlineStr">
        <is>
          <t>GRIFFITHS, Daniel</t>
        </is>
      </c>
      <c r="B16" s="97" t="inlineStr">
        <is>
          <t>Project Manager</t>
        </is>
      </c>
      <c r="C16" s="102" t="n">
        <v>11</v>
      </c>
      <c r="D16" s="103" t="n"/>
      <c r="E16" s="103" t="n"/>
      <c r="F16" s="97" t="n"/>
      <c r="G16" s="100" t="inlineStr">
        <is>
          <t>Laurent Levy</t>
        </is>
      </c>
      <c r="H16" s="97" t="inlineStr">
        <is>
          <t>Operator</t>
        </is>
      </c>
      <c r="I16" s="101" t="n">
        <v>10</v>
      </c>
    </row>
    <row r="17" ht="23.1" customHeight="1">
      <c r="A17" s="96" t="inlineStr">
        <is>
          <t>O"SHEA, John</t>
        </is>
      </c>
      <c r="B17" s="97" t="inlineStr">
        <is>
          <t>Senior Project Engineer</t>
        </is>
      </c>
      <c r="C17" s="102" t="n"/>
      <c r="D17" s="103" t="n"/>
      <c r="E17" s="103" t="n"/>
      <c r="F17" s="97" t="n"/>
      <c r="G17" s="100" t="inlineStr">
        <is>
          <t>Daniel McAuffile</t>
        </is>
      </c>
      <c r="H17" s="97" t="inlineStr">
        <is>
          <t>Operator</t>
        </is>
      </c>
      <c r="I17" s="101" t="n">
        <v>10</v>
      </c>
    </row>
    <row r="18" ht="23.1" customHeight="1">
      <c r="A18" s="96" t="inlineStr">
        <is>
          <t>GRIFFITHS, Ashley</t>
        </is>
      </c>
      <c r="B18" s="97" t="inlineStr">
        <is>
          <t>Supervisor</t>
        </is>
      </c>
      <c r="C18" s="102" t="n">
        <v>10</v>
      </c>
      <c r="D18" s="99" t="n"/>
      <c r="E18" s="99" t="n"/>
      <c r="F18" s="97" t="n"/>
      <c r="G18" s="100" t="inlineStr">
        <is>
          <t>Jachai Griffiths</t>
        </is>
      </c>
      <c r="H18" s="97" t="inlineStr">
        <is>
          <t>Operator</t>
        </is>
      </c>
      <c r="I18" s="101" t="n"/>
    </row>
    <row r="19" ht="23.1" customHeight="1">
      <c r="A19" s="96" t="inlineStr">
        <is>
          <t>LOW, June</t>
        </is>
      </c>
      <c r="B19" s="97" t="inlineStr">
        <is>
          <t>HSET</t>
        </is>
      </c>
      <c r="C19" s="102" t="n"/>
      <c r="D19" s="99" t="n"/>
      <c r="E19" s="99" t="n"/>
      <c r="F19" s="97" t="n"/>
      <c r="G19" s="100" t="inlineStr">
        <is>
          <t>O'Brian, Jamie</t>
        </is>
      </c>
      <c r="H19" s="97" t="inlineStr">
        <is>
          <t>Operator</t>
        </is>
      </c>
      <c r="I19" s="101" t="n">
        <v>10.5</v>
      </c>
    </row>
    <row r="20" ht="23.1" customHeight="1">
      <c r="A20" s="96" t="inlineStr">
        <is>
          <t>SKINNER,JAMIE</t>
        </is>
      </c>
      <c r="B20" s="97" t="inlineStr">
        <is>
          <t>SUPERVISOR</t>
        </is>
      </c>
      <c r="C20" s="102" t="n">
        <v>11</v>
      </c>
      <c r="D20" s="99" t="n"/>
      <c r="E20" s="99" t="n"/>
      <c r="F20" s="97" t="n"/>
      <c r="G20" s="42" t="inlineStr">
        <is>
          <t>O'Reilly,James</t>
        </is>
      </c>
      <c r="H20" s="97" t="inlineStr">
        <is>
          <t>Operator</t>
        </is>
      </c>
      <c r="I20" s="101" t="n">
        <v>10</v>
      </c>
    </row>
    <row r="21" ht="23.1" customHeight="1">
      <c r="A21" s="96" t="n"/>
      <c r="B21" s="97" t="n"/>
      <c r="C21" s="102" t="n"/>
      <c r="D21" s="99" t="n"/>
      <c r="E21" s="99" t="n"/>
      <c r="F21" s="97" t="n"/>
      <c r="G21" s="100" t="inlineStr">
        <is>
          <t>Simpson,Joshua</t>
        </is>
      </c>
      <c r="H21" s="97" t="inlineStr">
        <is>
          <t>Labourer</t>
        </is>
      </c>
      <c r="I21" s="101" t="n">
        <v>10</v>
      </c>
    </row>
    <row r="22" ht="23.1" customHeight="1">
      <c r="A22" s="96" t="n"/>
      <c r="B22" s="97" t="n"/>
      <c r="C22" s="102" t="n"/>
      <c r="D22" s="99" t="n"/>
      <c r="E22" s="99" t="n"/>
      <c r="F22" s="97" t="n"/>
      <c r="G22" s="100" t="inlineStr">
        <is>
          <t>Chester, Matt</t>
        </is>
      </c>
      <c r="H22" s="97" t="inlineStr">
        <is>
          <t>Gas Fitter</t>
        </is>
      </c>
      <c r="I22" s="101" t="n"/>
    </row>
    <row r="23" ht="23.1" customHeight="1">
      <c r="A23" s="96" t="n"/>
      <c r="B23" s="97" t="n"/>
      <c r="C23" s="102" t="n"/>
      <c r="D23" s="99" t="n"/>
      <c r="E23" s="99" t="n"/>
      <c r="F23" s="97" t="n"/>
      <c r="G23" s="100" t="inlineStr">
        <is>
          <t>Mounsey, Matt</t>
        </is>
      </c>
      <c r="H23" s="97" t="inlineStr">
        <is>
          <t>Gas Fitter</t>
        </is>
      </c>
      <c r="I23" s="101" t="n"/>
    </row>
    <row r="24" ht="23.1" customHeight="1">
      <c r="A24" s="96" t="n"/>
      <c r="B24" s="97" t="n"/>
      <c r="C24" s="102" t="n"/>
      <c r="D24" s="99" t="n"/>
      <c r="E24" s="99" t="n"/>
      <c r="F24" s="97" t="n"/>
      <c r="G24" s="100" t="inlineStr">
        <is>
          <t>Herring, Levin</t>
        </is>
      </c>
      <c r="H24" s="97" t="inlineStr">
        <is>
          <t>Gas Fitter</t>
        </is>
      </c>
      <c r="I24" s="101" t="n"/>
    </row>
    <row r="25" ht="23.1" customHeight="1">
      <c r="A25" s="96" t="n"/>
      <c r="B25" s="97" t="n"/>
      <c r="C25" s="102" t="n"/>
      <c r="D25" s="99" t="n"/>
      <c r="E25" s="99" t="n"/>
      <c r="F25" s="97" t="n"/>
      <c r="G25" s="100" t="inlineStr">
        <is>
          <t>Mosley,Joshua</t>
        </is>
      </c>
      <c r="H25" s="97" t="inlineStr">
        <is>
          <t>Surveyor</t>
        </is>
      </c>
      <c r="I25" s="101" t="n">
        <v>2</v>
      </c>
    </row>
    <row r="26" ht="23.1" customHeight="1">
      <c r="A26" s="255" t="inlineStr">
        <is>
          <t xml:space="preserve">Total Indirect Personnel onsite: </t>
        </is>
      </c>
      <c r="B26" s="105">
        <f>SUM(C15:C26)</f>
        <v/>
      </c>
      <c r="C26" s="99" t="n"/>
      <c r="D26" s="99" t="n"/>
      <c r="E26" s="99" t="n"/>
      <c r="F26" s="97" t="n"/>
      <c r="G26" s="106" t="inlineStr">
        <is>
          <t>Total Subcontractor on-site:</t>
        </is>
      </c>
      <c r="H26" s="107">
        <f>COUNTIF(I15:I25,"&gt;0")</f>
        <v/>
      </c>
      <c r="I26" s="101" t="n"/>
    </row>
    <row r="27" ht="23.1" customHeight="1">
      <c r="A27" s="255" t="inlineStr">
        <is>
          <t xml:space="preserve">Total Indirect Personnel hours: </t>
        </is>
      </c>
      <c r="B27" s="105">
        <f>SUM(C15:C25)</f>
        <v/>
      </c>
      <c r="C27" s="102" t="n"/>
      <c r="D27" s="99" t="n"/>
      <c r="E27" s="99" t="n"/>
      <c r="F27" s="97" t="n"/>
      <c r="G27" s="106" t="inlineStr">
        <is>
          <t>Total Subcontractor hours:</t>
        </is>
      </c>
      <c r="H27" s="107">
        <f>SUM(I15:I25)</f>
        <v/>
      </c>
      <c r="I27" s="101" t="n"/>
    </row>
    <row r="28" ht="23.1" customHeight="1">
      <c r="A28" s="255" t="inlineStr">
        <is>
          <t xml:space="preserve">Total Direct Personnel onsite:  </t>
        </is>
      </c>
      <c r="B28" s="105">
        <f>COUNTIF(F15:F29,"&gt;0")</f>
        <v/>
      </c>
      <c r="C28" s="105" t="n"/>
      <c r="D28" s="99" t="n"/>
      <c r="E28" s="99" t="n"/>
      <c r="F28" s="108" t="n"/>
      <c r="G28" s="106" t="n"/>
      <c r="H28" s="107" t="n"/>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6 Wheel Tipper</t>
        </is>
      </c>
      <c r="E33" s="102" t="inlineStr">
        <is>
          <t>AMG04</t>
        </is>
      </c>
      <c r="F33" s="102" t="n"/>
      <c r="G33" s="102" t="inlineStr">
        <is>
          <t>Sea Container 20ft</t>
        </is>
      </c>
      <c r="H33" s="97" t="n">
        <v>951200</v>
      </c>
      <c r="I33" s="101" t="n">
        <v>1</v>
      </c>
    </row>
    <row r="34" ht="23.1" customHeight="1">
      <c r="A34" s="115" t="inlineStr">
        <is>
          <t>Positrak</t>
        </is>
      </c>
      <c r="B34" s="102" t="inlineStr">
        <is>
          <t>AMG 025</t>
        </is>
      </c>
      <c r="C34" s="97" t="n">
        <v>10</v>
      </c>
      <c r="D34" s="102" t="n"/>
      <c r="E34" s="97" t="n"/>
      <c r="F34" s="102" t="n"/>
      <c r="G34" s="102" t="inlineStr">
        <is>
          <t>Site Sentry Tower</t>
        </is>
      </c>
      <c r="H34" s="102" t="n"/>
      <c r="I34" s="101" t="n">
        <v>2</v>
      </c>
    </row>
    <row r="35" ht="23.1" customHeight="1">
      <c r="A35" s="115" t="inlineStr">
        <is>
          <t>Watercart</t>
        </is>
      </c>
      <c r="B35" s="102" t="inlineStr">
        <is>
          <t>WC04</t>
        </is>
      </c>
      <c r="C35" s="97" t="n">
        <v>5</v>
      </c>
      <c r="D35" s="102" t="n"/>
      <c r="E35" s="102" t="n"/>
      <c r="F35" s="102" t="n"/>
      <c r="G35" s="102" t="inlineStr">
        <is>
          <t>Skip Bin</t>
        </is>
      </c>
      <c r="H35" s="102" t="n"/>
      <c r="I35" s="101" t="n">
        <v>1</v>
      </c>
    </row>
    <row r="36" ht="23.1" customHeight="1">
      <c r="A36" s="115" t="inlineStr">
        <is>
          <t>8T Excavator</t>
        </is>
      </c>
      <c r="B36" s="116" t="inlineStr">
        <is>
          <t>AMG 014</t>
        </is>
      </c>
      <c r="C36" s="97" t="n">
        <v>10</v>
      </c>
      <c r="D36" s="102" t="n"/>
      <c r="E36" s="102" t="n"/>
      <c r="F36" s="102" t="n"/>
      <c r="G36" s="102" t="inlineStr">
        <is>
          <t>Hydrocarbon Bund</t>
        </is>
      </c>
      <c r="H36" s="102" t="n"/>
      <c r="I36" s="101" t="n">
        <v>1</v>
      </c>
    </row>
    <row r="37" ht="23.1" customHeight="1">
      <c r="A37" s="102" t="inlineStr">
        <is>
          <t>6 Wheel Tipper</t>
        </is>
      </c>
      <c r="B37" s="102" t="inlineStr">
        <is>
          <t>AMG 008</t>
        </is>
      </c>
      <c r="C37" s="102" t="n"/>
      <c r="D37" s="102" t="n"/>
      <c r="E37" s="102" t="n"/>
      <c r="F37" s="102" t="n"/>
      <c r="G37" s="102" t="inlineStr">
        <is>
          <t>Temp Fence</t>
        </is>
      </c>
      <c r="H37" s="97" t="n"/>
      <c r="I37" s="101" t="n">
        <v>1</v>
      </c>
    </row>
    <row r="38" ht="24" customHeight="1">
      <c r="A38" s="115" t="inlineStr">
        <is>
          <t>Padfoot/ Smooth Drum Roller</t>
        </is>
      </c>
      <c r="B38" s="102" t="inlineStr">
        <is>
          <t>RR 03</t>
        </is>
      </c>
      <c r="C38" s="97" t="n"/>
      <c r="D38" s="102" t="n"/>
      <c r="E38" s="102" t="n"/>
      <c r="F38" s="102" t="n"/>
      <c r="G38" s="31" t="n"/>
      <c r="H38" s="31" t="n"/>
      <c r="I38" s="32" t="n"/>
    </row>
    <row r="39" ht="24" customHeight="1">
      <c r="A39" s="115" t="inlineStr">
        <is>
          <t>Positrak SSL</t>
        </is>
      </c>
      <c r="B39" s="102" t="inlineStr">
        <is>
          <t>SSL08</t>
        </is>
      </c>
      <c r="C39" s="97" t="n">
        <v>10</v>
      </c>
      <c r="D39" s="102" t="n"/>
      <c r="E39" s="102" t="n"/>
      <c r="F39" s="102" t="n"/>
      <c r="G39" s="31" t="n"/>
      <c r="H39" s="31" t="n"/>
      <c r="I39" s="32" t="n"/>
    </row>
    <row r="40" ht="23.1" customHeight="1">
      <c r="A40" s="115" t="inlineStr">
        <is>
          <t>Grader</t>
        </is>
      </c>
      <c r="B40" s="102" t="inlineStr">
        <is>
          <t>SLS01</t>
        </is>
      </c>
      <c r="C40" s="97" t="n"/>
      <c r="D40" s="102" t="n"/>
      <c r="E40" s="102" t="n"/>
      <c r="F40" s="102" t="n"/>
      <c r="G40" s="102" t="n"/>
      <c r="H40" s="97" t="n"/>
      <c r="I40" s="101" t="n"/>
    </row>
    <row r="41" ht="23.1" customHeight="1">
      <c r="A41" s="115" t="inlineStr">
        <is>
          <t>5t Excavator</t>
        </is>
      </c>
      <c r="B41" s="102" t="inlineStr">
        <is>
          <t>AMG 007</t>
        </is>
      </c>
      <c r="C41" s="97" t="n">
        <v>10</v>
      </c>
      <c r="D41" s="102" t="n"/>
      <c r="E41" s="102" t="n"/>
      <c r="F41" s="102" t="n"/>
      <c r="G41" s="102" t="n"/>
      <c r="H41" s="97" t="n"/>
      <c r="I41" s="101" t="n"/>
    </row>
    <row r="42" ht="23.1" customHeight="1">
      <c r="A42" s="115" t="inlineStr">
        <is>
          <t>1.5 Excavator</t>
        </is>
      </c>
      <c r="B42" s="102" t="inlineStr">
        <is>
          <t>AMG 009</t>
        </is>
      </c>
      <c r="C42" s="97" t="n">
        <v>10</v>
      </c>
      <c r="D42" s="102" t="n"/>
      <c r="E42" s="102" t="n"/>
      <c r="F42" s="102" t="n"/>
      <c r="G42" s="102" t="n"/>
      <c r="H42" s="97" t="n"/>
      <c r="I42" s="101" t="n"/>
    </row>
    <row r="43" ht="24" customHeight="1">
      <c r="A43" s="115" t="n"/>
      <c r="B43" s="102" t="n"/>
      <c r="C43" s="97" t="n"/>
      <c r="D43" s="31" t="n"/>
      <c r="E43" s="31" t="n"/>
      <c r="F43" s="31" t="n"/>
      <c r="G43" s="31" t="n"/>
      <c r="H43" s="31" t="n"/>
      <c r="I43" s="32" t="n"/>
    </row>
    <row r="44" ht="18" customHeight="1">
      <c r="A44" s="117" t="n">
        <v>0</v>
      </c>
      <c r="B44" s="260" t="inlineStr">
        <is>
          <t xml:space="preserve">Repairs Required </t>
        </is>
      </c>
      <c r="C44" s="276" t="n"/>
      <c r="D44" s="249" t="inlineStr">
        <is>
          <t>N/A</t>
        </is>
      </c>
      <c r="E44" s="275" t="n"/>
      <c r="F44" s="275" t="n"/>
      <c r="G44" s="275" t="n"/>
      <c r="H44" s="275" t="n"/>
      <c r="I44" s="277" t="n"/>
    </row>
    <row r="45" ht="18" customHeight="1">
      <c r="A45" s="118" t="n">
        <v>0</v>
      </c>
      <c r="B45" s="260" t="inlineStr">
        <is>
          <t>Scheduled Service</t>
        </is>
      </c>
      <c r="C45" s="276" t="n"/>
      <c r="D45" s="249" t="inlineStr">
        <is>
          <t>N/A</t>
        </is>
      </c>
      <c r="E45" s="275" t="n"/>
      <c r="F45" s="275" t="n"/>
      <c r="G45" s="275" t="n"/>
      <c r="H45" s="275" t="n"/>
      <c r="I45" s="277" t="n"/>
    </row>
    <row r="46" ht="18" customHeight="1">
      <c r="A46" s="119" t="n">
        <v>0</v>
      </c>
      <c r="B46" s="260" t="inlineStr">
        <is>
          <t>Repairs required but operable</t>
        </is>
      </c>
      <c r="C46" s="276" t="n"/>
      <c r="D46" s="249" t="inlineStr">
        <is>
          <t>N/A</t>
        </is>
      </c>
      <c r="E46" s="275" t="n"/>
      <c r="F46" s="275" t="n"/>
      <c r="G46" s="275" t="n"/>
      <c r="H46" s="275" t="n"/>
      <c r="I46" s="277" t="n"/>
    </row>
    <row r="47" ht="23.1" customHeight="1">
      <c r="A47" s="255" t="inlineStr">
        <is>
          <t xml:space="preserve">Total Plant and Equipment Hours: </t>
        </is>
      </c>
      <c r="B47" s="276" t="n"/>
      <c r="C47" s="120">
        <f>SUM(C32:C43)</f>
        <v/>
      </c>
      <c r="D47" s="256" t="n"/>
      <c r="E47" s="275" t="n"/>
      <c r="F47" s="275" t="n"/>
      <c r="G47" s="275" t="n"/>
      <c r="H47" s="275" t="n"/>
      <c r="I47" s="277" t="n"/>
    </row>
    <row r="48" ht="24.95" customHeight="1">
      <c r="A48" s="245" t="inlineStr">
        <is>
          <t>DELAYS-OPPORTUNITY</t>
        </is>
      </c>
      <c r="B48" s="275" t="n"/>
      <c r="C48" s="275" t="n"/>
      <c r="D48" s="275" t="n"/>
      <c r="E48" s="275" t="n"/>
      <c r="F48" s="275" t="n"/>
      <c r="G48" s="275" t="n"/>
      <c r="H48" s="275" t="n"/>
      <c r="I48" s="277" t="n"/>
    </row>
    <row r="49" ht="20.1" customHeight="1">
      <c r="A49" s="121" t="n"/>
      <c r="B49" s="122" t="n"/>
      <c r="C49" s="122" t="n"/>
      <c r="D49" s="122" t="n"/>
      <c r="E49" s="122" t="n"/>
      <c r="F49" s="122" t="n"/>
      <c r="G49" s="122" t="n"/>
      <c r="H49" s="122" t="n"/>
      <c r="I49" s="123" t="n"/>
    </row>
    <row r="50" ht="14.45" customHeight="1">
      <c r="A50" s="244" t="inlineStr">
        <is>
          <t>Awaiting Detail on Centrelink Carpark
Awaiting Crossing Details for Forrest Street
Awaiting Direction on Service Clash Forrest Street</t>
        </is>
      </c>
      <c r="B50" s="278" t="n"/>
      <c r="C50" s="278" t="n"/>
      <c r="D50" s="278" t="n"/>
      <c r="E50" s="278" t="n"/>
      <c r="F50" s="278" t="n"/>
      <c r="G50" s="278" t="n"/>
      <c r="H50" s="278" t="n"/>
      <c r="I50" s="279" t="n"/>
    </row>
    <row r="51">
      <c r="A51" s="270" t="n"/>
      <c r="I51" s="271" t="n"/>
    </row>
    <row r="52">
      <c r="A52" s="270" t="n"/>
      <c r="I52" s="271" t="n"/>
    </row>
    <row r="53" ht="13.5" customHeight="1">
      <c r="A53" s="280" t="n"/>
      <c r="B53" s="281" t="n"/>
      <c r="C53" s="281" t="n"/>
      <c r="D53" s="281" t="n"/>
      <c r="E53" s="281" t="n"/>
      <c r="F53" s="281" t="n"/>
      <c r="G53" s="281" t="n"/>
      <c r="H53" s="281" t="n"/>
      <c r="I53" s="282" t="n"/>
    </row>
    <row r="54" ht="24.95" customHeight="1">
      <c r="A54" s="252" t="inlineStr">
        <is>
          <t>HSEQ MESSAGES</t>
        </is>
      </c>
      <c r="B54" s="283" t="n"/>
      <c r="C54" s="283" t="n"/>
      <c r="D54" s="283" t="n"/>
      <c r="E54" s="283" t="n"/>
      <c r="F54" s="283" t="n"/>
      <c r="G54" s="283" t="n"/>
      <c r="H54" s="283" t="n"/>
      <c r="I54" s="284" t="n"/>
    </row>
    <row r="55" ht="18" customHeight="1">
      <c r="A55" s="124" t="inlineStr">
        <is>
          <t>TCD - Monthly Safety Focus:</t>
        </is>
      </c>
      <c r="B55" s="257" t="inlineStr">
        <is>
          <t>Return to Work</t>
        </is>
      </c>
      <c r="C55" s="275" t="n"/>
      <c r="D55" s="275" t="n"/>
      <c r="E55" s="275" t="n"/>
      <c r="F55" s="275" t="n"/>
      <c r="G55" s="275" t="n"/>
      <c r="H55" s="275" t="n"/>
      <c r="I55" s="276" t="n"/>
    </row>
    <row r="56" ht="24" customHeight="1">
      <c r="A56" s="124" t="inlineStr">
        <is>
          <t>TCD - Daily Safety Focus:</t>
        </is>
      </c>
      <c r="B56" s="258" t="inlineStr">
        <is>
          <t>Simops</t>
        </is>
      </c>
      <c r="C56" s="275" t="n"/>
      <c r="D56" s="275" t="n"/>
      <c r="E56" s="275" t="n"/>
      <c r="F56" s="275" t="n"/>
      <c r="G56" s="275" t="n"/>
      <c r="H56" s="275" t="n"/>
      <c r="I56" s="277" t="n"/>
    </row>
    <row r="57" ht="18" customHeight="1">
      <c r="A57" s="125" t="inlineStr">
        <is>
          <t xml:space="preserve">Hazards Reported: </t>
        </is>
      </c>
      <c r="B57" s="126" t="inlineStr">
        <is>
          <t>Nil</t>
        </is>
      </c>
      <c r="C57" s="258" t="n"/>
      <c r="D57" s="275" t="n"/>
      <c r="E57" s="275" t="n"/>
      <c r="F57" s="275" t="n"/>
      <c r="G57" s="275" t="n"/>
      <c r="H57" s="275" t="n"/>
      <c r="I57" s="277" t="n"/>
    </row>
    <row r="58" ht="18" customHeight="1">
      <c r="A58" s="125" t="inlineStr">
        <is>
          <t>Incident Free Days</t>
        </is>
      </c>
      <c r="B58" s="126" t="n">
        <v>1</v>
      </c>
      <c r="C58" s="257" t="n"/>
      <c r="D58" s="275" t="n"/>
      <c r="E58" s="275" t="n"/>
      <c r="F58" s="275" t="n"/>
      <c r="G58" s="275" t="n"/>
      <c r="H58" s="275" t="n"/>
      <c r="I58" s="276" t="n"/>
    </row>
    <row r="59" ht="18" customHeight="1">
      <c r="A59" s="127" t="inlineStr">
        <is>
          <t>Other Notes</t>
        </is>
      </c>
      <c r="B59" s="259" t="n"/>
      <c r="C59" s="278" t="n"/>
      <c r="D59" s="278" t="n"/>
      <c r="E59" s="278" t="n"/>
      <c r="F59" s="278" t="n"/>
      <c r="G59" s="278" t="n"/>
      <c r="H59" s="278" t="n"/>
      <c r="I59" s="279" t="n"/>
    </row>
    <row r="60" ht="20.25" customHeight="1">
      <c r="A60" s="245" t="inlineStr">
        <is>
          <t xml:space="preserve">INCIDENTS &amp; REPORTS </t>
        </is>
      </c>
      <c r="B60" s="275" t="n"/>
      <c r="C60" s="275" t="n"/>
      <c r="D60" s="275" t="n"/>
      <c r="E60" s="275" t="n"/>
      <c r="F60" s="275" t="n"/>
      <c r="G60" s="275" t="n"/>
      <c r="H60" s="275" t="n"/>
      <c r="I60" s="277" t="n"/>
    </row>
    <row r="61" ht="24.95" customHeight="1">
      <c r="A61" s="128" t="n"/>
      <c r="B61" s="263" t="inlineStr">
        <is>
          <t>QTY</t>
        </is>
      </c>
      <c r="C61" s="254" t="inlineStr">
        <is>
          <t>Comments</t>
        </is>
      </c>
      <c r="D61" s="275" t="n"/>
      <c r="E61" s="275" t="n"/>
      <c r="F61" s="275" t="n"/>
      <c r="G61" s="275" t="n"/>
      <c r="H61" s="275" t="n"/>
      <c r="I61" s="277" t="n"/>
    </row>
    <row r="62" ht="24.95" customHeight="1">
      <c r="A62" s="129" t="inlineStr">
        <is>
          <t>INCIDENT</t>
        </is>
      </c>
      <c r="B62" s="263" t="n">
        <v>0</v>
      </c>
      <c r="C62" s="249" t="inlineStr">
        <is>
          <t>NA</t>
        </is>
      </c>
      <c r="D62" s="275" t="n"/>
      <c r="E62" s="275" t="n"/>
      <c r="F62" s="275" t="n"/>
      <c r="G62" s="275" t="n"/>
      <c r="H62" s="275" t="n"/>
      <c r="I62" s="277" t="n"/>
    </row>
    <row r="63" ht="24.95" customHeight="1">
      <c r="A63" s="130" t="inlineStr">
        <is>
          <t>IR</t>
        </is>
      </c>
      <c r="B63" s="131" t="n">
        <v>0</v>
      </c>
      <c r="C63" s="250" t="inlineStr">
        <is>
          <t>NA</t>
        </is>
      </c>
      <c r="D63" s="278" t="n"/>
      <c r="E63" s="278" t="n"/>
      <c r="F63" s="278" t="n"/>
      <c r="G63" s="278" t="n"/>
      <c r="H63" s="278" t="n"/>
      <c r="I63" s="279" t="n"/>
    </row>
    <row r="64" ht="24.95" customHeight="1">
      <c r="A64" s="132" t="inlineStr">
        <is>
          <t>NCR</t>
        </is>
      </c>
      <c r="B64" s="133" t="n">
        <v>0</v>
      </c>
      <c r="C64" s="251" t="inlineStr">
        <is>
          <t>NA</t>
        </is>
      </c>
      <c r="D64" s="285" t="n"/>
      <c r="E64" s="285" t="n"/>
      <c r="F64" s="285" t="n"/>
      <c r="G64" s="285" t="n"/>
      <c r="H64" s="285" t="n"/>
      <c r="I64" s="286" t="n"/>
    </row>
    <row r="65" ht="20.25" customHeight="1">
      <c r="A65" s="252" t="inlineStr">
        <is>
          <t>COMMUNICATIONS</t>
        </is>
      </c>
      <c r="B65" s="283" t="n"/>
      <c r="C65" s="283" t="n"/>
      <c r="D65" s="283" t="n"/>
      <c r="E65" s="283" t="n"/>
      <c r="F65" s="283" t="n"/>
      <c r="G65" s="283" t="n"/>
      <c r="H65" s="283" t="n"/>
      <c r="I65" s="284" t="n"/>
    </row>
    <row r="66" ht="24.95" customHeight="1">
      <c r="A66" s="253" t="inlineStr">
        <is>
          <t>TGS MB1119-05 Scheme D implemented</t>
        </is>
      </c>
      <c r="B66" s="275" t="n"/>
      <c r="C66" s="275" t="n"/>
      <c r="D66" s="275" t="n"/>
      <c r="E66" s="275" t="n"/>
      <c r="F66" s="275" t="n"/>
      <c r="G66" s="275" t="n"/>
      <c r="H66" s="275" t="n"/>
      <c r="I66" s="277" t="n"/>
    </row>
    <row r="67" ht="24.95" customHeight="1">
      <c r="A67" s="253" t="n"/>
      <c r="B67" s="275" t="n"/>
      <c r="C67" s="275" t="n"/>
      <c r="D67" s="275" t="n"/>
      <c r="E67" s="275" t="n"/>
      <c r="F67" s="275" t="n"/>
      <c r="G67" s="275" t="n"/>
      <c r="H67" s="275" t="n"/>
      <c r="I67" s="277" t="n"/>
    </row>
    <row r="68" ht="24.95" customHeight="1">
      <c r="A68" s="245" t="inlineStr">
        <is>
          <t>PRODUCTION (CONSTRUCTION STATUS &amp; PROGRESS)</t>
        </is>
      </c>
      <c r="B68" s="275" t="n"/>
      <c r="C68" s="275" t="n"/>
      <c r="D68" s="275" t="n"/>
      <c r="E68" s="275" t="n"/>
      <c r="F68" s="275" t="n"/>
      <c r="G68" s="275" t="n"/>
      <c r="H68" s="275" t="n"/>
      <c r="I68" s="277" t="n"/>
    </row>
    <row r="69" ht="24.95" customHeight="1">
      <c r="A69" s="134" t="inlineStr">
        <is>
          <t>.Underground services - Gas main install and welding</t>
        </is>
      </c>
      <c r="B69" s="135" t="n"/>
      <c r="C69" s="79" t="inlineStr">
        <is>
          <t>.Kiosk/Transformer install and switching</t>
        </is>
      </c>
      <c r="D69" s="79" t="n"/>
      <c r="E69" s="135" t="n"/>
      <c r="F69" s="135" t="n"/>
      <c r="G69" s="135" t="n"/>
      <c r="H69" s="135" t="n"/>
      <c r="I69" s="136" t="n"/>
    </row>
    <row r="70" ht="24.95" customHeight="1">
      <c r="A70" s="134" t="inlineStr">
        <is>
          <t>.Lot 119 Gravel 30mm layer- Stock-piling excess</t>
        </is>
      </c>
      <c r="B70" s="135" t="n"/>
      <c r="C70" s="79" t="inlineStr">
        <is>
          <t>.Sub-base placement on centrelink ramp</t>
        </is>
      </c>
      <c r="D70" s="79" t="n"/>
      <c r="E70" s="135" t="n"/>
      <c r="F70" s="135" t="n"/>
      <c r="G70" s="135" t="n"/>
      <c r="H70" s="135" t="n"/>
      <c r="I70" s="136" t="n"/>
    </row>
    <row r="71" ht="24.95" customHeight="1">
      <c r="A71" s="134" t="inlineStr">
        <is>
          <t xml:space="preserve">.Importing of Basecourse material </t>
        </is>
      </c>
      <c r="B71" s="135" t="n"/>
      <c r="C71" s="79" t="inlineStr">
        <is>
          <t>.Widening of Ally-way</t>
        </is>
      </c>
      <c r="D71" s="135" t="n"/>
      <c r="E71" s="135" t="n"/>
      <c r="F71" s="135" t="n"/>
      <c r="G71" s="135" t="n"/>
      <c r="H71" s="135" t="n"/>
      <c r="I71" s="136" t="n"/>
    </row>
    <row r="72" ht="24.95" customHeight="1">
      <c r="A72" s="134" t="inlineStr">
        <is>
          <t>.Balancing of Basecourse material@Bayly to Forrest street</t>
        </is>
      </c>
      <c r="B72" s="135" t="n"/>
      <c r="C72" s="79" t="n"/>
      <c r="D72" s="135" t="n"/>
      <c r="E72" s="135" t="n"/>
      <c r="F72" s="135" t="n"/>
      <c r="G72" s="135" t="n"/>
      <c r="H72" s="135" t="n"/>
      <c r="I72" s="136" t="n"/>
    </row>
    <row r="73" ht="26.1" customHeight="1">
      <c r="A73" s="246" t="n"/>
      <c r="B73" s="278" t="n"/>
      <c r="C73" s="278" t="n"/>
      <c r="D73" s="278" t="n"/>
      <c r="E73" s="278" t="n"/>
      <c r="F73" s="278" t="n"/>
      <c r="G73" s="278" t="n"/>
      <c r="H73" s="278" t="n"/>
      <c r="I73" s="279" t="n"/>
    </row>
    <row r="74" ht="23.1" customHeight="1">
      <c r="A74" s="137" t="n"/>
      <c r="B74" s="138" t="n"/>
      <c r="C74" s="138" t="n"/>
      <c r="D74" s="138" t="n"/>
      <c r="E74" s="138" t="n"/>
      <c r="F74" s="138" t="n"/>
      <c r="G74" s="138" t="n"/>
      <c r="H74" s="138" t="n"/>
      <c r="I74" s="139" t="n"/>
    </row>
    <row r="75" ht="23.1" customHeight="1">
      <c r="A75" s="140" t="n"/>
      <c r="B75" s="141" t="n"/>
      <c r="C75" s="141" t="n"/>
      <c r="D75" s="141" t="n"/>
      <c r="E75" s="141" t="n"/>
      <c r="F75" s="141" t="n"/>
      <c r="G75" s="141" t="n"/>
      <c r="H75" s="141" t="n"/>
      <c r="I75" s="142" t="n"/>
    </row>
    <row r="76" ht="15"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H96" s="141" t="n"/>
      <c r="I96" s="142" t="n"/>
    </row>
    <row r="97" ht="24.95" customFormat="1" customHeight="1" s="81">
      <c r="A97" s="140" t="n"/>
      <c r="B97" s="141" t="n"/>
      <c r="C97" s="141" t="n"/>
      <c r="D97" s="141" t="n"/>
      <c r="E97" s="141" t="n"/>
      <c r="F97" s="141" t="n"/>
      <c r="G97" s="141" t="n"/>
      <c r="H97" s="141" t="n"/>
      <c r="I97" s="142" t="n"/>
    </row>
    <row r="98" ht="15" customHeight="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3" t="n"/>
      <c r="B112" s="144" t="n"/>
      <c r="C112" s="144" t="n"/>
      <c r="D112" s="144" t="n"/>
      <c r="E112" s="144" t="n"/>
      <c r="F112" s="144" t="n"/>
      <c r="G112" s="144" t="n"/>
      <c r="H112" s="144" t="n"/>
      <c r="I112" s="145" t="n"/>
    </row>
    <row r="113" ht="15" customHeight="1">
      <c r="A113" s="140" t="n"/>
      <c r="B113" s="141" t="n"/>
      <c r="C113" s="141" t="n"/>
      <c r="D113" s="141" t="n"/>
      <c r="E113" s="141" t="n"/>
      <c r="F113" s="141" t="n"/>
      <c r="G113" s="141" t="n"/>
      <c r="H113" s="141" t="n"/>
      <c r="I113" s="142"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24.95" customHeight="1">
      <c r="A121" s="140" t="n"/>
      <c r="B121" s="141" t="n"/>
      <c r="C121" s="141" t="n"/>
      <c r="D121" s="141" t="n"/>
      <c r="E121" s="141" t="n"/>
      <c r="F121" s="141" t="n"/>
      <c r="G121" s="141" t="n"/>
      <c r="H121" s="141" t="n"/>
      <c r="I121" s="142" t="n"/>
    </row>
    <row r="122" ht="1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27.95" customHeight="1">
      <c r="A124" s="140" t="n"/>
      <c r="B124" s="141" t="n"/>
      <c r="C124" s="141" t="n"/>
      <c r="D124" s="141" t="n"/>
      <c r="E124" s="141" t="n"/>
      <c r="F124" s="141" t="n"/>
      <c r="G124" s="141" t="n"/>
      <c r="H124" s="141" t="n"/>
      <c r="I124" s="142" t="n"/>
    </row>
    <row r="125" ht="1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c r="J137" s="146" t="n"/>
    </row>
    <row r="138" ht="15" customHeight="1">
      <c r="A138" s="140" t="n"/>
      <c r="B138" s="141" t="n"/>
      <c r="C138" s="141" t="n"/>
      <c r="D138" s="141" t="n"/>
      <c r="E138" s="141" t="n"/>
      <c r="F138" s="141" t="n"/>
      <c r="G138" s="141" t="n"/>
      <c r="H138" s="141" t="n"/>
      <c r="I138" s="142"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95" customHeight="1">
      <c r="A144" s="140" t="n"/>
      <c r="B144" s="141" t="n"/>
      <c r="C144" s="141" t="n"/>
      <c r="D144" s="141" t="n"/>
      <c r="E144" s="141" t="n"/>
      <c r="F144" s="141" t="n"/>
      <c r="G144" s="141" t="n"/>
      <c r="H144" s="141" t="n"/>
      <c r="I144" s="142" t="n"/>
    </row>
    <row r="145" ht="30.75" customHeight="1">
      <c r="A145" s="247" t="n"/>
      <c r="E145" s="248" t="n"/>
      <c r="I145" s="271" t="n"/>
    </row>
    <row r="146">
      <c r="A146" s="64" t="n"/>
      <c r="I146" s="65"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I180" s="65" t="n"/>
    </row>
    <row r="181">
      <c r="A181" s="64" t="n"/>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ht="15.95" customHeight="1">
      <c r="A199" s="59" t="n"/>
      <c r="B199" s="60" t="n"/>
      <c r="C199" s="60" t="n"/>
      <c r="D199" s="60" t="n"/>
      <c r="E199" s="60" t="n"/>
      <c r="F199" s="60" t="n"/>
      <c r="G199" s="60" t="n"/>
      <c r="H199" s="60" t="n"/>
      <c r="I199" s="61" t="n"/>
    </row>
    <row r="200">
      <c r="A200" s="64" t="n"/>
      <c r="I200" s="65" t="n"/>
    </row>
    <row r="201">
      <c r="A201" s="64" t="n"/>
      <c r="I201" s="65" t="n"/>
    </row>
    <row r="202">
      <c r="A202" s="64" t="n"/>
      <c r="I202" s="65" t="n"/>
    </row>
    <row r="203">
      <c r="A203" s="64" t="n"/>
      <c r="I203" s="65" t="n"/>
    </row>
    <row r="204">
      <c r="A204" s="64" t="n"/>
      <c r="I204" s="65" t="n"/>
    </row>
    <row r="205">
      <c r="A205" s="64" t="n"/>
      <c r="I205" s="65" t="n"/>
    </row>
    <row r="206" ht="15.95" customHeight="1">
      <c r="A206" s="59" t="n"/>
      <c r="B206" s="60" t="n"/>
      <c r="C206" s="60" t="n"/>
      <c r="D206" s="60" t="n"/>
      <c r="E206" s="60" t="n"/>
      <c r="F206" s="60" t="n"/>
      <c r="G206" s="60" t="n"/>
      <c r="H206" s="60" t="n"/>
      <c r="I206" s="61" t="n"/>
    </row>
  </sheetData>
  <mergeCells count="40">
    <mergeCell ref="C61:I61"/>
    <mergeCell ref="A65:I65"/>
    <mergeCell ref="D13:F13"/>
    <mergeCell ref="A54:I54"/>
    <mergeCell ref="G13:I13"/>
    <mergeCell ref="B8:D8"/>
    <mergeCell ref="A66:I66"/>
    <mergeCell ref="B46:C46"/>
    <mergeCell ref="B59:I59"/>
    <mergeCell ref="A12:I12"/>
    <mergeCell ref="C57:I57"/>
    <mergeCell ref="D47:I47"/>
    <mergeCell ref="B56:I56"/>
    <mergeCell ref="A5:I5"/>
    <mergeCell ref="B9:D9"/>
    <mergeCell ref="C62:I62"/>
    <mergeCell ref="B6:D6"/>
    <mergeCell ref="C58:I58"/>
    <mergeCell ref="B44:C44"/>
    <mergeCell ref="A13:C13"/>
    <mergeCell ref="A68:I68"/>
    <mergeCell ref="A10:I10"/>
    <mergeCell ref="A1:I4"/>
    <mergeCell ref="C64:I64"/>
    <mergeCell ref="A47:B47"/>
    <mergeCell ref="A67:I67"/>
    <mergeCell ref="D44:I44"/>
    <mergeCell ref="B7:D7"/>
    <mergeCell ref="C63:I63"/>
    <mergeCell ref="A48:I48"/>
    <mergeCell ref="A50:I53"/>
    <mergeCell ref="A73:I73"/>
    <mergeCell ref="A11:I11"/>
    <mergeCell ref="D46:I46"/>
    <mergeCell ref="B55:I55"/>
    <mergeCell ref="A60:I60"/>
    <mergeCell ref="A145:D145"/>
    <mergeCell ref="B45:C45"/>
    <mergeCell ref="D45:I45"/>
    <mergeCell ref="E145:I145"/>
  </mergeCells>
  <printOptions horizontalCentered="1"/>
  <pageMargins left="0.2362204724409449" right="0.2362204724409449" top="0.7480314960629921" bottom="0.7480314960629921" header="0.3149606299212598" footer="0.3149606299212598"/>
  <pageSetup orientation="portrait" paperSize="9" scale="35" fitToHeight="0"/>
</worksheet>
</file>

<file path=xl/worksheets/sheet13.xml><?xml version="1.0" encoding="utf-8"?>
<worksheet xmlns="http://schemas.openxmlformats.org/spreadsheetml/2006/main">
  <sheetPr>
    <outlinePr summaryBelow="1" summaryRight="1"/>
    <pageSetUpPr fitToPage="1"/>
  </sheetPr>
  <dimension ref="A1:J206"/>
  <sheetViews>
    <sheetView view="pageBreakPreview" topLeftCell="A27" zoomScale="60" zoomScaleNormal="55" workbookViewId="0">
      <selection activeCell="A50" sqref="A50:I53"/>
    </sheetView>
  </sheetViews>
  <sheetFormatPr baseColWidth="8" defaultColWidth="9.140625" defaultRowHeight="14.45"/>
  <cols>
    <col width="62.140625" bestFit="1" customWidth="1" style="232" min="1" max="1"/>
    <col width="36.7109375" bestFit="1" customWidth="1" style="232" min="2" max="2"/>
    <col width="16" customWidth="1" style="232" min="3" max="3"/>
    <col width="28.710937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45884</v>
      </c>
    </row>
    <row r="7" ht="23.1" customHeight="1">
      <c r="A7" s="82" t="inlineStr">
        <is>
          <t>Project Location:</t>
        </is>
      </c>
      <c r="B7" s="267" t="inlineStr">
        <is>
          <t>Geraldton</t>
        </is>
      </c>
      <c r="E7" s="267" t="n"/>
      <c r="F7" s="84" t="n"/>
      <c r="G7" s="84" t="n"/>
      <c r="H7" s="87" t="inlineStr">
        <is>
          <t>Day:</t>
        </is>
      </c>
      <c r="I7" s="88" t="n">
        <v>45884</v>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81</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18 degrees    Wind: 35 km/h E Precip: 0mm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n"/>
      <c r="E15" s="99" t="n"/>
      <c r="F15" s="97" t="n"/>
      <c r="G15" s="100" t="inlineStr">
        <is>
          <t>Khegan Brockman</t>
        </is>
      </c>
      <c r="H15" s="97" t="inlineStr">
        <is>
          <t>Labourer</t>
        </is>
      </c>
      <c r="I15" s="101" t="n">
        <v>10.5</v>
      </c>
    </row>
    <row r="16" ht="23.1" customHeight="1">
      <c r="A16" s="96" t="inlineStr">
        <is>
          <t>GRIFFITHS, Daniel</t>
        </is>
      </c>
      <c r="B16" s="97" t="inlineStr">
        <is>
          <t>Project Manager</t>
        </is>
      </c>
      <c r="C16" s="102" t="n">
        <v>9</v>
      </c>
      <c r="D16" s="103" t="n"/>
      <c r="E16" s="103" t="n"/>
      <c r="F16" s="97" t="n"/>
      <c r="G16" s="100" t="inlineStr">
        <is>
          <t>Laurent Levy</t>
        </is>
      </c>
      <c r="H16" s="97" t="inlineStr">
        <is>
          <t>Operator</t>
        </is>
      </c>
      <c r="I16" s="101" t="n">
        <v>10</v>
      </c>
    </row>
    <row r="17" ht="23.1" customHeight="1">
      <c r="A17" s="96" t="inlineStr">
        <is>
          <t>O"SHEA, John</t>
        </is>
      </c>
      <c r="B17" s="97" t="inlineStr">
        <is>
          <t>Senior Project Engineer</t>
        </is>
      </c>
      <c r="C17" s="102" t="n"/>
      <c r="D17" s="103" t="n"/>
      <c r="E17" s="103" t="n"/>
      <c r="F17" s="97" t="n"/>
      <c r="G17" s="100" t="inlineStr">
        <is>
          <t>Daniel McAuffile</t>
        </is>
      </c>
      <c r="H17" s="97" t="inlineStr">
        <is>
          <t>Operator</t>
        </is>
      </c>
      <c r="I17" s="101" t="n">
        <v>10</v>
      </c>
    </row>
    <row r="18" ht="23.1" customHeight="1">
      <c r="A18" s="96" t="inlineStr">
        <is>
          <t>GRIFFITHS, Ashley</t>
        </is>
      </c>
      <c r="B18" s="97" t="inlineStr">
        <is>
          <t>Supervisor</t>
        </is>
      </c>
      <c r="C18" s="102" t="n">
        <v>6</v>
      </c>
      <c r="D18" s="99" t="n"/>
      <c r="E18" s="99" t="n"/>
      <c r="F18" s="97" t="n"/>
      <c r="G18" s="100" t="inlineStr">
        <is>
          <t>Jachai Griffiths</t>
        </is>
      </c>
      <c r="H18" s="97" t="inlineStr">
        <is>
          <t>Operator</t>
        </is>
      </c>
      <c r="I18" s="101" t="n"/>
    </row>
    <row r="19" ht="23.1" customHeight="1">
      <c r="A19" s="96" t="inlineStr">
        <is>
          <t>LOW, June</t>
        </is>
      </c>
      <c r="B19" s="97" t="inlineStr">
        <is>
          <t>HSET</t>
        </is>
      </c>
      <c r="C19" s="102" t="n"/>
      <c r="D19" s="99" t="n"/>
      <c r="E19" s="99" t="n"/>
      <c r="F19" s="97" t="n"/>
      <c r="G19" s="100" t="inlineStr">
        <is>
          <t>O'Brian, Jamie</t>
        </is>
      </c>
      <c r="H19" s="97" t="inlineStr">
        <is>
          <t>Operator</t>
        </is>
      </c>
      <c r="I19" s="101" t="n">
        <v>10.5</v>
      </c>
    </row>
    <row r="20" ht="23.1" customHeight="1">
      <c r="A20" s="96" t="inlineStr">
        <is>
          <t>SKINNER,JAMIE</t>
        </is>
      </c>
      <c r="B20" s="97" t="inlineStr">
        <is>
          <t>SUPERVISOR</t>
        </is>
      </c>
      <c r="C20" s="102" t="n">
        <v>11.5</v>
      </c>
      <c r="D20" s="99" t="n"/>
      <c r="E20" s="99" t="n"/>
      <c r="F20" s="97" t="n"/>
      <c r="G20" s="42" t="inlineStr">
        <is>
          <t>O'Reilly,James</t>
        </is>
      </c>
      <c r="H20" s="97" t="inlineStr">
        <is>
          <t>Operator</t>
        </is>
      </c>
      <c r="I20" s="101" t="n"/>
    </row>
    <row r="21" ht="23.1" customHeight="1">
      <c r="A21" s="96" t="n"/>
      <c r="B21" s="97" t="n"/>
      <c r="C21" s="102" t="n"/>
      <c r="D21" s="99" t="n"/>
      <c r="E21" s="99" t="n"/>
      <c r="F21" s="97" t="n"/>
      <c r="G21" s="100" t="inlineStr">
        <is>
          <t>Chester, Matt</t>
        </is>
      </c>
      <c r="H21" s="97" t="inlineStr">
        <is>
          <t>Gas Fitter</t>
        </is>
      </c>
      <c r="I21" s="101" t="n"/>
    </row>
    <row r="22" ht="23.1" customHeight="1">
      <c r="A22" s="96" t="n"/>
      <c r="B22" s="97" t="n"/>
      <c r="C22" s="102" t="n"/>
      <c r="D22" s="99" t="n"/>
      <c r="E22" s="99" t="n"/>
      <c r="F22" s="97" t="n"/>
      <c r="G22" s="100" t="inlineStr">
        <is>
          <t>Mounsey, Matt</t>
        </is>
      </c>
      <c r="H22" s="97" t="inlineStr">
        <is>
          <t>Gas Fitter</t>
        </is>
      </c>
      <c r="I22" s="101" t="n"/>
    </row>
    <row r="23" ht="23.1" customHeight="1">
      <c r="A23" s="96" t="n"/>
      <c r="B23" s="97" t="n"/>
      <c r="C23" s="102" t="n"/>
      <c r="D23" s="99" t="n"/>
      <c r="E23" s="99" t="n"/>
      <c r="F23" s="97" t="n"/>
      <c r="G23" s="100" t="inlineStr">
        <is>
          <t>Herring, Levin</t>
        </is>
      </c>
      <c r="H23" s="97" t="inlineStr">
        <is>
          <t>Gas Fitter</t>
        </is>
      </c>
      <c r="I23" s="101" t="n"/>
    </row>
    <row r="24" ht="23.1" customHeight="1">
      <c r="A24" s="96" t="n"/>
      <c r="B24" s="97" t="n"/>
      <c r="C24" s="102" t="n"/>
      <c r="D24" s="99" t="n"/>
      <c r="E24" s="99" t="n"/>
      <c r="F24" s="97" t="n"/>
      <c r="G24" s="100" t="inlineStr">
        <is>
          <t>Mosley,Joshua</t>
        </is>
      </c>
      <c r="H24" s="97" t="inlineStr">
        <is>
          <t>Surveyor</t>
        </is>
      </c>
      <c r="I24" s="101" t="n">
        <v>2</v>
      </c>
    </row>
    <row r="25" ht="23.1" customHeight="1">
      <c r="A25" s="96" t="n"/>
      <c r="B25" s="97" t="n"/>
      <c r="C25" s="102" t="n"/>
      <c r="D25" s="99" t="n"/>
      <c r="E25" s="99" t="n"/>
      <c r="F25" s="97" t="n"/>
      <c r="G25" s="107" t="n"/>
      <c r="H25" s="107" t="n"/>
      <c r="I25" s="107" t="n"/>
    </row>
    <row r="26" ht="23.1" customHeight="1">
      <c r="A26" s="255" t="inlineStr">
        <is>
          <t xml:space="preserve">Total Indirect Personnel onsite: </t>
        </is>
      </c>
      <c r="B26" s="105">
        <f>COUNT(C15:C26)</f>
        <v/>
      </c>
      <c r="C26" s="99" t="n"/>
      <c r="D26" s="99" t="n"/>
      <c r="E26" s="99" t="n"/>
      <c r="F26" s="97" t="n"/>
      <c r="G26" s="106" t="inlineStr">
        <is>
          <t>Total Subcontractor on-site:</t>
        </is>
      </c>
      <c r="H26" s="107">
        <f>COUNTIF(I15:I24,"&gt;0")</f>
        <v/>
      </c>
      <c r="I26" s="101" t="n"/>
    </row>
    <row r="27" ht="23.1" customHeight="1">
      <c r="A27" s="255" t="inlineStr">
        <is>
          <t xml:space="preserve">Total Indirect Personnel hours: </t>
        </is>
      </c>
      <c r="B27" s="105">
        <f>SUM(C15:C25)</f>
        <v/>
      </c>
      <c r="C27" s="102" t="n"/>
      <c r="D27" s="99" t="n"/>
      <c r="E27" s="99" t="n"/>
      <c r="F27" s="97" t="n"/>
      <c r="G27" s="106" t="inlineStr">
        <is>
          <t>Total Subcontractor hours:</t>
        </is>
      </c>
      <c r="H27" s="107">
        <f>SUM(I15:I24)</f>
        <v/>
      </c>
      <c r="I27" s="101" t="n"/>
    </row>
    <row r="28" ht="23.1" customHeight="1">
      <c r="A28" s="255" t="inlineStr">
        <is>
          <t xml:space="preserve">Total Direct Personnel onsite:  </t>
        </is>
      </c>
      <c r="B28" s="105">
        <f>COUNTIF(F15:F29,"&gt;0")</f>
        <v/>
      </c>
      <c r="C28" s="105" t="n"/>
      <c r="D28" s="99" t="n"/>
      <c r="E28" s="99" t="n"/>
      <c r="F28" s="108" t="n"/>
      <c r="G28" s="106" t="n"/>
      <c r="H28" s="107" t="n"/>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6 Wheel Tipper</t>
        </is>
      </c>
      <c r="E33" s="102" t="inlineStr">
        <is>
          <t>AMG04</t>
        </is>
      </c>
      <c r="F33" s="102" t="n"/>
      <c r="G33" s="102" t="inlineStr">
        <is>
          <t>Sea Container 20ft</t>
        </is>
      </c>
      <c r="H33" s="97" t="n">
        <v>951200</v>
      </c>
      <c r="I33" s="101" t="n">
        <v>1</v>
      </c>
    </row>
    <row r="34" ht="23.1" customHeight="1">
      <c r="A34" s="115" t="inlineStr">
        <is>
          <t>Positrak</t>
        </is>
      </c>
      <c r="B34" s="102" t="inlineStr">
        <is>
          <t>AMG 025</t>
        </is>
      </c>
      <c r="C34" s="97" t="n">
        <v>10</v>
      </c>
      <c r="D34" s="102" t="n"/>
      <c r="E34" s="97" t="n"/>
      <c r="F34" s="102" t="n"/>
      <c r="G34" s="102" t="inlineStr">
        <is>
          <t>Site Sentry Tower</t>
        </is>
      </c>
      <c r="H34" s="102" t="n"/>
      <c r="I34" s="101" t="n">
        <v>2</v>
      </c>
    </row>
    <row r="35" ht="23.1" customHeight="1">
      <c r="A35" s="115" t="inlineStr">
        <is>
          <t>Watercart</t>
        </is>
      </c>
      <c r="B35" s="102" t="inlineStr">
        <is>
          <t>WC04</t>
        </is>
      </c>
      <c r="C35" s="97" t="n">
        <v>5</v>
      </c>
      <c r="D35" s="102" t="n"/>
      <c r="E35" s="102" t="n"/>
      <c r="F35" s="102" t="n"/>
      <c r="G35" s="102" t="inlineStr">
        <is>
          <t>Skip Bin</t>
        </is>
      </c>
      <c r="H35" s="102" t="n"/>
      <c r="I35" s="101" t="n">
        <v>1</v>
      </c>
    </row>
    <row r="36" ht="23.1" customHeight="1">
      <c r="A36" s="115" t="inlineStr">
        <is>
          <t>8T Excavator</t>
        </is>
      </c>
      <c r="B36" s="116" t="inlineStr">
        <is>
          <t>AMG 014</t>
        </is>
      </c>
      <c r="C36" s="97" t="n">
        <v>10</v>
      </c>
      <c r="D36" s="102" t="n"/>
      <c r="E36" s="102" t="n"/>
      <c r="F36" s="102" t="n"/>
      <c r="G36" s="102" t="inlineStr">
        <is>
          <t>Hydrocarbon Bund</t>
        </is>
      </c>
      <c r="H36" s="102" t="n"/>
      <c r="I36" s="101" t="n">
        <v>1</v>
      </c>
    </row>
    <row r="37" ht="23.1" customHeight="1">
      <c r="A37" s="102" t="inlineStr">
        <is>
          <t>6 Wheel Tipper</t>
        </is>
      </c>
      <c r="B37" s="102" t="inlineStr">
        <is>
          <t>AMG 008</t>
        </is>
      </c>
      <c r="C37" s="102" t="n"/>
      <c r="D37" s="102" t="n"/>
      <c r="E37" s="102" t="n"/>
      <c r="F37" s="102" t="n"/>
      <c r="G37" s="102" t="inlineStr">
        <is>
          <t>Temp Fence</t>
        </is>
      </c>
      <c r="H37" s="97" t="n"/>
      <c r="I37" s="101" t="n">
        <v>1</v>
      </c>
    </row>
    <row r="38" ht="24" customHeight="1">
      <c r="A38" s="115" t="inlineStr">
        <is>
          <t>Padfoot/ Smooth Drum Roller</t>
        </is>
      </c>
      <c r="B38" s="102" t="inlineStr">
        <is>
          <t>RR 03</t>
        </is>
      </c>
      <c r="C38" s="97" t="n"/>
      <c r="D38" s="102" t="n"/>
      <c r="E38" s="102" t="n"/>
      <c r="F38" s="102" t="n"/>
      <c r="G38" s="31" t="n"/>
      <c r="H38" s="31" t="n"/>
      <c r="I38" s="32" t="n"/>
    </row>
    <row r="39" ht="24" customHeight="1">
      <c r="A39" s="115" t="inlineStr">
        <is>
          <t>Positrak SSL</t>
        </is>
      </c>
      <c r="B39" s="102" t="inlineStr">
        <is>
          <t>SSL08</t>
        </is>
      </c>
      <c r="C39" s="97" t="n">
        <v>10</v>
      </c>
      <c r="D39" s="102" t="n"/>
      <c r="E39" s="102" t="n"/>
      <c r="F39" s="102" t="n"/>
      <c r="G39" s="31" t="n"/>
      <c r="H39" s="31" t="n"/>
      <c r="I39" s="32" t="n"/>
    </row>
    <row r="40" ht="23.1" customHeight="1">
      <c r="A40" s="115" t="inlineStr">
        <is>
          <t>Grader</t>
        </is>
      </c>
      <c r="B40" s="102" t="inlineStr">
        <is>
          <t>SLS01</t>
        </is>
      </c>
      <c r="C40" s="97" t="n"/>
      <c r="D40" s="102" t="n"/>
      <c r="E40" s="102" t="n"/>
      <c r="F40" s="102" t="n"/>
      <c r="G40" s="102" t="n"/>
      <c r="H40" s="97" t="n"/>
      <c r="I40" s="101" t="n"/>
    </row>
    <row r="41" ht="23.1" customHeight="1">
      <c r="A41" s="115" t="inlineStr">
        <is>
          <t>5t Excavator</t>
        </is>
      </c>
      <c r="B41" s="102" t="inlineStr">
        <is>
          <t>AMG 007</t>
        </is>
      </c>
      <c r="C41" s="97" t="n">
        <v>10</v>
      </c>
      <c r="D41" s="102" t="n"/>
      <c r="E41" s="102" t="n"/>
      <c r="F41" s="102" t="n"/>
      <c r="G41" s="102" t="n"/>
      <c r="H41" s="97" t="n"/>
      <c r="I41" s="101" t="n"/>
    </row>
    <row r="42" ht="23.1" customHeight="1">
      <c r="A42" s="115" t="inlineStr">
        <is>
          <t>1.5 Excavator</t>
        </is>
      </c>
      <c r="B42" s="102" t="inlineStr">
        <is>
          <t>AMG 009</t>
        </is>
      </c>
      <c r="C42" s="97" t="n">
        <v>10</v>
      </c>
      <c r="D42" s="102" t="n"/>
      <c r="E42" s="102" t="n"/>
      <c r="F42" s="102" t="n"/>
      <c r="G42" s="102" t="n"/>
      <c r="H42" s="97" t="n"/>
      <c r="I42" s="101" t="n"/>
    </row>
    <row r="43" ht="24" customHeight="1">
      <c r="A43" s="115" t="n"/>
      <c r="B43" s="102" t="n"/>
      <c r="C43" s="97" t="n"/>
      <c r="D43" s="31" t="n"/>
      <c r="E43" s="31" t="n"/>
      <c r="F43" s="31" t="n"/>
      <c r="G43" s="31" t="n"/>
      <c r="H43" s="31" t="n"/>
      <c r="I43" s="32" t="n"/>
    </row>
    <row r="44" ht="18" customHeight="1">
      <c r="A44" s="117" t="n">
        <v>0</v>
      </c>
      <c r="B44" s="260" t="inlineStr">
        <is>
          <t xml:space="preserve">Repairs Required </t>
        </is>
      </c>
      <c r="C44" s="276" t="n"/>
      <c r="D44" s="249" t="inlineStr">
        <is>
          <t>N/A</t>
        </is>
      </c>
      <c r="E44" s="275" t="n"/>
      <c r="F44" s="275" t="n"/>
      <c r="G44" s="275" t="n"/>
      <c r="H44" s="275" t="n"/>
      <c r="I44" s="277" t="n"/>
    </row>
    <row r="45" ht="18" customHeight="1">
      <c r="A45" s="118" t="n">
        <v>0</v>
      </c>
      <c r="B45" s="260" t="inlineStr">
        <is>
          <t>Scheduled Service</t>
        </is>
      </c>
      <c r="C45" s="276" t="n"/>
      <c r="D45" s="249" t="inlineStr">
        <is>
          <t>N/A</t>
        </is>
      </c>
      <c r="E45" s="275" t="n"/>
      <c r="F45" s="275" t="n"/>
      <c r="G45" s="275" t="n"/>
      <c r="H45" s="275" t="n"/>
      <c r="I45" s="277" t="n"/>
    </row>
    <row r="46" ht="18" customHeight="1">
      <c r="A46" s="119" t="n">
        <v>0</v>
      </c>
      <c r="B46" s="260" t="inlineStr">
        <is>
          <t>Repairs required but operable</t>
        </is>
      </c>
      <c r="C46" s="276" t="n"/>
      <c r="D46" s="249" t="inlineStr">
        <is>
          <t>N/A</t>
        </is>
      </c>
      <c r="E46" s="275" t="n"/>
      <c r="F46" s="275" t="n"/>
      <c r="G46" s="275" t="n"/>
      <c r="H46" s="275" t="n"/>
      <c r="I46" s="277" t="n"/>
    </row>
    <row r="47" ht="23.1" customHeight="1">
      <c r="A47" s="255" t="inlineStr">
        <is>
          <t xml:space="preserve">Total Plant and Equipment Hours: </t>
        </is>
      </c>
      <c r="B47" s="276" t="n"/>
      <c r="C47" s="120">
        <f>SUM(C32:C43)</f>
        <v/>
      </c>
      <c r="D47" s="256" t="n"/>
      <c r="E47" s="275" t="n"/>
      <c r="F47" s="275" t="n"/>
      <c r="G47" s="275" t="n"/>
      <c r="H47" s="275" t="n"/>
      <c r="I47" s="277" t="n"/>
    </row>
    <row r="48" ht="24.95" customHeight="1">
      <c r="A48" s="245" t="inlineStr">
        <is>
          <t>DELAYS-OPPORTUNITY</t>
        </is>
      </c>
      <c r="B48" s="275" t="n"/>
      <c r="C48" s="275" t="n"/>
      <c r="D48" s="275" t="n"/>
      <c r="E48" s="275" t="n"/>
      <c r="F48" s="275" t="n"/>
      <c r="G48" s="275" t="n"/>
      <c r="H48" s="275" t="n"/>
      <c r="I48" s="277" t="n"/>
    </row>
    <row r="49" ht="20.1" customHeight="1">
      <c r="A49" s="121" t="n"/>
      <c r="B49" s="122" t="n"/>
      <c r="C49" s="122" t="n"/>
      <c r="D49" s="122" t="n"/>
      <c r="E49" s="122" t="n"/>
      <c r="F49" s="122" t="n"/>
      <c r="G49" s="122" t="n"/>
      <c r="H49" s="122" t="n"/>
      <c r="I49" s="123" t="n"/>
    </row>
    <row r="50">
      <c r="A50" s="244" t="inlineStr">
        <is>
          <t xml:space="preserve">Awaiting Detail on Centrelink Carpark
Awaiting Crossing Details for Forrest Street
Awaiting Direction on Service Clash Forrest Street
Awaiting Feedback on Batters Treatment </t>
        </is>
      </c>
      <c r="B50" s="278" t="n"/>
      <c r="C50" s="278" t="n"/>
      <c r="D50" s="278" t="n"/>
      <c r="E50" s="278" t="n"/>
      <c r="F50" s="278" t="n"/>
      <c r="G50" s="278" t="n"/>
      <c r="H50" s="278" t="n"/>
      <c r="I50" s="279" t="n"/>
    </row>
    <row r="51">
      <c r="A51" s="270" t="n"/>
      <c r="I51" s="271" t="n"/>
    </row>
    <row r="52">
      <c r="A52" s="270" t="n"/>
      <c r="I52" s="271" t="n"/>
    </row>
    <row r="53" ht="13.5" customHeight="1" thickBot="1">
      <c r="A53" s="280" t="n"/>
      <c r="B53" s="281" t="n"/>
      <c r="C53" s="281" t="n"/>
      <c r="D53" s="281" t="n"/>
      <c r="E53" s="281" t="n"/>
      <c r="F53" s="281" t="n"/>
      <c r="G53" s="281" t="n"/>
      <c r="H53" s="281" t="n"/>
      <c r="I53" s="282" t="n"/>
    </row>
    <row r="54" ht="24.95" customHeight="1">
      <c r="A54" s="252" t="inlineStr">
        <is>
          <t>HSEQ MESSAGES</t>
        </is>
      </c>
      <c r="B54" s="283" t="n"/>
      <c r="C54" s="283" t="n"/>
      <c r="D54" s="283" t="n"/>
      <c r="E54" s="283" t="n"/>
      <c r="F54" s="283" t="n"/>
      <c r="G54" s="283" t="n"/>
      <c r="H54" s="283" t="n"/>
      <c r="I54" s="284" t="n"/>
    </row>
    <row r="55" ht="18" customHeight="1">
      <c r="A55" s="124" t="inlineStr">
        <is>
          <t>TCD - Monthly Safety Focus:</t>
        </is>
      </c>
      <c r="B55" s="257" t="inlineStr">
        <is>
          <t>Return to Work</t>
        </is>
      </c>
      <c r="C55" s="275" t="n"/>
      <c r="D55" s="275" t="n"/>
      <c r="E55" s="275" t="n"/>
      <c r="F55" s="275" t="n"/>
      <c r="G55" s="275" t="n"/>
      <c r="H55" s="275" t="n"/>
      <c r="I55" s="276" t="n"/>
    </row>
    <row r="56" ht="24" customHeight="1">
      <c r="A56" s="124" t="inlineStr">
        <is>
          <t>TCD - Daily Safety Focus:</t>
        </is>
      </c>
      <c r="B56" s="258" t="inlineStr">
        <is>
          <t>Simops</t>
        </is>
      </c>
      <c r="C56" s="275" t="n"/>
      <c r="D56" s="275" t="n"/>
      <c r="E56" s="275" t="n"/>
      <c r="F56" s="275" t="n"/>
      <c r="G56" s="275" t="n"/>
      <c r="H56" s="275" t="n"/>
      <c r="I56" s="277" t="n"/>
    </row>
    <row r="57" ht="18" customHeight="1">
      <c r="A57" s="125" t="inlineStr">
        <is>
          <t xml:space="preserve">Hazards Reported: </t>
        </is>
      </c>
      <c r="B57" s="126" t="inlineStr">
        <is>
          <t>Nil</t>
        </is>
      </c>
      <c r="C57" s="258" t="n"/>
      <c r="D57" s="275" t="n"/>
      <c r="E57" s="275" t="n"/>
      <c r="F57" s="275" t="n"/>
      <c r="G57" s="275" t="n"/>
      <c r="H57" s="275" t="n"/>
      <c r="I57" s="277" t="n"/>
    </row>
    <row r="58" ht="18" customHeight="1">
      <c r="A58" s="125" t="inlineStr">
        <is>
          <t>Incident Free Days</t>
        </is>
      </c>
      <c r="B58" s="126" t="n">
        <v>2</v>
      </c>
      <c r="C58" s="257" t="n"/>
      <c r="D58" s="275" t="n"/>
      <c r="E58" s="275" t="n"/>
      <c r="F58" s="275" t="n"/>
      <c r="G58" s="275" t="n"/>
      <c r="H58" s="275" t="n"/>
      <c r="I58" s="276" t="n"/>
    </row>
    <row r="59" ht="18" customHeight="1">
      <c r="A59" s="127" t="inlineStr">
        <is>
          <t>Other Notes</t>
        </is>
      </c>
      <c r="B59" s="259" t="n"/>
      <c r="C59" s="278" t="n"/>
      <c r="D59" s="278" t="n"/>
      <c r="E59" s="278" t="n"/>
      <c r="F59" s="278" t="n"/>
      <c r="G59" s="278" t="n"/>
      <c r="H59" s="278" t="n"/>
      <c r="I59" s="279" t="n"/>
    </row>
    <row r="60" ht="20.25" customHeight="1">
      <c r="A60" s="245" t="inlineStr">
        <is>
          <t xml:space="preserve">INCIDENTS &amp; REPORTS </t>
        </is>
      </c>
      <c r="B60" s="275" t="n"/>
      <c r="C60" s="275" t="n"/>
      <c r="D60" s="275" t="n"/>
      <c r="E60" s="275" t="n"/>
      <c r="F60" s="275" t="n"/>
      <c r="G60" s="275" t="n"/>
      <c r="H60" s="275" t="n"/>
      <c r="I60" s="277" t="n"/>
    </row>
    <row r="61" ht="24.95" customHeight="1">
      <c r="A61" s="128" t="n"/>
      <c r="B61" s="263" t="inlineStr">
        <is>
          <t>QTY</t>
        </is>
      </c>
      <c r="C61" s="254" t="inlineStr">
        <is>
          <t>Comments</t>
        </is>
      </c>
      <c r="D61" s="275" t="n"/>
      <c r="E61" s="275" t="n"/>
      <c r="F61" s="275" t="n"/>
      <c r="G61" s="275" t="n"/>
      <c r="H61" s="275" t="n"/>
      <c r="I61" s="277" t="n"/>
    </row>
    <row r="62" ht="24.95" customHeight="1">
      <c r="A62" s="129" t="inlineStr">
        <is>
          <t>INCIDENT</t>
        </is>
      </c>
      <c r="B62" s="263" t="n">
        <v>0</v>
      </c>
      <c r="C62" s="249" t="inlineStr">
        <is>
          <t>NA</t>
        </is>
      </c>
      <c r="D62" s="275" t="n"/>
      <c r="E62" s="275" t="n"/>
      <c r="F62" s="275" t="n"/>
      <c r="G62" s="275" t="n"/>
      <c r="H62" s="275" t="n"/>
      <c r="I62" s="277" t="n"/>
    </row>
    <row r="63" ht="24.95" customHeight="1">
      <c r="A63" s="130" t="inlineStr">
        <is>
          <t>IR</t>
        </is>
      </c>
      <c r="B63" s="131" t="n">
        <v>0</v>
      </c>
      <c r="C63" s="250" t="inlineStr">
        <is>
          <t>NA</t>
        </is>
      </c>
      <c r="D63" s="278" t="n"/>
      <c r="E63" s="278" t="n"/>
      <c r="F63" s="278" t="n"/>
      <c r="G63" s="278" t="n"/>
      <c r="H63" s="278" t="n"/>
      <c r="I63" s="279" t="n"/>
    </row>
    <row r="64" ht="24.95" customHeight="1" thickBot="1">
      <c r="A64" s="132" t="inlineStr">
        <is>
          <t>NCR</t>
        </is>
      </c>
      <c r="B64" s="133" t="n">
        <v>0</v>
      </c>
      <c r="C64" s="251" t="inlineStr">
        <is>
          <t>NA</t>
        </is>
      </c>
      <c r="D64" s="285" t="n"/>
      <c r="E64" s="285" t="n"/>
      <c r="F64" s="285" t="n"/>
      <c r="G64" s="285" t="n"/>
      <c r="H64" s="285" t="n"/>
      <c r="I64" s="286" t="n"/>
    </row>
    <row r="65" ht="20.25" customHeight="1">
      <c r="A65" s="252" t="inlineStr">
        <is>
          <t>COMMUNICATIONS</t>
        </is>
      </c>
      <c r="B65" s="283" t="n"/>
      <c r="C65" s="283" t="n"/>
      <c r="D65" s="283" t="n"/>
      <c r="E65" s="283" t="n"/>
      <c r="F65" s="283" t="n"/>
      <c r="G65" s="283" t="n"/>
      <c r="H65" s="283" t="n"/>
      <c r="I65" s="284" t="n"/>
    </row>
    <row r="66" ht="24.95" customHeight="1">
      <c r="A66" s="253" t="inlineStr">
        <is>
          <t>TGS MB1119-05 Scheme D impletmented</t>
        </is>
      </c>
      <c r="B66" s="275" t="n"/>
      <c r="C66" s="275" t="n"/>
      <c r="D66" s="275" t="n"/>
      <c r="E66" s="275" t="n"/>
      <c r="F66" s="275" t="n"/>
      <c r="G66" s="275" t="n"/>
      <c r="H66" s="275" t="n"/>
      <c r="I66" s="277" t="n"/>
    </row>
    <row r="67" ht="24.95" customHeight="1">
      <c r="A67" s="253" t="n"/>
      <c r="B67" s="275" t="n"/>
      <c r="C67" s="275" t="n"/>
      <c r="D67" s="275" t="n"/>
      <c r="E67" s="275" t="n"/>
      <c r="F67" s="275" t="n"/>
      <c r="G67" s="275" t="n"/>
      <c r="H67" s="275" t="n"/>
      <c r="I67" s="277" t="n"/>
    </row>
    <row r="68" ht="24.95" customHeight="1">
      <c r="A68" s="245" t="inlineStr">
        <is>
          <t>PRODUCTION (CONSTRUCTION STATUS &amp; PROGRESS)</t>
        </is>
      </c>
      <c r="B68" s="275" t="n"/>
      <c r="C68" s="275" t="n"/>
      <c r="D68" s="275" t="n"/>
      <c r="E68" s="275" t="n"/>
      <c r="F68" s="275" t="n"/>
      <c r="G68" s="275" t="n"/>
      <c r="H68" s="275" t="n"/>
      <c r="I68" s="277" t="n"/>
    </row>
    <row r="69" ht="24.95" customHeight="1">
      <c r="A69" s="134" t="inlineStr">
        <is>
          <t>.Balancing of Basecourse material@Bayly to Forrest street</t>
        </is>
      </c>
      <c r="B69" s="135" t="n"/>
      <c r="C69" s="79" t="inlineStr">
        <is>
          <t xml:space="preserve">.Concreting of Watermain bends </t>
        </is>
      </c>
      <c r="D69" s="79" t="n"/>
      <c r="E69" s="135" t="n"/>
      <c r="F69" s="135" t="n"/>
      <c r="G69" s="135" t="n"/>
      <c r="H69" s="135" t="n"/>
      <c r="I69" s="136" t="n"/>
    </row>
    <row r="70" ht="24.95" customHeight="1">
      <c r="A70" s="134" t="inlineStr">
        <is>
          <t>.Rolling Sub-base material</t>
        </is>
      </c>
      <c r="B70" s="135" t="n"/>
      <c r="C70" s="79" t="n"/>
      <c r="D70" s="79" t="n"/>
      <c r="E70" s="135" t="n"/>
      <c r="F70" s="135" t="n"/>
      <c r="G70" s="135" t="n"/>
      <c r="H70" s="135" t="n"/>
      <c r="I70" s="136" t="n"/>
    </row>
    <row r="71" ht="24.95" customHeight="1">
      <c r="A71" s="134" t="inlineStr">
        <is>
          <t>.Trimming pick-ups</t>
        </is>
      </c>
      <c r="B71" s="135" t="n"/>
      <c r="C71" s="79" t="n"/>
      <c r="D71" s="135" t="n"/>
      <c r="E71" s="135" t="n"/>
      <c r="F71" s="135" t="n"/>
      <c r="G71" s="135" t="n"/>
      <c r="H71" s="135" t="n"/>
      <c r="I71" s="136" t="n"/>
    </row>
    <row r="72" ht="24.95" customHeight="1">
      <c r="A72" s="134" t="inlineStr">
        <is>
          <t>.Soil test Basecourse@Bayly to Forrest st</t>
        </is>
      </c>
      <c r="B72" s="135" t="n"/>
      <c r="C72" s="79" t="n"/>
      <c r="D72" s="135" t="n"/>
      <c r="E72" s="135" t="n"/>
      <c r="F72" s="135" t="n"/>
      <c r="G72" s="135" t="n"/>
      <c r="H72" s="135" t="n"/>
      <c r="I72" s="136" t="n"/>
    </row>
    <row r="73" ht="26.1" customHeight="1" thickBot="1">
      <c r="A73" s="246" t="inlineStr">
        <is>
          <t>Photos</t>
        </is>
      </c>
      <c r="B73" s="278" t="n"/>
      <c r="C73" s="278" t="n"/>
      <c r="D73" s="278" t="n"/>
      <c r="E73" s="278" t="n"/>
      <c r="F73" s="278" t="n"/>
      <c r="G73" s="278" t="n"/>
      <c r="H73" s="278" t="n"/>
      <c r="I73" s="279" t="n"/>
    </row>
    <row r="74" ht="23.1" customHeight="1">
      <c r="A74" s="137" t="n"/>
      <c r="B74" s="138" t="n"/>
      <c r="C74" s="138" t="n"/>
      <c r="D74" s="138" t="n"/>
      <c r="E74" s="138" t="n"/>
      <c r="F74" s="138" t="n"/>
      <c r="G74" s="138" t="n"/>
      <c r="H74" s="138" t="n"/>
      <c r="I74" s="139" t="n"/>
    </row>
    <row r="75" ht="23.1" customHeight="1">
      <c r="A75" s="140" t="n"/>
      <c r="B75" s="141" t="n"/>
      <c r="C75" s="141" t="n"/>
      <c r="D75" s="141" t="n"/>
      <c r="E75" s="141" t="n"/>
      <c r="F75" s="141" t="n"/>
      <c r="G75" s="141" t="n"/>
      <c r="H75" s="141" t="n"/>
      <c r="I75" s="142" t="n"/>
    </row>
    <row r="76" ht="15"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H96" s="141" t="n"/>
      <c r="I96" s="142" t="n"/>
    </row>
    <row r="97" ht="24.95" customFormat="1" customHeight="1" s="81">
      <c r="A97" s="140" t="n"/>
      <c r="B97" s="141" t="n"/>
      <c r="C97" s="141" t="n"/>
      <c r="D97" s="141" t="n"/>
      <c r="E97" s="141" t="n"/>
      <c r="F97" s="141" t="n"/>
      <c r="G97" s="141" t="n"/>
      <c r="H97" s="141" t="n"/>
      <c r="I97" s="142" t="n"/>
    </row>
    <row r="98" ht="15" customHeight="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thickBot="1">
      <c r="A112" s="143" t="n"/>
      <c r="B112" s="144" t="n"/>
      <c r="C112" s="144" t="n"/>
      <c r="D112" s="144" t="n"/>
      <c r="E112" s="144" t="n"/>
      <c r="F112" s="144" t="n"/>
      <c r="G112" s="144" t="n"/>
      <c r="H112" s="144" t="n"/>
      <c r="I112" s="145" t="n"/>
    </row>
    <row r="113" ht="15" customHeight="1">
      <c r="A113" s="140" t="n"/>
      <c r="B113" s="141" t="n"/>
      <c r="C113" s="141" t="n"/>
      <c r="D113" s="141" t="n"/>
      <c r="E113" s="141" t="n"/>
      <c r="F113" s="141" t="n"/>
      <c r="G113" s="141" t="n"/>
      <c r="H113" s="141" t="n"/>
      <c r="I113" s="142"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24.95" customHeight="1">
      <c r="A121" s="140" t="n"/>
      <c r="B121" s="141" t="n"/>
      <c r="C121" s="141" t="n"/>
      <c r="D121" s="141" t="n"/>
      <c r="E121" s="141" t="n"/>
      <c r="F121" s="141" t="n"/>
      <c r="G121" s="141" t="n"/>
      <c r="H121" s="141" t="n"/>
      <c r="I121" s="142" t="n"/>
    </row>
    <row r="122" ht="1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27.95" customHeight="1">
      <c r="A124" s="140" t="n"/>
      <c r="B124" s="141" t="n"/>
      <c r="C124" s="141" t="n"/>
      <c r="D124" s="141" t="n"/>
      <c r="E124" s="141" t="n"/>
      <c r="F124" s="141" t="n"/>
      <c r="G124" s="141" t="n"/>
      <c r="H124" s="141" t="n"/>
      <c r="I124" s="142" t="n"/>
    </row>
    <row r="125" ht="1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thickBot="1">
      <c r="A137" s="140" t="n"/>
      <c r="B137" s="141" t="n"/>
      <c r="C137" s="141" t="n"/>
      <c r="D137" s="141" t="n"/>
      <c r="E137" s="141" t="n"/>
      <c r="F137" s="141" t="n"/>
      <c r="G137" s="141" t="n"/>
      <c r="H137" s="141" t="n"/>
      <c r="I137" s="142" t="n"/>
      <c r="J137" s="146" t="n"/>
    </row>
    <row r="138" ht="15" customHeight="1">
      <c r="A138" s="140" t="n"/>
      <c r="B138" s="141" t="n"/>
      <c r="C138" s="141" t="n"/>
      <c r="D138" s="141" t="n"/>
      <c r="E138" s="141" t="n"/>
      <c r="F138" s="141" t="n"/>
      <c r="G138" s="141" t="n"/>
      <c r="H138" s="141" t="n"/>
      <c r="I138" s="142"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95" customHeight="1">
      <c r="A144" s="140" t="n"/>
      <c r="B144" s="141" t="n"/>
      <c r="C144" s="141" t="n"/>
      <c r="D144" s="141" t="n"/>
      <c r="E144" s="141" t="n"/>
      <c r="F144" s="141" t="n"/>
      <c r="G144" s="141" t="n"/>
      <c r="H144" s="141" t="n"/>
      <c r="I144" s="142" t="n"/>
    </row>
    <row r="145" ht="30.75" customHeight="1">
      <c r="A145" s="247" t="n"/>
      <c r="E145" s="248" t="n"/>
      <c r="I145" s="271" t="n"/>
    </row>
    <row r="146">
      <c r="A146" s="64" t="n"/>
      <c r="I146" s="65"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I180" s="65" t="n"/>
    </row>
    <row r="181">
      <c r="A181" s="64" t="n"/>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ht="15.95" customHeight="1" thickBot="1">
      <c r="A199" s="59" t="n"/>
      <c r="B199" s="60" t="n"/>
      <c r="C199" s="60" t="n"/>
      <c r="D199" s="60" t="n"/>
      <c r="E199" s="60" t="n"/>
      <c r="F199" s="60" t="n"/>
      <c r="G199" s="60" t="n"/>
      <c r="H199" s="60" t="n"/>
      <c r="I199" s="61" t="n"/>
    </row>
    <row r="200">
      <c r="A200" s="64" t="n"/>
      <c r="I200" s="65" t="n"/>
    </row>
    <row r="201">
      <c r="A201" s="64" t="n"/>
      <c r="I201" s="65" t="n"/>
    </row>
    <row r="202">
      <c r="A202" s="64" t="n"/>
      <c r="I202" s="65" t="n"/>
    </row>
    <row r="203">
      <c r="A203" s="64" t="n"/>
      <c r="I203" s="65" t="n"/>
    </row>
    <row r="204">
      <c r="A204" s="64" t="n"/>
      <c r="I204" s="65" t="n"/>
    </row>
    <row r="205">
      <c r="A205" s="64" t="n"/>
      <c r="I205" s="65" t="n"/>
    </row>
    <row r="206" ht="15.95" customHeight="1" thickBot="1">
      <c r="A206" s="59" t="n"/>
      <c r="B206" s="60" t="n"/>
      <c r="C206" s="60" t="n"/>
      <c r="D206" s="60" t="n"/>
      <c r="E206" s="60" t="n"/>
      <c r="F206" s="60" t="n"/>
      <c r="G206" s="60" t="n"/>
      <c r="H206" s="60" t="n"/>
      <c r="I206" s="61" t="n"/>
    </row>
  </sheetData>
  <mergeCells count="40">
    <mergeCell ref="C61:I61"/>
    <mergeCell ref="A65:I65"/>
    <mergeCell ref="D13:F13"/>
    <mergeCell ref="A54:I54"/>
    <mergeCell ref="G13:I13"/>
    <mergeCell ref="B8:D8"/>
    <mergeCell ref="A66:I66"/>
    <mergeCell ref="B46:C46"/>
    <mergeCell ref="B59:I59"/>
    <mergeCell ref="A12:I12"/>
    <mergeCell ref="C57:I57"/>
    <mergeCell ref="D47:I47"/>
    <mergeCell ref="B56:I56"/>
    <mergeCell ref="A5:I5"/>
    <mergeCell ref="B9:D9"/>
    <mergeCell ref="C62:I62"/>
    <mergeCell ref="B6:D6"/>
    <mergeCell ref="C58:I58"/>
    <mergeCell ref="B44:C44"/>
    <mergeCell ref="A13:C13"/>
    <mergeCell ref="A68:I68"/>
    <mergeCell ref="A10:I10"/>
    <mergeCell ref="A1:I4"/>
    <mergeCell ref="C64:I64"/>
    <mergeCell ref="A47:B47"/>
    <mergeCell ref="A67:I67"/>
    <mergeCell ref="D44:I44"/>
    <mergeCell ref="B7:D7"/>
    <mergeCell ref="C63:I63"/>
    <mergeCell ref="A48:I48"/>
    <mergeCell ref="A50:I53"/>
    <mergeCell ref="A73:I73"/>
    <mergeCell ref="A11:I11"/>
    <mergeCell ref="D46:I46"/>
    <mergeCell ref="B55:I55"/>
    <mergeCell ref="A60:I60"/>
    <mergeCell ref="A145:D145"/>
    <mergeCell ref="B45:C45"/>
    <mergeCell ref="D45:I45"/>
    <mergeCell ref="E145:I145"/>
  </mergeCells>
  <printOptions horizontalCentered="1"/>
  <pageMargins left="0.2362204724409449" right="0.2362204724409449" top="0.7480314960629921" bottom="0.7480314960629921" header="0.3149606299212598" footer="0.3149606299212598"/>
  <pageSetup orientation="portrait" paperSize="9" scale="35" fitToHeight="0"/>
  <rowBreaks count="1" manualBreakCount="1">
    <brk id="72" min="0" max="8" man="1"/>
  </rowBreaks>
</worksheet>
</file>

<file path=xl/worksheets/sheet14.xml><?xml version="1.0" encoding="utf-8"?>
<worksheet xmlns="http://schemas.openxmlformats.org/spreadsheetml/2006/main">
  <sheetPr>
    <outlinePr summaryBelow="1" summaryRight="1"/>
    <pageSetUpPr fitToPage="1"/>
  </sheetPr>
  <dimension ref="A1:J206"/>
  <sheetViews>
    <sheetView view="pageBreakPreview" topLeftCell="A21" zoomScale="60" zoomScaleNormal="55" workbookViewId="0">
      <selection activeCell="G22" sqref="G22"/>
    </sheetView>
  </sheetViews>
  <sheetFormatPr baseColWidth="8" defaultColWidth="9.140625" defaultRowHeight="14.45"/>
  <cols>
    <col width="62.140625" bestFit="1" customWidth="1" style="232" min="1" max="1"/>
    <col width="36.7109375" bestFit="1" customWidth="1" style="232" min="2" max="2"/>
    <col width="16" customWidth="1" style="232" min="3" max="3"/>
    <col width="28.710937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45885</v>
      </c>
    </row>
    <row r="7" ht="23.1" customHeight="1">
      <c r="A7" s="82" t="inlineStr">
        <is>
          <t>Project Location:</t>
        </is>
      </c>
      <c r="B7" s="267" t="inlineStr">
        <is>
          <t>Geraldton</t>
        </is>
      </c>
      <c r="E7" s="267" t="n"/>
      <c r="F7" s="84" t="n"/>
      <c r="G7" s="84" t="n"/>
      <c r="H7" s="87" t="inlineStr">
        <is>
          <t>Day:</t>
        </is>
      </c>
      <c r="I7" s="88" t="inlineStr">
        <is>
          <t>Saturday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82</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22 degrees    Wind: 44 km/h NE Precip: 0mm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n"/>
      <c r="E15" s="99" t="n"/>
      <c r="F15" s="97" t="n"/>
      <c r="G15" s="100" t="inlineStr">
        <is>
          <t>Khegan Brockman</t>
        </is>
      </c>
      <c r="H15" s="97" t="inlineStr">
        <is>
          <t>Labourer</t>
        </is>
      </c>
      <c r="I15" s="101" t="n"/>
    </row>
    <row r="16" ht="23.1" customHeight="1">
      <c r="A16" s="96" t="inlineStr">
        <is>
          <t>GRIFFITHS, Daniel</t>
        </is>
      </c>
      <c r="B16" s="97" t="inlineStr">
        <is>
          <t>Project Manager</t>
        </is>
      </c>
      <c r="C16" s="102" t="n">
        <v>6</v>
      </c>
      <c r="D16" s="103" t="n"/>
      <c r="E16" s="103" t="n"/>
      <c r="F16" s="97" t="n"/>
      <c r="G16" s="100" t="inlineStr">
        <is>
          <t>Laurent Levy</t>
        </is>
      </c>
      <c r="H16" s="97" t="inlineStr">
        <is>
          <t>Operator</t>
        </is>
      </c>
      <c r="I16" s="101" t="n">
        <v>6</v>
      </c>
    </row>
    <row r="17" ht="23.1" customHeight="1">
      <c r="A17" s="96" t="inlineStr">
        <is>
          <t>O"SHEA, John</t>
        </is>
      </c>
      <c r="B17" s="97" t="inlineStr">
        <is>
          <t>Senior Project Engineer</t>
        </is>
      </c>
      <c r="C17" s="102" t="n"/>
      <c r="D17" s="103" t="n"/>
      <c r="E17" s="103" t="n"/>
      <c r="F17" s="97" t="n"/>
      <c r="G17" s="100" t="inlineStr">
        <is>
          <t>Daniel McAuffile</t>
        </is>
      </c>
      <c r="H17" s="97" t="inlineStr">
        <is>
          <t>Operator</t>
        </is>
      </c>
      <c r="I17" s="101" t="n">
        <v>6</v>
      </c>
    </row>
    <row r="18" ht="23.1" customHeight="1">
      <c r="A18" s="96" t="inlineStr">
        <is>
          <t>GRIFFITHS, Ashley</t>
        </is>
      </c>
      <c r="B18" s="97" t="inlineStr">
        <is>
          <t>Supervisor</t>
        </is>
      </c>
      <c r="C18" s="102" t="n"/>
      <c r="D18" s="99" t="n"/>
      <c r="E18" s="99" t="n"/>
      <c r="F18" s="97" t="n"/>
      <c r="G18" s="100" t="inlineStr">
        <is>
          <t>Jachai Griffiths</t>
        </is>
      </c>
      <c r="H18" s="97" t="inlineStr">
        <is>
          <t>Operator</t>
        </is>
      </c>
      <c r="I18" s="101" t="n"/>
    </row>
    <row r="19" ht="23.1" customHeight="1">
      <c r="A19" s="96" t="inlineStr">
        <is>
          <t>LOW, June</t>
        </is>
      </c>
      <c r="B19" s="97" t="inlineStr">
        <is>
          <t>HSET</t>
        </is>
      </c>
      <c r="C19" s="102" t="n"/>
      <c r="D19" s="99" t="n"/>
      <c r="E19" s="99" t="n"/>
      <c r="F19" s="97" t="n"/>
      <c r="G19" s="100" t="inlineStr">
        <is>
          <t>O'Brian, Jamie</t>
        </is>
      </c>
      <c r="H19" s="97" t="inlineStr">
        <is>
          <t>Operator</t>
        </is>
      </c>
      <c r="I19" s="101" t="n"/>
    </row>
    <row r="20" ht="23.1" customHeight="1">
      <c r="A20" s="96" t="inlineStr">
        <is>
          <t>SKINNER,Jamie</t>
        </is>
      </c>
      <c r="B20" s="97" t="inlineStr">
        <is>
          <t>Supervisor</t>
        </is>
      </c>
      <c r="C20" s="102" t="n"/>
      <c r="D20" s="99" t="n"/>
      <c r="E20" s="99" t="n"/>
      <c r="F20" s="97" t="n"/>
      <c r="G20" s="42" t="inlineStr">
        <is>
          <t>O'Reilly,James</t>
        </is>
      </c>
      <c r="H20" s="97" t="inlineStr">
        <is>
          <t>Operator</t>
        </is>
      </c>
      <c r="I20" s="101" t="n"/>
    </row>
    <row r="21" ht="23.1" customHeight="1">
      <c r="A21" s="96" t="n"/>
      <c r="B21" s="97" t="n"/>
      <c r="C21" s="102" t="n"/>
      <c r="D21" s="99" t="n"/>
      <c r="E21" s="99" t="n"/>
      <c r="F21" s="97" t="n"/>
      <c r="G21" s="100" t="inlineStr">
        <is>
          <t>Chester, Matt</t>
        </is>
      </c>
      <c r="H21" s="97" t="inlineStr">
        <is>
          <t>Gas Fitter</t>
        </is>
      </c>
      <c r="I21" s="101" t="n"/>
    </row>
    <row r="22" ht="23.1" customHeight="1">
      <c r="A22" s="96" t="n"/>
      <c r="B22" s="97" t="n"/>
      <c r="C22" s="102" t="n"/>
      <c r="D22" s="99" t="n"/>
      <c r="E22" s="99" t="n"/>
      <c r="F22" s="97" t="n"/>
      <c r="G22" s="100" t="inlineStr">
        <is>
          <t>Mounsey, Matt</t>
        </is>
      </c>
      <c r="H22" s="97" t="inlineStr">
        <is>
          <t>Gas Fitter</t>
        </is>
      </c>
      <c r="I22" s="101" t="n"/>
    </row>
    <row r="23" ht="23.1" customHeight="1">
      <c r="A23" s="96" t="n"/>
      <c r="B23" s="97" t="n"/>
      <c r="C23" s="102" t="n"/>
      <c r="D23" s="99" t="n"/>
      <c r="E23" s="99" t="n"/>
      <c r="F23" s="97" t="n"/>
      <c r="G23" s="100" t="inlineStr">
        <is>
          <t>Herring, Levin</t>
        </is>
      </c>
      <c r="H23" s="97" t="inlineStr">
        <is>
          <t>Gas Fitter</t>
        </is>
      </c>
      <c r="I23" s="101" t="n"/>
    </row>
    <row r="24" ht="23.1" customHeight="1">
      <c r="A24" s="96" t="n"/>
      <c r="B24" s="97" t="n"/>
      <c r="C24" s="102" t="n"/>
      <c r="D24" s="99" t="n"/>
      <c r="E24" s="99" t="n"/>
      <c r="F24" s="97" t="n"/>
      <c r="G24" s="100" t="inlineStr">
        <is>
          <t>Mosley,Joshua</t>
        </is>
      </c>
      <c r="H24" s="97" t="inlineStr">
        <is>
          <t>Surveyor</t>
        </is>
      </c>
      <c r="I24" s="101" t="n"/>
    </row>
    <row r="25" ht="23.1" customHeight="1">
      <c r="A25" s="96" t="n"/>
      <c r="B25" s="97" t="n"/>
      <c r="C25" s="102" t="n"/>
      <c r="D25" s="99" t="n"/>
      <c r="E25" s="99" t="n"/>
      <c r="F25" s="97" t="n"/>
      <c r="G25" s="107" t="n"/>
      <c r="H25" s="107" t="n"/>
      <c r="I25" s="107" t="n"/>
    </row>
    <row r="26" ht="23.1" customHeight="1">
      <c r="A26" s="255" t="inlineStr">
        <is>
          <t xml:space="preserve">Total Indirect Personnel onsite: </t>
        </is>
      </c>
      <c r="B26" s="105">
        <f>COUNT(C15:C26)</f>
        <v/>
      </c>
      <c r="C26" s="99" t="n"/>
      <c r="D26" s="99" t="n"/>
      <c r="E26" s="99" t="n"/>
      <c r="F26" s="97" t="n"/>
      <c r="G26" s="106" t="inlineStr">
        <is>
          <t>Total Subcontractor on-site:</t>
        </is>
      </c>
      <c r="H26" s="107">
        <f>COUNTIF(I15:I24,"&gt;0")</f>
        <v/>
      </c>
      <c r="I26" s="101" t="n"/>
    </row>
    <row r="27" ht="23.1" customHeight="1">
      <c r="A27" s="255" t="inlineStr">
        <is>
          <t xml:space="preserve">Total Indirect Personnel hours: </t>
        </is>
      </c>
      <c r="B27" s="105">
        <f>SUM(C15:C25)</f>
        <v/>
      </c>
      <c r="C27" s="102" t="n"/>
      <c r="D27" s="99" t="n"/>
      <c r="E27" s="99" t="n"/>
      <c r="F27" s="97" t="n"/>
      <c r="G27" s="106" t="inlineStr">
        <is>
          <t>Total Subcontractor hours:</t>
        </is>
      </c>
      <c r="H27" s="107">
        <f>SUM(I15:I24)</f>
        <v/>
      </c>
      <c r="I27" s="101" t="n"/>
    </row>
    <row r="28" ht="23.1" customHeight="1">
      <c r="A28" s="255" t="inlineStr">
        <is>
          <t xml:space="preserve">Total Direct Personnel onsite:  </t>
        </is>
      </c>
      <c r="B28" s="105">
        <f>COUNTIF(F15:F29,"&gt;0")</f>
        <v/>
      </c>
      <c r="C28" s="105" t="n"/>
      <c r="D28" s="99" t="n"/>
      <c r="E28" s="99" t="n"/>
      <c r="F28" s="108" t="n"/>
      <c r="G28" s="106" t="n"/>
      <c r="H28" s="107" t="n"/>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v>2</v>
      </c>
      <c r="D33" s="102" t="inlineStr">
        <is>
          <t>6 Wheel Tipper</t>
        </is>
      </c>
      <c r="E33" s="102" t="inlineStr">
        <is>
          <t>AMG04</t>
        </is>
      </c>
      <c r="F33" s="102" t="n"/>
      <c r="G33" s="102" t="inlineStr">
        <is>
          <t>Sea Container 20ft</t>
        </is>
      </c>
      <c r="H33" s="97" t="n">
        <v>951200</v>
      </c>
      <c r="I33" s="101" t="n">
        <v>1</v>
      </c>
    </row>
    <row r="34" ht="23.1" customHeight="1">
      <c r="A34" s="115" t="inlineStr">
        <is>
          <t>Positrak</t>
        </is>
      </c>
      <c r="B34" s="102" t="inlineStr">
        <is>
          <t>AMG 025</t>
        </is>
      </c>
      <c r="C34" s="97" t="n"/>
      <c r="D34" s="102" t="n"/>
      <c r="E34" s="97" t="n"/>
      <c r="F34" s="102" t="n"/>
      <c r="G34" s="102" t="inlineStr">
        <is>
          <t>Site Sentry Tower</t>
        </is>
      </c>
      <c r="H34" s="102" t="n"/>
      <c r="I34" s="101" t="n">
        <v>2</v>
      </c>
    </row>
    <row r="35" ht="23.1" customHeight="1">
      <c r="A35" s="115" t="inlineStr">
        <is>
          <t>Watercart</t>
        </is>
      </c>
      <c r="B35" s="102" t="inlineStr">
        <is>
          <t>WC04</t>
        </is>
      </c>
      <c r="C35" s="97" t="n">
        <v>2</v>
      </c>
      <c r="D35" s="102" t="n"/>
      <c r="E35" s="102" t="n"/>
      <c r="F35" s="102" t="n"/>
      <c r="G35" s="102" t="inlineStr">
        <is>
          <t>Skip Bin</t>
        </is>
      </c>
      <c r="H35" s="102" t="n"/>
      <c r="I35" s="101" t="n">
        <v>1</v>
      </c>
    </row>
    <row r="36" ht="23.1" customHeight="1">
      <c r="A36" s="115" t="inlineStr">
        <is>
          <t>8T Excavator</t>
        </is>
      </c>
      <c r="B36" s="116" t="inlineStr">
        <is>
          <t>AMG 014</t>
        </is>
      </c>
      <c r="C36" s="97" t="n">
        <v>3</v>
      </c>
      <c r="D36" s="102" t="n"/>
      <c r="E36" s="102" t="n"/>
      <c r="F36" s="102" t="n"/>
      <c r="G36" s="102" t="inlineStr">
        <is>
          <t>Hydrocarbon Bund</t>
        </is>
      </c>
      <c r="H36" s="102" t="n"/>
      <c r="I36" s="101" t="n">
        <v>1</v>
      </c>
    </row>
    <row r="37" ht="23.1" customHeight="1">
      <c r="A37" s="102" t="inlineStr">
        <is>
          <t>6 Wheel Tipper</t>
        </is>
      </c>
      <c r="B37" s="102" t="inlineStr">
        <is>
          <t>AMG 008</t>
        </is>
      </c>
      <c r="C37" s="102" t="n"/>
      <c r="D37" s="102" t="n"/>
      <c r="E37" s="102" t="n"/>
      <c r="F37" s="102" t="n"/>
      <c r="G37" s="102" t="inlineStr">
        <is>
          <t>Temp Fence</t>
        </is>
      </c>
      <c r="H37" s="97" t="n"/>
      <c r="I37" s="101" t="n">
        <v>1</v>
      </c>
    </row>
    <row r="38" ht="24" customHeight="1">
      <c r="A38" s="115" t="inlineStr">
        <is>
          <t>Padfoot/ Smooth Drum Roller</t>
        </is>
      </c>
      <c r="B38" s="102" t="inlineStr">
        <is>
          <t>RR 03</t>
        </is>
      </c>
      <c r="C38" s="97" t="n"/>
      <c r="D38" s="102" t="n"/>
      <c r="E38" s="102" t="n"/>
      <c r="F38" s="102" t="n"/>
      <c r="G38" s="31" t="n"/>
      <c r="H38" s="31" t="n"/>
      <c r="I38" s="32" t="n"/>
    </row>
    <row r="39" ht="24" customHeight="1">
      <c r="A39" s="115" t="inlineStr">
        <is>
          <t>Positrak SSL</t>
        </is>
      </c>
      <c r="B39" s="102" t="inlineStr">
        <is>
          <t>SSL08</t>
        </is>
      </c>
      <c r="C39" s="97" t="n">
        <v>3</v>
      </c>
      <c r="D39" s="102" t="n"/>
      <c r="E39" s="102" t="n"/>
      <c r="F39" s="102" t="n"/>
      <c r="G39" s="31" t="n"/>
      <c r="H39" s="31" t="n"/>
      <c r="I39" s="32" t="n"/>
    </row>
    <row r="40" ht="23.1" customHeight="1">
      <c r="A40" s="115" t="inlineStr">
        <is>
          <t>Grader</t>
        </is>
      </c>
      <c r="B40" s="102" t="inlineStr">
        <is>
          <t>SLS01</t>
        </is>
      </c>
      <c r="C40" s="97" t="n"/>
      <c r="D40" s="102" t="n"/>
      <c r="E40" s="102" t="n"/>
      <c r="F40" s="102" t="n"/>
      <c r="G40" s="102" t="n"/>
      <c r="H40" s="97" t="n"/>
      <c r="I40" s="101" t="n"/>
    </row>
    <row r="41" ht="23.1" customHeight="1">
      <c r="A41" s="115" t="inlineStr">
        <is>
          <t>5t Excavator</t>
        </is>
      </c>
      <c r="B41" s="102" t="inlineStr">
        <is>
          <t>AMG 007</t>
        </is>
      </c>
      <c r="C41" s="97" t="n"/>
      <c r="D41" s="102" t="n"/>
      <c r="E41" s="102" t="n"/>
      <c r="F41" s="102" t="n"/>
      <c r="G41" s="102" t="n"/>
      <c r="H41" s="97" t="n"/>
      <c r="I41" s="101" t="n"/>
    </row>
    <row r="42" ht="23.1" customHeight="1">
      <c r="A42" s="115" t="inlineStr">
        <is>
          <t>1.5 Excavator</t>
        </is>
      </c>
      <c r="B42" s="102" t="inlineStr">
        <is>
          <t>AMG 009</t>
        </is>
      </c>
      <c r="C42" s="97" t="n"/>
      <c r="D42" s="102" t="n"/>
      <c r="E42" s="102" t="n"/>
      <c r="F42" s="102" t="n"/>
      <c r="G42" s="102" t="n"/>
      <c r="H42" s="97" t="n"/>
      <c r="I42" s="101" t="n"/>
    </row>
    <row r="43" ht="24" customHeight="1">
      <c r="A43" s="115" t="n"/>
      <c r="B43" s="102" t="n"/>
      <c r="C43" s="97" t="n"/>
      <c r="D43" s="31" t="n"/>
      <c r="E43" s="31" t="n"/>
      <c r="F43" s="31" t="n"/>
      <c r="G43" s="31" t="n"/>
      <c r="H43" s="31" t="n"/>
      <c r="I43" s="32" t="n"/>
    </row>
    <row r="44" ht="18" customHeight="1">
      <c r="A44" s="117" t="n">
        <v>0</v>
      </c>
      <c r="B44" s="260" t="inlineStr">
        <is>
          <t xml:space="preserve">Repairs Required </t>
        </is>
      </c>
      <c r="C44" s="276" t="n"/>
      <c r="D44" s="249" t="inlineStr">
        <is>
          <t>N/A</t>
        </is>
      </c>
      <c r="E44" s="275" t="n"/>
      <c r="F44" s="275" t="n"/>
      <c r="G44" s="275" t="n"/>
      <c r="H44" s="275" t="n"/>
      <c r="I44" s="277" t="n"/>
    </row>
    <row r="45" ht="18" customHeight="1">
      <c r="A45" s="118" t="n">
        <v>0</v>
      </c>
      <c r="B45" s="260" t="inlineStr">
        <is>
          <t>Scheduled Service</t>
        </is>
      </c>
      <c r="C45" s="276" t="n"/>
      <c r="D45" s="249" t="inlineStr">
        <is>
          <t>N/A</t>
        </is>
      </c>
      <c r="E45" s="275" t="n"/>
      <c r="F45" s="275" t="n"/>
      <c r="G45" s="275" t="n"/>
      <c r="H45" s="275" t="n"/>
      <c r="I45" s="277" t="n"/>
    </row>
    <row r="46" ht="18" customHeight="1">
      <c r="A46" s="119" t="n">
        <v>0</v>
      </c>
      <c r="B46" s="260" t="inlineStr">
        <is>
          <t>Repairs required but operable</t>
        </is>
      </c>
      <c r="C46" s="276" t="n"/>
      <c r="D46" s="249" t="inlineStr">
        <is>
          <t>N/A</t>
        </is>
      </c>
      <c r="E46" s="275" t="n"/>
      <c r="F46" s="275" t="n"/>
      <c r="G46" s="275" t="n"/>
      <c r="H46" s="275" t="n"/>
      <c r="I46" s="277" t="n"/>
    </row>
    <row r="47" ht="23.1" customHeight="1">
      <c r="A47" s="255" t="inlineStr">
        <is>
          <t xml:space="preserve">Total Plant and Equipment Hours: </t>
        </is>
      </c>
      <c r="B47" s="276" t="n"/>
      <c r="C47" s="120">
        <f>SUM(C32:C43)</f>
        <v/>
      </c>
      <c r="D47" s="256" t="n"/>
      <c r="E47" s="275" t="n"/>
      <c r="F47" s="275" t="n"/>
      <c r="G47" s="275" t="n"/>
      <c r="H47" s="275" t="n"/>
      <c r="I47" s="277" t="n"/>
    </row>
    <row r="48" ht="24.95" customHeight="1">
      <c r="A48" s="245" t="inlineStr">
        <is>
          <t>DELAYS-OPPORTUNITY</t>
        </is>
      </c>
      <c r="B48" s="275" t="n"/>
      <c r="C48" s="275" t="n"/>
      <c r="D48" s="275" t="n"/>
      <c r="E48" s="275" t="n"/>
      <c r="F48" s="275" t="n"/>
      <c r="G48" s="275" t="n"/>
      <c r="H48" s="275" t="n"/>
      <c r="I48" s="277" t="n"/>
    </row>
    <row r="49" ht="20.1" customHeight="1">
      <c r="A49" s="121" t="n"/>
      <c r="B49" s="122" t="n"/>
      <c r="C49" s="122" t="n"/>
      <c r="D49" s="122" t="n"/>
      <c r="E49" s="122" t="n"/>
      <c r="F49" s="122" t="n"/>
      <c r="G49" s="122" t="n"/>
      <c r="H49" s="122" t="n"/>
      <c r="I49" s="123" t="n"/>
    </row>
    <row r="50" ht="15" customHeight="1" thickBot="1">
      <c r="A50" s="244" t="inlineStr">
        <is>
          <t xml:space="preserve">Awaiting Detail on Centrelink Carpark
Awaiting Crossing Details for Forrest Street
Awaiting Direction on Service Clash Forrest Street
Awaiting Feedback on Batters Treatment </t>
        </is>
      </c>
      <c r="B50" s="278" t="n"/>
      <c r="C50" s="278" t="n"/>
      <c r="D50" s="278" t="n"/>
      <c r="E50" s="278" t="n"/>
      <c r="F50" s="278" t="n"/>
      <c r="G50" s="278" t="n"/>
      <c r="H50" s="278" t="n"/>
      <c r="I50" s="279" t="n"/>
    </row>
    <row r="51">
      <c r="A51" s="270" t="n"/>
      <c r="I51" s="271" t="n"/>
    </row>
    <row r="52">
      <c r="A52" s="270" t="n"/>
      <c r="I52" s="271" t="n"/>
    </row>
    <row r="53" ht="44.45" customHeight="1" thickBot="1">
      <c r="A53" s="280" t="n"/>
      <c r="B53" s="281" t="n"/>
      <c r="C53" s="281" t="n"/>
      <c r="D53" s="281" t="n"/>
      <c r="E53" s="281" t="n"/>
      <c r="F53" s="281" t="n"/>
      <c r="G53" s="281" t="n"/>
      <c r="H53" s="281" t="n"/>
      <c r="I53" s="282" t="n"/>
    </row>
    <row r="54" ht="24.95" customHeight="1">
      <c r="A54" s="252" t="inlineStr">
        <is>
          <t>HSEQ MESSAGES</t>
        </is>
      </c>
      <c r="B54" s="283" t="n"/>
      <c r="C54" s="283" t="n"/>
      <c r="D54" s="283" t="n"/>
      <c r="E54" s="283" t="n"/>
      <c r="F54" s="283" t="n"/>
      <c r="G54" s="283" t="n"/>
      <c r="H54" s="283" t="n"/>
      <c r="I54" s="284" t="n"/>
    </row>
    <row r="55" ht="18" customHeight="1">
      <c r="A55" s="124" t="inlineStr">
        <is>
          <t>TCD - Monthly Safety Focus:</t>
        </is>
      </c>
      <c r="B55" s="257" t="inlineStr">
        <is>
          <t>Return to Work</t>
        </is>
      </c>
      <c r="C55" s="275" t="n"/>
      <c r="D55" s="275" t="n"/>
      <c r="E55" s="275" t="n"/>
      <c r="F55" s="275" t="n"/>
      <c r="G55" s="275" t="n"/>
      <c r="H55" s="275" t="n"/>
      <c r="I55" s="276" t="n"/>
    </row>
    <row r="56" ht="24" customHeight="1">
      <c r="A56" s="124" t="inlineStr">
        <is>
          <t>TCD - Daily Safety Focus:</t>
        </is>
      </c>
      <c r="B56" s="258" t="inlineStr">
        <is>
          <t>Bunting and Barracading</t>
        </is>
      </c>
      <c r="C56" s="275" t="n"/>
      <c r="D56" s="275" t="n"/>
      <c r="E56" s="275" t="n"/>
      <c r="F56" s="275" t="n"/>
      <c r="G56" s="275" t="n"/>
      <c r="H56" s="275" t="n"/>
      <c r="I56" s="277" t="n"/>
    </row>
    <row r="57" ht="18" customHeight="1">
      <c r="A57" s="125" t="inlineStr">
        <is>
          <t xml:space="preserve">Hazards Reported: </t>
        </is>
      </c>
      <c r="B57" s="126" t="inlineStr">
        <is>
          <t>Nil</t>
        </is>
      </c>
      <c r="C57" s="258" t="n"/>
      <c r="D57" s="275" t="n"/>
      <c r="E57" s="275" t="n"/>
      <c r="F57" s="275" t="n"/>
      <c r="G57" s="275" t="n"/>
      <c r="H57" s="275" t="n"/>
      <c r="I57" s="277" t="n"/>
    </row>
    <row r="58" ht="18" customHeight="1">
      <c r="A58" s="125" t="inlineStr">
        <is>
          <t>Incident Free Days</t>
        </is>
      </c>
      <c r="B58" s="126" t="n">
        <v>3</v>
      </c>
      <c r="C58" s="257" t="n"/>
      <c r="D58" s="275" t="n"/>
      <c r="E58" s="275" t="n"/>
      <c r="F58" s="275" t="n"/>
      <c r="G58" s="275" t="n"/>
      <c r="H58" s="275" t="n"/>
      <c r="I58" s="276" t="n"/>
    </row>
    <row r="59" ht="18" customHeight="1">
      <c r="A59" s="127" t="inlineStr">
        <is>
          <t>Other Notes</t>
        </is>
      </c>
      <c r="B59" s="259" t="n"/>
      <c r="C59" s="278" t="n"/>
      <c r="D59" s="278" t="n"/>
      <c r="E59" s="278" t="n"/>
      <c r="F59" s="278" t="n"/>
      <c r="G59" s="278" t="n"/>
      <c r="H59" s="278" t="n"/>
      <c r="I59" s="279" t="n"/>
    </row>
    <row r="60" ht="20.25" customHeight="1">
      <c r="A60" s="245" t="inlineStr">
        <is>
          <t xml:space="preserve">INCIDENTS &amp; REPORTS </t>
        </is>
      </c>
      <c r="B60" s="275" t="n"/>
      <c r="C60" s="275" t="n"/>
      <c r="D60" s="275" t="n"/>
      <c r="E60" s="275" t="n"/>
      <c r="F60" s="275" t="n"/>
      <c r="G60" s="275" t="n"/>
      <c r="H60" s="275" t="n"/>
      <c r="I60" s="277" t="n"/>
    </row>
    <row r="61" ht="24.95" customHeight="1">
      <c r="A61" s="128" t="n"/>
      <c r="B61" s="263" t="inlineStr">
        <is>
          <t>QTY</t>
        </is>
      </c>
      <c r="C61" s="254" t="inlineStr">
        <is>
          <t>Comments</t>
        </is>
      </c>
      <c r="D61" s="275" t="n"/>
      <c r="E61" s="275" t="n"/>
      <c r="F61" s="275" t="n"/>
      <c r="G61" s="275" t="n"/>
      <c r="H61" s="275" t="n"/>
      <c r="I61" s="277" t="n"/>
    </row>
    <row r="62" ht="24.95" customHeight="1">
      <c r="A62" s="129" t="inlineStr">
        <is>
          <t>INCIDENT</t>
        </is>
      </c>
      <c r="B62" s="263" t="n">
        <v>0</v>
      </c>
      <c r="C62" s="249" t="inlineStr">
        <is>
          <t>NA</t>
        </is>
      </c>
      <c r="D62" s="275" t="n"/>
      <c r="E62" s="275" t="n"/>
      <c r="F62" s="275" t="n"/>
      <c r="G62" s="275" t="n"/>
      <c r="H62" s="275" t="n"/>
      <c r="I62" s="277" t="n"/>
    </row>
    <row r="63" ht="24.95" customHeight="1">
      <c r="A63" s="130" t="inlineStr">
        <is>
          <t>IR</t>
        </is>
      </c>
      <c r="B63" s="131" t="n">
        <v>0</v>
      </c>
      <c r="C63" s="250" t="inlineStr">
        <is>
          <t>NA</t>
        </is>
      </c>
      <c r="D63" s="278" t="n"/>
      <c r="E63" s="278" t="n"/>
      <c r="F63" s="278" t="n"/>
      <c r="G63" s="278" t="n"/>
      <c r="H63" s="278" t="n"/>
      <c r="I63" s="279" t="n"/>
    </row>
    <row r="64" ht="24.95" customHeight="1" thickBot="1">
      <c r="A64" s="132" t="inlineStr">
        <is>
          <t>NCR</t>
        </is>
      </c>
      <c r="B64" s="133" t="n">
        <v>0</v>
      </c>
      <c r="C64" s="251" t="inlineStr">
        <is>
          <t>NA</t>
        </is>
      </c>
      <c r="D64" s="285" t="n"/>
      <c r="E64" s="285" t="n"/>
      <c r="F64" s="285" t="n"/>
      <c r="G64" s="285" t="n"/>
      <c r="H64" s="285" t="n"/>
      <c r="I64" s="286" t="n"/>
    </row>
    <row r="65" ht="20.25" customHeight="1">
      <c r="A65" s="252" t="inlineStr">
        <is>
          <t>COMMUNICATIONS</t>
        </is>
      </c>
      <c r="B65" s="283" t="n"/>
      <c r="C65" s="283" t="n"/>
      <c r="D65" s="283" t="n"/>
      <c r="E65" s="283" t="n"/>
      <c r="F65" s="283" t="n"/>
      <c r="G65" s="283" t="n"/>
      <c r="H65" s="283" t="n"/>
      <c r="I65" s="284" t="n"/>
    </row>
    <row r="66" ht="24.95" customHeight="1">
      <c r="A66" s="253" t="inlineStr">
        <is>
          <t>TGS MB1119-05 Scheme D impletmented</t>
        </is>
      </c>
      <c r="B66" s="275" t="n"/>
      <c r="C66" s="275" t="n"/>
      <c r="D66" s="275" t="n"/>
      <c r="E66" s="275" t="n"/>
      <c r="F66" s="275" t="n"/>
      <c r="G66" s="275" t="n"/>
      <c r="H66" s="275" t="n"/>
      <c r="I66" s="277" t="n"/>
    </row>
    <row r="67" ht="24.95" customHeight="1">
      <c r="A67" s="253" t="n"/>
      <c r="B67" s="275" t="n"/>
      <c r="C67" s="275" t="n"/>
      <c r="D67" s="275" t="n"/>
      <c r="E67" s="275" t="n"/>
      <c r="F67" s="275" t="n"/>
      <c r="G67" s="275" t="n"/>
      <c r="H67" s="275" t="n"/>
      <c r="I67" s="277" t="n"/>
    </row>
    <row r="68" ht="24.95" customHeight="1">
      <c r="A68" s="245" t="inlineStr">
        <is>
          <t>PRODUCTION (CONSTRUCTION STATUS &amp; PROGRESS)</t>
        </is>
      </c>
      <c r="B68" s="275" t="n"/>
      <c r="C68" s="275" t="n"/>
      <c r="D68" s="275" t="n"/>
      <c r="E68" s="275" t="n"/>
      <c r="F68" s="275" t="n"/>
      <c r="G68" s="275" t="n"/>
      <c r="H68" s="275" t="n"/>
      <c r="I68" s="277" t="n"/>
    </row>
    <row r="69" ht="24.95" customHeight="1">
      <c r="A69" s="134" t="inlineStr">
        <is>
          <t>Tidy up and Rebunting of Pits</t>
        </is>
      </c>
      <c r="B69" s="135" t="n"/>
      <c r="C69" s="79" t="n"/>
      <c r="D69" s="79" t="n"/>
      <c r="E69" s="135" t="n"/>
      <c r="F69" s="135" t="n"/>
      <c r="G69" s="135" t="n"/>
      <c r="H69" s="135" t="n"/>
      <c r="I69" s="136" t="n"/>
    </row>
    <row r="70" ht="24.95" customHeight="1">
      <c r="A70" s="134" t="inlineStr">
        <is>
          <t>Concreteing of Bends and compaciton of backfill near Country Builders</t>
        </is>
      </c>
      <c r="B70" s="135" t="n"/>
      <c r="C70" s="79" t="n"/>
      <c r="D70" s="79" t="n"/>
      <c r="E70" s="135" t="n"/>
      <c r="F70" s="135" t="n"/>
      <c r="G70" s="135" t="n"/>
      <c r="H70" s="135" t="n"/>
      <c r="I70" s="136" t="n"/>
    </row>
    <row r="71" ht="24.95" customHeight="1">
      <c r="A71" s="134" t="n"/>
      <c r="B71" s="135" t="n"/>
      <c r="C71" s="79" t="n"/>
      <c r="D71" s="135" t="n"/>
      <c r="E71" s="135" t="n"/>
      <c r="F71" s="135" t="n"/>
      <c r="G71" s="135" t="n"/>
      <c r="H71" s="135" t="n"/>
      <c r="I71" s="136" t="n"/>
    </row>
    <row r="72" ht="24.95" customHeight="1">
      <c r="A72" s="134" t="n"/>
      <c r="B72" s="135" t="n"/>
      <c r="C72" s="79" t="n"/>
      <c r="D72" s="135" t="n"/>
      <c r="E72" s="135" t="n"/>
      <c r="F72" s="135" t="n"/>
      <c r="G72" s="135" t="n"/>
      <c r="H72" s="135" t="n"/>
      <c r="I72" s="136" t="n"/>
    </row>
    <row r="73" ht="26.1" customHeight="1" thickBot="1">
      <c r="A73" s="246" t="inlineStr">
        <is>
          <t>Photos</t>
        </is>
      </c>
      <c r="B73" s="278" t="n"/>
      <c r="C73" s="278" t="n"/>
      <c r="D73" s="278" t="n"/>
      <c r="E73" s="278" t="n"/>
      <c r="F73" s="278" t="n"/>
      <c r="G73" s="278" t="n"/>
      <c r="H73" s="278" t="n"/>
      <c r="I73" s="279" t="n"/>
    </row>
    <row r="74" ht="23.1" customHeight="1">
      <c r="A74" s="137" t="n"/>
      <c r="B74" s="138" t="n"/>
      <c r="C74" s="138" t="n"/>
      <c r="D74" s="138" t="n"/>
      <c r="E74" s="138" t="n"/>
      <c r="F74" s="138" t="n"/>
      <c r="G74" s="138" t="n"/>
      <c r="H74" s="138" t="n"/>
      <c r="I74" s="139" t="n"/>
    </row>
    <row r="75" ht="23.1" customHeight="1">
      <c r="A75" s="140" t="n"/>
      <c r="B75" s="141" t="n"/>
      <c r="C75" s="141" t="n"/>
      <c r="D75" s="141" t="n"/>
      <c r="E75" s="141" t="n"/>
      <c r="F75" s="141" t="n"/>
      <c r="G75" s="141" t="n"/>
      <c r="H75" s="141" t="n"/>
      <c r="I75" s="142" t="n"/>
    </row>
    <row r="76" ht="15"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H96" s="141" t="n"/>
      <c r="I96" s="142" t="n"/>
    </row>
    <row r="97" ht="24.95" customFormat="1" customHeight="1" s="81">
      <c r="A97" s="140" t="n"/>
      <c r="B97" s="141" t="n"/>
      <c r="C97" s="141" t="n"/>
      <c r="D97" s="141" t="n"/>
      <c r="E97" s="141" t="n"/>
      <c r="F97" s="141" t="n"/>
      <c r="G97" s="141" t="n"/>
      <c r="H97" s="141" t="n"/>
      <c r="I97" s="142" t="n"/>
    </row>
    <row r="98" ht="15" customHeight="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thickBot="1">
      <c r="A112" s="143" t="n"/>
      <c r="B112" s="144" t="n"/>
      <c r="C112" s="144" t="n"/>
      <c r="D112" s="144" t="n"/>
      <c r="E112" s="144" t="n"/>
      <c r="F112" s="144" t="n"/>
      <c r="G112" s="144" t="n"/>
      <c r="H112" s="144" t="n"/>
      <c r="I112" s="145" t="n"/>
    </row>
    <row r="113" ht="15" customHeight="1">
      <c r="A113" s="140" t="n"/>
      <c r="B113" s="141" t="n"/>
      <c r="C113" s="141" t="n"/>
      <c r="D113" s="141" t="n"/>
      <c r="E113" s="141" t="n"/>
      <c r="F113" s="141" t="n"/>
      <c r="G113" s="141" t="n"/>
      <c r="H113" s="141" t="n"/>
      <c r="I113" s="142"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24.95" customHeight="1">
      <c r="A121" s="140" t="n"/>
      <c r="B121" s="141" t="n"/>
      <c r="C121" s="141" t="n"/>
      <c r="D121" s="141" t="n"/>
      <c r="E121" s="141" t="n"/>
      <c r="F121" s="141" t="n"/>
      <c r="G121" s="141" t="n"/>
      <c r="H121" s="141" t="n"/>
      <c r="I121" s="142" t="n"/>
    </row>
    <row r="122" ht="1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27.95" customHeight="1">
      <c r="A124" s="140" t="n"/>
      <c r="B124" s="141" t="n"/>
      <c r="C124" s="141" t="n"/>
      <c r="D124" s="141" t="n"/>
      <c r="E124" s="141" t="n"/>
      <c r="F124" s="141" t="n"/>
      <c r="G124" s="141" t="n"/>
      <c r="H124" s="141" t="n"/>
      <c r="I124" s="142" t="n"/>
    </row>
    <row r="125" ht="1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thickBot="1">
      <c r="A137" s="140" t="n"/>
      <c r="B137" s="141" t="n"/>
      <c r="C137" s="141" t="n"/>
      <c r="D137" s="141" t="n"/>
      <c r="E137" s="141" t="n"/>
      <c r="F137" s="141" t="n"/>
      <c r="G137" s="141" t="n"/>
      <c r="H137" s="141" t="n"/>
      <c r="I137" s="142" t="n"/>
      <c r="J137" s="146" t="n"/>
    </row>
    <row r="138" ht="15" customHeight="1">
      <c r="A138" s="140" t="n"/>
      <c r="B138" s="141" t="n"/>
      <c r="C138" s="141" t="n"/>
      <c r="D138" s="141" t="n"/>
      <c r="E138" s="141" t="n"/>
      <c r="F138" s="141" t="n"/>
      <c r="G138" s="141" t="n"/>
      <c r="H138" s="141" t="n"/>
      <c r="I138" s="142"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95" customHeight="1">
      <c r="A144" s="140" t="n"/>
      <c r="B144" s="141" t="n"/>
      <c r="C144" s="141" t="n"/>
      <c r="D144" s="141" t="n"/>
      <c r="E144" s="141" t="n"/>
      <c r="F144" s="141" t="n"/>
      <c r="G144" s="141" t="n"/>
      <c r="H144" s="141" t="n"/>
      <c r="I144" s="142" t="n"/>
    </row>
    <row r="145" ht="30.75" customHeight="1">
      <c r="A145" s="247" t="n"/>
      <c r="E145" s="248" t="n"/>
      <c r="I145" s="271" t="n"/>
    </row>
    <row r="146">
      <c r="A146" s="64" t="n"/>
      <c r="I146" s="65"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I180" s="65" t="n"/>
    </row>
    <row r="181">
      <c r="A181" s="64" t="n"/>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ht="15.95" customHeight="1" thickBot="1">
      <c r="A199" s="59" t="n"/>
      <c r="B199" s="60" t="n"/>
      <c r="C199" s="60" t="n"/>
      <c r="D199" s="60" t="n"/>
      <c r="E199" s="60" t="n"/>
      <c r="F199" s="60" t="n"/>
      <c r="G199" s="60" t="n"/>
      <c r="H199" s="60" t="n"/>
      <c r="I199" s="61" t="n"/>
    </row>
    <row r="200">
      <c r="A200" s="64" t="n"/>
      <c r="I200" s="65" t="n"/>
    </row>
    <row r="201">
      <c r="A201" s="64" t="n"/>
      <c r="I201" s="65" t="n"/>
    </row>
    <row r="202">
      <c r="A202" s="64" t="n"/>
      <c r="I202" s="65" t="n"/>
    </row>
    <row r="203">
      <c r="A203" s="64" t="n"/>
      <c r="I203" s="65" t="n"/>
    </row>
    <row r="204">
      <c r="A204" s="64" t="n"/>
      <c r="I204" s="65" t="n"/>
    </row>
    <row r="205">
      <c r="A205" s="64" t="n"/>
      <c r="I205" s="65" t="n"/>
    </row>
    <row r="206" ht="15.95" customHeight="1" thickBot="1">
      <c r="A206" s="59" t="n"/>
      <c r="B206" s="60" t="n"/>
      <c r="C206" s="60" t="n"/>
      <c r="D206" s="60" t="n"/>
      <c r="E206" s="60" t="n"/>
      <c r="F206" s="60" t="n"/>
      <c r="G206" s="60" t="n"/>
      <c r="H206" s="60" t="n"/>
      <c r="I206" s="61" t="n"/>
    </row>
  </sheetData>
  <mergeCells count="40">
    <mergeCell ref="A65:I65"/>
    <mergeCell ref="C61:I61"/>
    <mergeCell ref="D13:F13"/>
    <mergeCell ref="A54:I54"/>
    <mergeCell ref="G13:I13"/>
    <mergeCell ref="B8:D8"/>
    <mergeCell ref="A66:I66"/>
    <mergeCell ref="B46:C46"/>
    <mergeCell ref="B59:I59"/>
    <mergeCell ref="A12:I12"/>
    <mergeCell ref="C57:I57"/>
    <mergeCell ref="D47:I47"/>
    <mergeCell ref="B56:I56"/>
    <mergeCell ref="A5:I5"/>
    <mergeCell ref="B9:D9"/>
    <mergeCell ref="C62:I62"/>
    <mergeCell ref="B6:D6"/>
    <mergeCell ref="C58:I58"/>
    <mergeCell ref="B44:C44"/>
    <mergeCell ref="A13:C13"/>
    <mergeCell ref="A68:I68"/>
    <mergeCell ref="A10:I10"/>
    <mergeCell ref="C64:I64"/>
    <mergeCell ref="A1:I4"/>
    <mergeCell ref="A47:B47"/>
    <mergeCell ref="A67:I67"/>
    <mergeCell ref="D44:I44"/>
    <mergeCell ref="B7:D7"/>
    <mergeCell ref="C63:I63"/>
    <mergeCell ref="A48:I48"/>
    <mergeCell ref="A50:I53"/>
    <mergeCell ref="A73:I73"/>
    <mergeCell ref="A11:I11"/>
    <mergeCell ref="B55:I55"/>
    <mergeCell ref="A145:D145"/>
    <mergeCell ref="A60:I60"/>
    <mergeCell ref="D46:I46"/>
    <mergeCell ref="B45:C45"/>
    <mergeCell ref="D45:I45"/>
    <mergeCell ref="E145:I145"/>
  </mergeCells>
  <printOptions horizontalCentered="1"/>
  <pageMargins left="0.2362204724409449" right="0.2362204724409449" top="0.7480314960629921" bottom="0.7480314960629921" header="0.3149606299212598" footer="0.3149606299212598"/>
  <pageSetup orientation="portrait" paperSize="9" scale="35" fitToHeight="0"/>
  <rowBreaks count="1" manualBreakCount="1">
    <brk id="72" min="0" max="8" man="1"/>
  </rowBreaks>
</worksheet>
</file>

<file path=xl/worksheets/sheet15.xml><?xml version="1.0" encoding="utf-8"?>
<worksheet xmlns="http://schemas.openxmlformats.org/spreadsheetml/2006/main">
  <sheetPr>
    <outlinePr summaryBelow="1" summaryRight="1"/>
    <pageSetUpPr fitToPage="1"/>
  </sheetPr>
  <dimension ref="A1:J206"/>
  <sheetViews>
    <sheetView view="pageBreakPreview" topLeftCell="A11" zoomScale="60" zoomScaleNormal="55" workbookViewId="0">
      <selection activeCell="I6" sqref="I6"/>
    </sheetView>
  </sheetViews>
  <sheetFormatPr baseColWidth="8" defaultColWidth="9.140625" defaultRowHeight="14.45"/>
  <cols>
    <col width="62.140625" bestFit="1" customWidth="1" style="232" min="1" max="1"/>
    <col width="36.7109375" bestFit="1" customWidth="1" style="232" min="2" max="2"/>
    <col width="16" customWidth="1" style="232" min="3" max="3"/>
    <col width="28.710937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45887</v>
      </c>
    </row>
    <row r="7" ht="23.1" customHeight="1">
      <c r="A7" s="82" t="inlineStr">
        <is>
          <t>Project Location:</t>
        </is>
      </c>
      <c r="B7" s="267" t="inlineStr">
        <is>
          <t>Geraldton</t>
        </is>
      </c>
      <c r="E7" s="267" t="n"/>
      <c r="F7" s="84" t="n"/>
      <c r="G7" s="84" t="n"/>
      <c r="H7" s="87" t="inlineStr">
        <is>
          <t>Day:</t>
        </is>
      </c>
      <c r="I7" s="88" t="inlineStr">
        <is>
          <t>Saturday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82</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22 degrees    Wind: 44 km/h NE Precip: 0mm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n"/>
      <c r="E15" s="99" t="n"/>
      <c r="F15" s="97" t="n"/>
      <c r="G15" s="100" t="inlineStr">
        <is>
          <t>Khegan Brockman</t>
        </is>
      </c>
      <c r="H15" s="97" t="inlineStr">
        <is>
          <t>Labourer</t>
        </is>
      </c>
      <c r="I15" s="101" t="n"/>
    </row>
    <row r="16" ht="23.1" customHeight="1">
      <c r="A16" s="96" t="inlineStr">
        <is>
          <t>GRIFFITHS, Daniel</t>
        </is>
      </c>
      <c r="B16" s="97" t="inlineStr">
        <is>
          <t>Project Manager</t>
        </is>
      </c>
      <c r="C16" s="102" t="n">
        <v>6</v>
      </c>
      <c r="D16" s="103" t="n"/>
      <c r="E16" s="103" t="n"/>
      <c r="F16" s="97" t="n"/>
      <c r="G16" s="100" t="inlineStr">
        <is>
          <t>Laurent Levy</t>
        </is>
      </c>
      <c r="H16" s="97" t="inlineStr">
        <is>
          <t>Operator</t>
        </is>
      </c>
      <c r="I16" s="101" t="n">
        <v>6</v>
      </c>
    </row>
    <row r="17" ht="23.1" customHeight="1">
      <c r="A17" s="96" t="inlineStr">
        <is>
          <t>O"SHEA, John</t>
        </is>
      </c>
      <c r="B17" s="97" t="inlineStr">
        <is>
          <t>Senior Project Engineer</t>
        </is>
      </c>
      <c r="C17" s="102" t="n"/>
      <c r="D17" s="103" t="n"/>
      <c r="E17" s="103" t="n"/>
      <c r="F17" s="97" t="n"/>
      <c r="G17" s="100" t="inlineStr">
        <is>
          <t>Daniel McAuffile</t>
        </is>
      </c>
      <c r="H17" s="97" t="inlineStr">
        <is>
          <t>Operator</t>
        </is>
      </c>
      <c r="I17" s="101" t="n">
        <v>6</v>
      </c>
    </row>
    <row r="18" ht="23.1" customHeight="1">
      <c r="A18" s="96" t="inlineStr">
        <is>
          <t>GRIFFITHS, Ashley</t>
        </is>
      </c>
      <c r="B18" s="97" t="inlineStr">
        <is>
          <t>Supervisor</t>
        </is>
      </c>
      <c r="C18" s="102" t="n"/>
      <c r="D18" s="99" t="n"/>
      <c r="E18" s="99" t="n"/>
      <c r="F18" s="97" t="n"/>
      <c r="G18" s="100" t="inlineStr">
        <is>
          <t>Jachai Griffiths</t>
        </is>
      </c>
      <c r="H18" s="97" t="inlineStr">
        <is>
          <t>Operator</t>
        </is>
      </c>
      <c r="I18" s="101" t="n"/>
    </row>
    <row r="19" ht="23.1" customHeight="1">
      <c r="A19" s="96" t="inlineStr">
        <is>
          <t>LOW, June</t>
        </is>
      </c>
      <c r="B19" s="97" t="inlineStr">
        <is>
          <t>HSET</t>
        </is>
      </c>
      <c r="C19" s="102" t="n"/>
      <c r="D19" s="99" t="n"/>
      <c r="E19" s="99" t="n"/>
      <c r="F19" s="97" t="n"/>
      <c r="G19" s="100" t="inlineStr">
        <is>
          <t>O'Brian, Jamie</t>
        </is>
      </c>
      <c r="H19" s="97" t="inlineStr">
        <is>
          <t>Operator</t>
        </is>
      </c>
      <c r="I19" s="101" t="n"/>
    </row>
    <row r="20" ht="23.1" customHeight="1">
      <c r="A20" s="96" t="inlineStr">
        <is>
          <t>SKINNER,Jamie</t>
        </is>
      </c>
      <c r="B20" s="97" t="inlineStr">
        <is>
          <t>Supervisor</t>
        </is>
      </c>
      <c r="C20" s="102" t="n"/>
      <c r="D20" s="99" t="n"/>
      <c r="E20" s="99" t="n"/>
      <c r="F20" s="97" t="n"/>
      <c r="G20" s="42" t="inlineStr">
        <is>
          <t>O'Reilly,James</t>
        </is>
      </c>
      <c r="H20" s="97" t="inlineStr">
        <is>
          <t>Operator</t>
        </is>
      </c>
      <c r="I20" s="101" t="n"/>
    </row>
    <row r="21" ht="23.1" customHeight="1">
      <c r="A21" s="96" t="n"/>
      <c r="B21" s="97" t="n"/>
      <c r="C21" s="102" t="n"/>
      <c r="D21" s="99" t="n"/>
      <c r="E21" s="99" t="n"/>
      <c r="F21" s="97" t="n"/>
      <c r="G21" s="100" t="inlineStr">
        <is>
          <t>Chester, Matt</t>
        </is>
      </c>
      <c r="H21" s="97" t="inlineStr">
        <is>
          <t>Gas Fitter</t>
        </is>
      </c>
      <c r="I21" s="101" t="n"/>
    </row>
    <row r="22" ht="23.1" customHeight="1">
      <c r="A22" s="96" t="n"/>
      <c r="B22" s="97" t="n"/>
      <c r="C22" s="102" t="n"/>
      <c r="D22" s="99" t="n"/>
      <c r="E22" s="99" t="n"/>
      <c r="F22" s="97" t="n"/>
      <c r="G22" s="100" t="inlineStr">
        <is>
          <t>Mounsey, Matt</t>
        </is>
      </c>
      <c r="H22" s="97" t="inlineStr">
        <is>
          <t>Gas Fitter</t>
        </is>
      </c>
      <c r="I22" s="101" t="n"/>
    </row>
    <row r="23" ht="23.1" customHeight="1">
      <c r="A23" s="96" t="n"/>
      <c r="B23" s="97" t="n"/>
      <c r="C23" s="102" t="n"/>
      <c r="D23" s="99" t="n"/>
      <c r="E23" s="99" t="n"/>
      <c r="F23" s="97" t="n"/>
      <c r="G23" s="100" t="inlineStr">
        <is>
          <t>Herring, Levin</t>
        </is>
      </c>
      <c r="H23" s="97" t="inlineStr">
        <is>
          <t>Gas Fitter</t>
        </is>
      </c>
      <c r="I23" s="101" t="n"/>
    </row>
    <row r="24" ht="23.1" customHeight="1">
      <c r="A24" s="96" t="n"/>
      <c r="B24" s="97" t="n"/>
      <c r="C24" s="102" t="n"/>
      <c r="D24" s="99" t="n"/>
      <c r="E24" s="99" t="n"/>
      <c r="F24" s="97" t="n"/>
      <c r="G24" s="100" t="inlineStr">
        <is>
          <t>Mosley,Joshua</t>
        </is>
      </c>
      <c r="H24" s="97" t="inlineStr">
        <is>
          <t>Surveyor</t>
        </is>
      </c>
      <c r="I24" s="101" t="n"/>
    </row>
    <row r="25" ht="23.1" customHeight="1">
      <c r="A25" s="96" t="n"/>
      <c r="B25" s="97" t="n"/>
      <c r="C25" s="102" t="n"/>
      <c r="D25" s="99" t="n"/>
      <c r="E25" s="99" t="n"/>
      <c r="F25" s="97" t="n"/>
      <c r="G25" s="107" t="n"/>
      <c r="H25" s="107" t="n"/>
      <c r="I25" s="107" t="n"/>
    </row>
    <row r="26" ht="23.1" customHeight="1">
      <c r="A26" s="255" t="inlineStr">
        <is>
          <t xml:space="preserve">Total Indirect Personnel onsite: </t>
        </is>
      </c>
      <c r="B26" s="105">
        <f>COUNT(C15:C26)</f>
        <v/>
      </c>
      <c r="C26" s="99" t="n"/>
      <c r="D26" s="99" t="n"/>
      <c r="E26" s="99" t="n"/>
      <c r="F26" s="97" t="n"/>
      <c r="G26" s="106" t="inlineStr">
        <is>
          <t>Total Subcontractor on-site:</t>
        </is>
      </c>
      <c r="H26" s="107">
        <f>COUNTIF(I15:I24,"&gt;0")</f>
        <v/>
      </c>
      <c r="I26" s="101" t="n"/>
    </row>
    <row r="27" ht="23.1" customHeight="1">
      <c r="A27" s="255" t="inlineStr">
        <is>
          <t xml:space="preserve">Total Indirect Personnel hours: </t>
        </is>
      </c>
      <c r="B27" s="105">
        <f>SUM(C15:C25)</f>
        <v/>
      </c>
      <c r="C27" s="102" t="n"/>
      <c r="D27" s="99" t="n"/>
      <c r="E27" s="99" t="n"/>
      <c r="F27" s="97" t="n"/>
      <c r="G27" s="106" t="inlineStr">
        <is>
          <t>Total Subcontractor hours:</t>
        </is>
      </c>
      <c r="H27" s="107">
        <f>SUM(I15:I24)</f>
        <v/>
      </c>
      <c r="I27" s="101" t="n"/>
    </row>
    <row r="28" ht="23.1" customHeight="1">
      <c r="A28" s="255" t="inlineStr">
        <is>
          <t xml:space="preserve">Total Direct Personnel onsite:  </t>
        </is>
      </c>
      <c r="B28" s="105">
        <f>COUNTIF(F15:F29,"&gt;0")</f>
        <v/>
      </c>
      <c r="C28" s="105" t="n"/>
      <c r="D28" s="99" t="n"/>
      <c r="E28" s="99" t="n"/>
      <c r="F28" s="108" t="n"/>
      <c r="G28" s="106" t="n"/>
      <c r="H28" s="107" t="n"/>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v>2</v>
      </c>
      <c r="D33" s="102" t="inlineStr">
        <is>
          <t>6 Wheel Tipper</t>
        </is>
      </c>
      <c r="E33" s="102" t="inlineStr">
        <is>
          <t>AMG04</t>
        </is>
      </c>
      <c r="F33" s="102" t="n"/>
      <c r="G33" s="102" t="inlineStr">
        <is>
          <t>Sea Container 20ft</t>
        </is>
      </c>
      <c r="H33" s="97" t="n">
        <v>951200</v>
      </c>
      <c r="I33" s="101" t="n">
        <v>1</v>
      </c>
    </row>
    <row r="34" ht="23.1" customHeight="1">
      <c r="A34" s="115" t="inlineStr">
        <is>
          <t>Positrak</t>
        </is>
      </c>
      <c r="B34" s="102" t="inlineStr">
        <is>
          <t>AMG 025</t>
        </is>
      </c>
      <c r="C34" s="97" t="n"/>
      <c r="D34" s="102" t="n"/>
      <c r="E34" s="97" t="n"/>
      <c r="F34" s="102" t="n"/>
      <c r="G34" s="102" t="inlineStr">
        <is>
          <t>Site Sentry Tower</t>
        </is>
      </c>
      <c r="H34" s="102" t="n"/>
      <c r="I34" s="101" t="n">
        <v>2</v>
      </c>
    </row>
    <row r="35" ht="23.1" customHeight="1">
      <c r="A35" s="115" t="inlineStr">
        <is>
          <t>Watercart</t>
        </is>
      </c>
      <c r="B35" s="102" t="inlineStr">
        <is>
          <t>WC04</t>
        </is>
      </c>
      <c r="C35" s="97" t="n">
        <v>2</v>
      </c>
      <c r="D35" s="102" t="n"/>
      <c r="E35" s="102" t="n"/>
      <c r="F35" s="102" t="n"/>
      <c r="G35" s="102" t="inlineStr">
        <is>
          <t>Skip Bin</t>
        </is>
      </c>
      <c r="H35" s="102" t="n"/>
      <c r="I35" s="101" t="n">
        <v>1</v>
      </c>
    </row>
    <row r="36" ht="23.1" customHeight="1">
      <c r="A36" s="115" t="inlineStr">
        <is>
          <t>8T Excavator</t>
        </is>
      </c>
      <c r="B36" s="116" t="inlineStr">
        <is>
          <t>AMG 014</t>
        </is>
      </c>
      <c r="C36" s="97" t="n">
        <v>3</v>
      </c>
      <c r="D36" s="102" t="n"/>
      <c r="E36" s="102" t="n"/>
      <c r="F36" s="102" t="n"/>
      <c r="G36" s="102" t="inlineStr">
        <is>
          <t>Hydrocarbon Bund</t>
        </is>
      </c>
      <c r="H36" s="102" t="n"/>
      <c r="I36" s="101" t="n">
        <v>1</v>
      </c>
    </row>
    <row r="37" ht="23.1" customHeight="1">
      <c r="A37" s="102" t="inlineStr">
        <is>
          <t>6 Wheel Tipper</t>
        </is>
      </c>
      <c r="B37" s="102" t="inlineStr">
        <is>
          <t>AMG 008</t>
        </is>
      </c>
      <c r="C37" s="102" t="n"/>
      <c r="D37" s="102" t="n"/>
      <c r="E37" s="102" t="n"/>
      <c r="F37" s="102" t="n"/>
      <c r="G37" s="102" t="inlineStr">
        <is>
          <t>Temp Fence</t>
        </is>
      </c>
      <c r="H37" s="97" t="n"/>
      <c r="I37" s="101" t="n">
        <v>1</v>
      </c>
    </row>
    <row r="38" ht="24" customHeight="1">
      <c r="A38" s="115" t="inlineStr">
        <is>
          <t>Padfoot/ Smooth Drum Roller</t>
        </is>
      </c>
      <c r="B38" s="102" t="inlineStr">
        <is>
          <t>RR 03</t>
        </is>
      </c>
      <c r="C38" s="97" t="n"/>
      <c r="D38" s="102" t="n"/>
      <c r="E38" s="102" t="n"/>
      <c r="F38" s="102" t="n"/>
      <c r="G38" s="31" t="n"/>
      <c r="H38" s="31" t="n"/>
      <c r="I38" s="32" t="n"/>
    </row>
    <row r="39" ht="24" customHeight="1">
      <c r="A39" s="115" t="inlineStr">
        <is>
          <t>Positrak SSL</t>
        </is>
      </c>
      <c r="B39" s="102" t="inlineStr">
        <is>
          <t>SSL08</t>
        </is>
      </c>
      <c r="C39" s="97" t="n">
        <v>3</v>
      </c>
      <c r="D39" s="102" t="n"/>
      <c r="E39" s="102" t="n"/>
      <c r="F39" s="102" t="n"/>
      <c r="G39" s="31" t="n"/>
      <c r="H39" s="31" t="n"/>
      <c r="I39" s="32" t="n"/>
    </row>
    <row r="40" ht="23.1" customHeight="1">
      <c r="A40" s="115" t="inlineStr">
        <is>
          <t>Grader</t>
        </is>
      </c>
      <c r="B40" s="102" t="inlineStr">
        <is>
          <t>SLS01</t>
        </is>
      </c>
      <c r="C40" s="97" t="n"/>
      <c r="D40" s="102" t="n"/>
      <c r="E40" s="102" t="n"/>
      <c r="F40" s="102" t="n"/>
      <c r="G40" s="102" t="n"/>
      <c r="H40" s="97" t="n"/>
      <c r="I40" s="101" t="n"/>
    </row>
    <row r="41" ht="23.1" customHeight="1">
      <c r="A41" s="115" t="inlineStr">
        <is>
          <t>5t Excavator</t>
        </is>
      </c>
      <c r="B41" s="102" t="inlineStr">
        <is>
          <t>AMG 007</t>
        </is>
      </c>
      <c r="C41" s="97" t="n"/>
      <c r="D41" s="102" t="n"/>
      <c r="E41" s="102" t="n"/>
      <c r="F41" s="102" t="n"/>
      <c r="G41" s="102" t="n"/>
      <c r="H41" s="97" t="n"/>
      <c r="I41" s="101" t="n"/>
    </row>
    <row r="42" ht="23.1" customHeight="1">
      <c r="A42" s="115" t="inlineStr">
        <is>
          <t>1.5 Excavator</t>
        </is>
      </c>
      <c r="B42" s="102" t="inlineStr">
        <is>
          <t>AMG 009</t>
        </is>
      </c>
      <c r="C42" s="97" t="n"/>
      <c r="D42" s="102" t="n"/>
      <c r="E42" s="102" t="n"/>
      <c r="F42" s="102" t="n"/>
      <c r="G42" s="102" t="n"/>
      <c r="H42" s="97" t="n"/>
      <c r="I42" s="101" t="n"/>
    </row>
    <row r="43" ht="24" customHeight="1">
      <c r="A43" s="115" t="n"/>
      <c r="B43" s="102" t="n"/>
      <c r="C43" s="97" t="n"/>
      <c r="D43" s="31" t="n"/>
      <c r="E43" s="31" t="n"/>
      <c r="F43" s="31" t="n"/>
      <c r="G43" s="31" t="n"/>
      <c r="H43" s="31" t="n"/>
      <c r="I43" s="32" t="n"/>
    </row>
    <row r="44" ht="18" customHeight="1">
      <c r="A44" s="117" t="n">
        <v>0</v>
      </c>
      <c r="B44" s="260" t="inlineStr">
        <is>
          <t xml:space="preserve">Repairs Required </t>
        </is>
      </c>
      <c r="C44" s="276" t="n"/>
      <c r="D44" s="249" t="inlineStr">
        <is>
          <t>N/A</t>
        </is>
      </c>
      <c r="E44" s="275" t="n"/>
      <c r="F44" s="275" t="n"/>
      <c r="G44" s="275" t="n"/>
      <c r="H44" s="275" t="n"/>
      <c r="I44" s="277" t="n"/>
    </row>
    <row r="45" ht="18" customHeight="1">
      <c r="A45" s="118" t="n">
        <v>0</v>
      </c>
      <c r="B45" s="260" t="inlineStr">
        <is>
          <t>Scheduled Service</t>
        </is>
      </c>
      <c r="C45" s="276" t="n"/>
      <c r="D45" s="249" t="inlineStr">
        <is>
          <t>N/A</t>
        </is>
      </c>
      <c r="E45" s="275" t="n"/>
      <c r="F45" s="275" t="n"/>
      <c r="G45" s="275" t="n"/>
      <c r="H45" s="275" t="n"/>
      <c r="I45" s="277" t="n"/>
    </row>
    <row r="46" ht="18" customHeight="1">
      <c r="A46" s="119" t="n">
        <v>0</v>
      </c>
      <c r="B46" s="260" t="inlineStr">
        <is>
          <t>Repairs required but operable</t>
        </is>
      </c>
      <c r="C46" s="276" t="n"/>
      <c r="D46" s="249" t="inlineStr">
        <is>
          <t>N/A</t>
        </is>
      </c>
      <c r="E46" s="275" t="n"/>
      <c r="F46" s="275" t="n"/>
      <c r="G46" s="275" t="n"/>
      <c r="H46" s="275" t="n"/>
      <c r="I46" s="277" t="n"/>
    </row>
    <row r="47" ht="23.1" customHeight="1">
      <c r="A47" s="255" t="inlineStr">
        <is>
          <t xml:space="preserve">Total Plant and Equipment Hours: </t>
        </is>
      </c>
      <c r="B47" s="276" t="n"/>
      <c r="C47" s="120">
        <f>SUM(C32:C43)</f>
        <v/>
      </c>
      <c r="D47" s="256" t="n"/>
      <c r="E47" s="275" t="n"/>
      <c r="F47" s="275" t="n"/>
      <c r="G47" s="275" t="n"/>
      <c r="H47" s="275" t="n"/>
      <c r="I47" s="277" t="n"/>
    </row>
    <row r="48" ht="24.95" customHeight="1">
      <c r="A48" s="245" t="inlineStr">
        <is>
          <t>DELAYS-OPPORTUNITY</t>
        </is>
      </c>
      <c r="B48" s="275" t="n"/>
      <c r="C48" s="275" t="n"/>
      <c r="D48" s="275" t="n"/>
      <c r="E48" s="275" t="n"/>
      <c r="F48" s="275" t="n"/>
      <c r="G48" s="275" t="n"/>
      <c r="H48" s="275" t="n"/>
      <c r="I48" s="277" t="n"/>
    </row>
    <row r="49" ht="20.1" customHeight="1">
      <c r="A49" s="121" t="n"/>
      <c r="B49" s="122" t="n"/>
      <c r="C49" s="122" t="n"/>
      <c r="D49" s="122" t="n"/>
      <c r="E49" s="122" t="n"/>
      <c r="F49" s="122" t="n"/>
      <c r="G49" s="122" t="n"/>
      <c r="H49" s="122" t="n"/>
      <c r="I49" s="123" t="n"/>
    </row>
    <row r="50" ht="15" customHeight="1">
      <c r="A50" s="244" t="inlineStr">
        <is>
          <t xml:space="preserve">Awaiting Detail on Centrelink Carpark
Awaiting Crossing Details for Forrest Street
Awaiting Direction on Service Clash Forrest Street
Awaiting Feedback on Batters Treatment </t>
        </is>
      </c>
      <c r="B50" s="278" t="n"/>
      <c r="C50" s="278" t="n"/>
      <c r="D50" s="278" t="n"/>
      <c r="E50" s="278" t="n"/>
      <c r="F50" s="278" t="n"/>
      <c r="G50" s="278" t="n"/>
      <c r="H50" s="278" t="n"/>
      <c r="I50" s="279" t="n"/>
    </row>
    <row r="51">
      <c r="A51" s="270" t="n"/>
      <c r="I51" s="271" t="n"/>
    </row>
    <row r="52">
      <c r="A52" s="270" t="n"/>
      <c r="I52" s="271" t="n"/>
    </row>
    <row r="53" ht="44.45" customHeight="1">
      <c r="A53" s="280" t="n"/>
      <c r="B53" s="281" t="n"/>
      <c r="C53" s="281" t="n"/>
      <c r="D53" s="281" t="n"/>
      <c r="E53" s="281" t="n"/>
      <c r="F53" s="281" t="n"/>
      <c r="G53" s="281" t="n"/>
      <c r="H53" s="281" t="n"/>
      <c r="I53" s="282" t="n"/>
    </row>
    <row r="54" ht="24.95" customHeight="1">
      <c r="A54" s="252" t="inlineStr">
        <is>
          <t>HSEQ MESSAGES</t>
        </is>
      </c>
      <c r="B54" s="283" t="n"/>
      <c r="C54" s="283" t="n"/>
      <c r="D54" s="283" t="n"/>
      <c r="E54" s="283" t="n"/>
      <c r="F54" s="283" t="n"/>
      <c r="G54" s="283" t="n"/>
      <c r="H54" s="283" t="n"/>
      <c r="I54" s="284" t="n"/>
    </row>
    <row r="55" ht="18" customHeight="1">
      <c r="A55" s="124" t="inlineStr">
        <is>
          <t>TCD - Monthly Safety Focus:</t>
        </is>
      </c>
      <c r="B55" s="257" t="inlineStr">
        <is>
          <t>Return to Work</t>
        </is>
      </c>
      <c r="C55" s="275" t="n"/>
      <c r="D55" s="275" t="n"/>
      <c r="E55" s="275" t="n"/>
      <c r="F55" s="275" t="n"/>
      <c r="G55" s="275" t="n"/>
      <c r="H55" s="275" t="n"/>
      <c r="I55" s="276" t="n"/>
    </row>
    <row r="56" ht="24" customHeight="1">
      <c r="A56" s="124" t="inlineStr">
        <is>
          <t>TCD - Daily Safety Focus:</t>
        </is>
      </c>
      <c r="B56" s="258" t="inlineStr">
        <is>
          <t>Bunting and Barracading</t>
        </is>
      </c>
      <c r="C56" s="275" t="n"/>
      <c r="D56" s="275" t="n"/>
      <c r="E56" s="275" t="n"/>
      <c r="F56" s="275" t="n"/>
      <c r="G56" s="275" t="n"/>
      <c r="H56" s="275" t="n"/>
      <c r="I56" s="277" t="n"/>
    </row>
    <row r="57" ht="18" customHeight="1">
      <c r="A57" s="125" t="inlineStr">
        <is>
          <t xml:space="preserve">Hazards Reported: </t>
        </is>
      </c>
      <c r="B57" s="126" t="inlineStr">
        <is>
          <t>Nil</t>
        </is>
      </c>
      <c r="C57" s="258" t="n"/>
      <c r="D57" s="275" t="n"/>
      <c r="E57" s="275" t="n"/>
      <c r="F57" s="275" t="n"/>
      <c r="G57" s="275" t="n"/>
      <c r="H57" s="275" t="n"/>
      <c r="I57" s="277" t="n"/>
    </row>
    <row r="58" ht="18" customHeight="1">
      <c r="A58" s="125" t="inlineStr">
        <is>
          <t>Incident Free Days</t>
        </is>
      </c>
      <c r="B58" s="126" t="n">
        <v>3</v>
      </c>
      <c r="C58" s="257" t="n"/>
      <c r="D58" s="275" t="n"/>
      <c r="E58" s="275" t="n"/>
      <c r="F58" s="275" t="n"/>
      <c r="G58" s="275" t="n"/>
      <c r="H58" s="275" t="n"/>
      <c r="I58" s="276" t="n"/>
    </row>
    <row r="59" ht="18" customHeight="1">
      <c r="A59" s="127" t="inlineStr">
        <is>
          <t>Other Notes</t>
        </is>
      </c>
      <c r="B59" s="259" t="n"/>
      <c r="C59" s="278" t="n"/>
      <c r="D59" s="278" t="n"/>
      <c r="E59" s="278" t="n"/>
      <c r="F59" s="278" t="n"/>
      <c r="G59" s="278" t="n"/>
      <c r="H59" s="278" t="n"/>
      <c r="I59" s="279" t="n"/>
    </row>
    <row r="60" ht="20.25" customHeight="1">
      <c r="A60" s="245" t="inlineStr">
        <is>
          <t xml:space="preserve">INCIDENTS &amp; REPORTS </t>
        </is>
      </c>
      <c r="B60" s="275" t="n"/>
      <c r="C60" s="275" t="n"/>
      <c r="D60" s="275" t="n"/>
      <c r="E60" s="275" t="n"/>
      <c r="F60" s="275" t="n"/>
      <c r="G60" s="275" t="n"/>
      <c r="H60" s="275" t="n"/>
      <c r="I60" s="277" t="n"/>
    </row>
    <row r="61" ht="24.95" customHeight="1">
      <c r="A61" s="128" t="n"/>
      <c r="B61" s="263" t="inlineStr">
        <is>
          <t>QTY</t>
        </is>
      </c>
      <c r="C61" s="254" t="inlineStr">
        <is>
          <t>Comments</t>
        </is>
      </c>
      <c r="D61" s="275" t="n"/>
      <c r="E61" s="275" t="n"/>
      <c r="F61" s="275" t="n"/>
      <c r="G61" s="275" t="n"/>
      <c r="H61" s="275" t="n"/>
      <c r="I61" s="277" t="n"/>
    </row>
    <row r="62" ht="24.95" customHeight="1">
      <c r="A62" s="129" t="inlineStr">
        <is>
          <t>INCIDENT</t>
        </is>
      </c>
      <c r="B62" s="263" t="n">
        <v>0</v>
      </c>
      <c r="C62" s="249" t="inlineStr">
        <is>
          <t>NA</t>
        </is>
      </c>
      <c r="D62" s="275" t="n"/>
      <c r="E62" s="275" t="n"/>
      <c r="F62" s="275" t="n"/>
      <c r="G62" s="275" t="n"/>
      <c r="H62" s="275" t="n"/>
      <c r="I62" s="277" t="n"/>
    </row>
    <row r="63" ht="24.95" customHeight="1">
      <c r="A63" s="130" t="inlineStr">
        <is>
          <t>IR</t>
        </is>
      </c>
      <c r="B63" s="131" t="n">
        <v>0</v>
      </c>
      <c r="C63" s="250" t="inlineStr">
        <is>
          <t>NA</t>
        </is>
      </c>
      <c r="D63" s="278" t="n"/>
      <c r="E63" s="278" t="n"/>
      <c r="F63" s="278" t="n"/>
      <c r="G63" s="278" t="n"/>
      <c r="H63" s="278" t="n"/>
      <c r="I63" s="279" t="n"/>
    </row>
    <row r="64" ht="24.95" customHeight="1">
      <c r="A64" s="132" t="inlineStr">
        <is>
          <t>NCR</t>
        </is>
      </c>
      <c r="B64" s="133" t="n">
        <v>0</v>
      </c>
      <c r="C64" s="251" t="inlineStr">
        <is>
          <t>NA</t>
        </is>
      </c>
      <c r="D64" s="285" t="n"/>
      <c r="E64" s="285" t="n"/>
      <c r="F64" s="285" t="n"/>
      <c r="G64" s="285" t="n"/>
      <c r="H64" s="285" t="n"/>
      <c r="I64" s="286" t="n"/>
    </row>
    <row r="65" ht="20.25" customHeight="1">
      <c r="A65" s="252" t="inlineStr">
        <is>
          <t>COMMUNICATIONS</t>
        </is>
      </c>
      <c r="B65" s="283" t="n"/>
      <c r="C65" s="283" t="n"/>
      <c r="D65" s="283" t="n"/>
      <c r="E65" s="283" t="n"/>
      <c r="F65" s="283" t="n"/>
      <c r="G65" s="283" t="n"/>
      <c r="H65" s="283" t="n"/>
      <c r="I65" s="284" t="n"/>
    </row>
    <row r="66" ht="24.95" customHeight="1">
      <c r="A66" s="253" t="inlineStr">
        <is>
          <t>TGS MB1119-05 Scheme D impletmented</t>
        </is>
      </c>
      <c r="B66" s="275" t="n"/>
      <c r="C66" s="275" t="n"/>
      <c r="D66" s="275" t="n"/>
      <c r="E66" s="275" t="n"/>
      <c r="F66" s="275" t="n"/>
      <c r="G66" s="275" t="n"/>
      <c r="H66" s="275" t="n"/>
      <c r="I66" s="277" t="n"/>
    </row>
    <row r="67" ht="24.95" customHeight="1">
      <c r="A67" s="253" t="n"/>
      <c r="B67" s="275" t="n"/>
      <c r="C67" s="275" t="n"/>
      <c r="D67" s="275" t="n"/>
      <c r="E67" s="275" t="n"/>
      <c r="F67" s="275" t="n"/>
      <c r="G67" s="275" t="n"/>
      <c r="H67" s="275" t="n"/>
      <c r="I67" s="277" t="n"/>
    </row>
    <row r="68" ht="24.95" customHeight="1">
      <c r="A68" s="245" t="inlineStr">
        <is>
          <t>PRODUCTION (CONSTRUCTION STATUS &amp; PROGRESS)</t>
        </is>
      </c>
      <c r="B68" s="275" t="n"/>
      <c r="C68" s="275" t="n"/>
      <c r="D68" s="275" t="n"/>
      <c r="E68" s="275" t="n"/>
      <c r="F68" s="275" t="n"/>
      <c r="G68" s="275" t="n"/>
      <c r="H68" s="275" t="n"/>
      <c r="I68" s="277" t="n"/>
    </row>
    <row r="69" ht="24.95" customHeight="1">
      <c r="A69" s="134" t="inlineStr">
        <is>
          <t>Tidy up and Rebunting of Pits</t>
        </is>
      </c>
      <c r="B69" s="135" t="n"/>
      <c r="C69" s="79" t="n"/>
      <c r="D69" s="79" t="n"/>
      <c r="E69" s="135" t="n"/>
      <c r="F69" s="135" t="n"/>
      <c r="G69" s="135" t="n"/>
      <c r="H69" s="135" t="n"/>
      <c r="I69" s="136" t="n"/>
    </row>
    <row r="70" ht="24.95" customHeight="1">
      <c r="A70" s="134" t="inlineStr">
        <is>
          <t>Concreteing of Bends and compaciton of backfill near Country Builders</t>
        </is>
      </c>
      <c r="B70" s="135" t="n"/>
      <c r="C70" s="79" t="n"/>
      <c r="D70" s="79" t="n"/>
      <c r="E70" s="135" t="n"/>
      <c r="F70" s="135" t="n"/>
      <c r="G70" s="135" t="n"/>
      <c r="H70" s="135" t="n"/>
      <c r="I70" s="136" t="n"/>
    </row>
    <row r="71" ht="24.95" customHeight="1">
      <c r="A71" s="134" t="n"/>
      <c r="B71" s="135" t="n"/>
      <c r="C71" s="79" t="n"/>
      <c r="D71" s="135" t="n"/>
      <c r="E71" s="135" t="n"/>
      <c r="F71" s="135" t="n"/>
      <c r="G71" s="135" t="n"/>
      <c r="H71" s="135" t="n"/>
      <c r="I71" s="136" t="n"/>
    </row>
    <row r="72" ht="24.95" customHeight="1">
      <c r="A72" s="134" t="n"/>
      <c r="B72" s="135" t="n"/>
      <c r="C72" s="79" t="n"/>
      <c r="D72" s="135" t="n"/>
      <c r="E72" s="135" t="n"/>
      <c r="F72" s="135" t="n"/>
      <c r="G72" s="135" t="n"/>
      <c r="H72" s="135" t="n"/>
      <c r="I72" s="136" t="n"/>
    </row>
    <row r="73" ht="26.1" customHeight="1">
      <c r="A73" s="246" t="inlineStr">
        <is>
          <t>Photos</t>
        </is>
      </c>
      <c r="B73" s="278" t="n"/>
      <c r="C73" s="278" t="n"/>
      <c r="D73" s="278" t="n"/>
      <c r="E73" s="278" t="n"/>
      <c r="F73" s="278" t="n"/>
      <c r="G73" s="278" t="n"/>
      <c r="H73" s="278" t="n"/>
      <c r="I73" s="279" t="n"/>
    </row>
    <row r="74" ht="23.1" customHeight="1">
      <c r="A74" s="137" t="n"/>
      <c r="B74" s="138" t="n"/>
      <c r="C74" s="138" t="n"/>
      <c r="D74" s="138" t="n"/>
      <c r="E74" s="138" t="n"/>
      <c r="F74" s="138" t="n"/>
      <c r="G74" s="138" t="n"/>
      <c r="H74" s="138" t="n"/>
      <c r="I74" s="139" t="n"/>
    </row>
    <row r="75" ht="23.1" customHeight="1">
      <c r="A75" s="140" t="n"/>
      <c r="B75" s="141" t="n"/>
      <c r="C75" s="141" t="n"/>
      <c r="D75" s="141" t="n"/>
      <c r="E75" s="141" t="n"/>
      <c r="F75" s="141" t="n"/>
      <c r="G75" s="141" t="n"/>
      <c r="H75" s="141" t="n"/>
      <c r="I75" s="142" t="n"/>
    </row>
    <row r="76" ht="15"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H96" s="141" t="n"/>
      <c r="I96" s="142" t="n"/>
    </row>
    <row r="97" ht="24.95" customFormat="1" customHeight="1" s="81">
      <c r="A97" s="140" t="n"/>
      <c r="B97" s="141" t="n"/>
      <c r="C97" s="141" t="n"/>
      <c r="D97" s="141" t="n"/>
      <c r="E97" s="141" t="n"/>
      <c r="F97" s="141" t="n"/>
      <c r="G97" s="141" t="n"/>
      <c r="H97" s="141" t="n"/>
      <c r="I97" s="142" t="n"/>
    </row>
    <row r="98" ht="15" customHeight="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3" t="n"/>
      <c r="B112" s="144" t="n"/>
      <c r="C112" s="144" t="n"/>
      <c r="D112" s="144" t="n"/>
      <c r="E112" s="144" t="n"/>
      <c r="F112" s="144" t="n"/>
      <c r="G112" s="144" t="n"/>
      <c r="H112" s="144" t="n"/>
      <c r="I112" s="145" t="n"/>
    </row>
    <row r="113" ht="15" customHeight="1">
      <c r="A113" s="140" t="n"/>
      <c r="B113" s="141" t="n"/>
      <c r="C113" s="141" t="n"/>
      <c r="D113" s="141" t="n"/>
      <c r="E113" s="141" t="n"/>
      <c r="F113" s="141" t="n"/>
      <c r="G113" s="141" t="n"/>
      <c r="H113" s="141" t="n"/>
      <c r="I113" s="142"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24.95" customHeight="1">
      <c r="A121" s="140" t="n"/>
      <c r="B121" s="141" t="n"/>
      <c r="C121" s="141" t="n"/>
      <c r="D121" s="141" t="n"/>
      <c r="E121" s="141" t="n"/>
      <c r="F121" s="141" t="n"/>
      <c r="G121" s="141" t="n"/>
      <c r="H121" s="141" t="n"/>
      <c r="I121" s="142" t="n"/>
    </row>
    <row r="122" ht="1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27.95" customHeight="1">
      <c r="A124" s="140" t="n"/>
      <c r="B124" s="141" t="n"/>
      <c r="C124" s="141" t="n"/>
      <c r="D124" s="141" t="n"/>
      <c r="E124" s="141" t="n"/>
      <c r="F124" s="141" t="n"/>
      <c r="G124" s="141" t="n"/>
      <c r="H124" s="141" t="n"/>
      <c r="I124" s="142" t="n"/>
    </row>
    <row r="125" ht="1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c r="J137" s="146" t="n"/>
    </row>
    <row r="138" ht="15" customHeight="1">
      <c r="A138" s="140" t="n"/>
      <c r="B138" s="141" t="n"/>
      <c r="C138" s="141" t="n"/>
      <c r="D138" s="141" t="n"/>
      <c r="E138" s="141" t="n"/>
      <c r="F138" s="141" t="n"/>
      <c r="G138" s="141" t="n"/>
      <c r="H138" s="141" t="n"/>
      <c r="I138" s="142"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95" customHeight="1">
      <c r="A144" s="140" t="n"/>
      <c r="B144" s="141" t="n"/>
      <c r="C144" s="141" t="n"/>
      <c r="D144" s="141" t="n"/>
      <c r="E144" s="141" t="n"/>
      <c r="F144" s="141" t="n"/>
      <c r="G144" s="141" t="n"/>
      <c r="H144" s="141" t="n"/>
      <c r="I144" s="142" t="n"/>
    </row>
    <row r="145" ht="30.75" customHeight="1">
      <c r="A145" s="247" t="n"/>
      <c r="E145" s="248" t="n"/>
      <c r="I145" s="271" t="n"/>
    </row>
    <row r="146">
      <c r="A146" s="64" t="n"/>
      <c r="I146" s="65"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I180" s="65" t="n"/>
    </row>
    <row r="181">
      <c r="A181" s="64" t="n"/>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ht="15.95" customHeight="1">
      <c r="A199" s="59" t="n"/>
      <c r="B199" s="60" t="n"/>
      <c r="C199" s="60" t="n"/>
      <c r="D199" s="60" t="n"/>
      <c r="E199" s="60" t="n"/>
      <c r="F199" s="60" t="n"/>
      <c r="G199" s="60" t="n"/>
      <c r="H199" s="60" t="n"/>
      <c r="I199" s="61" t="n"/>
    </row>
    <row r="200">
      <c r="A200" s="64" t="n"/>
      <c r="I200" s="65" t="n"/>
    </row>
    <row r="201">
      <c r="A201" s="64" t="n"/>
      <c r="I201" s="65" t="n"/>
    </row>
    <row r="202">
      <c r="A202" s="64" t="n"/>
      <c r="I202" s="65" t="n"/>
    </row>
    <row r="203">
      <c r="A203" s="64" t="n"/>
      <c r="I203" s="65" t="n"/>
    </row>
    <row r="204">
      <c r="A204" s="64" t="n"/>
      <c r="I204" s="65" t="n"/>
    </row>
    <row r="205">
      <c r="A205" s="64" t="n"/>
      <c r="I205" s="65" t="n"/>
    </row>
    <row r="206" ht="15.95" customHeight="1">
      <c r="A206" s="59" t="n"/>
      <c r="B206" s="60" t="n"/>
      <c r="C206" s="60" t="n"/>
      <c r="D206" s="60" t="n"/>
      <c r="E206" s="60" t="n"/>
      <c r="F206" s="60" t="n"/>
      <c r="G206" s="60" t="n"/>
      <c r="H206" s="60" t="n"/>
      <c r="I206" s="61" t="n"/>
    </row>
  </sheetData>
  <mergeCells count="40">
    <mergeCell ref="C61:I61"/>
    <mergeCell ref="A65:I65"/>
    <mergeCell ref="D13:F13"/>
    <mergeCell ref="A54:I54"/>
    <mergeCell ref="G13:I13"/>
    <mergeCell ref="B8:D8"/>
    <mergeCell ref="A66:I66"/>
    <mergeCell ref="B46:C46"/>
    <mergeCell ref="B59:I59"/>
    <mergeCell ref="A12:I12"/>
    <mergeCell ref="C57:I57"/>
    <mergeCell ref="D47:I47"/>
    <mergeCell ref="B56:I56"/>
    <mergeCell ref="A5:I5"/>
    <mergeCell ref="B9:D9"/>
    <mergeCell ref="C62:I62"/>
    <mergeCell ref="B6:D6"/>
    <mergeCell ref="C58:I58"/>
    <mergeCell ref="B44:C44"/>
    <mergeCell ref="A13:C13"/>
    <mergeCell ref="A68:I68"/>
    <mergeCell ref="A10:I10"/>
    <mergeCell ref="A1:I4"/>
    <mergeCell ref="C64:I64"/>
    <mergeCell ref="A47:B47"/>
    <mergeCell ref="A67:I67"/>
    <mergeCell ref="D44:I44"/>
    <mergeCell ref="B7:D7"/>
    <mergeCell ref="C63:I63"/>
    <mergeCell ref="A48:I48"/>
    <mergeCell ref="A50:I53"/>
    <mergeCell ref="A73:I73"/>
    <mergeCell ref="A11:I11"/>
    <mergeCell ref="D46:I46"/>
    <mergeCell ref="B55:I55"/>
    <mergeCell ref="A60:I60"/>
    <mergeCell ref="A145:D145"/>
    <mergeCell ref="B45:C45"/>
    <mergeCell ref="D45:I45"/>
    <mergeCell ref="E145:I145"/>
  </mergeCells>
  <printOptions horizontalCentered="1"/>
  <pageMargins left="0.2362204724409449" right="0.2362204724409449" top="0.7480314960629921" bottom="0.7480314960629921" header="0.3149606299212598" footer="0.3149606299212598"/>
  <pageSetup orientation="portrait" paperSize="9" scale="35" fitToHeight="0"/>
  <rowBreaks count="1" manualBreakCount="1">
    <brk id="72" min="0" max="8" man="1"/>
  </rowBreaks>
</worksheet>
</file>

<file path=xl/worksheets/sheet16.xml><?xml version="1.0" encoding="utf-8"?>
<worksheet xmlns="http://schemas.openxmlformats.org/spreadsheetml/2006/main">
  <sheetPr>
    <outlinePr summaryBelow="1" summaryRight="1"/>
    <pageSetUpPr fitToPage="1"/>
  </sheetPr>
  <dimension ref="A1:J207"/>
  <sheetViews>
    <sheetView view="pageBreakPreview" topLeftCell="A17" zoomScale="60" zoomScaleNormal="55" workbookViewId="0">
      <selection activeCell="D15" sqref="D15:F15"/>
    </sheetView>
  </sheetViews>
  <sheetFormatPr baseColWidth="8" defaultColWidth="9.140625" defaultRowHeight="14.45"/>
  <cols>
    <col width="62.140625" bestFit="1" customWidth="1" style="232" min="1" max="1"/>
    <col width="36.7109375" bestFit="1" customWidth="1" style="232" min="2" max="2"/>
    <col width="16" customWidth="1" style="232" min="3" max="3"/>
    <col width="33.28515625" bestFit="1"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45887</v>
      </c>
    </row>
    <row r="7" ht="23.1" customHeight="1">
      <c r="A7" s="82" t="inlineStr">
        <is>
          <t>Project Location:</t>
        </is>
      </c>
      <c r="B7" s="267" t="inlineStr">
        <is>
          <t>Geraldton</t>
        </is>
      </c>
      <c r="E7" s="267" t="n"/>
      <c r="F7" s="84" t="n"/>
      <c r="G7" s="84" t="n"/>
      <c r="H7" s="87" t="inlineStr">
        <is>
          <t>Day:</t>
        </is>
      </c>
      <c r="I7" s="88" t="inlineStr">
        <is>
          <t>Monday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82</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22 degrees    Wind: 44 km/h NE Precip: 23mm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10</v>
      </c>
      <c r="G15" s="100" t="inlineStr">
        <is>
          <t>Khegan Brockman</t>
        </is>
      </c>
      <c r="H15" s="97" t="inlineStr">
        <is>
          <t>Labourer</t>
        </is>
      </c>
      <c r="I15" s="101" t="n">
        <v>10</v>
      </c>
    </row>
    <row r="16" ht="23.1" customHeight="1">
      <c r="A16" s="96" t="inlineStr">
        <is>
          <t>GRIFFITHS, Daniel</t>
        </is>
      </c>
      <c r="B16" s="97" t="inlineStr">
        <is>
          <t>Project Manager</t>
        </is>
      </c>
      <c r="C16" s="102" t="n">
        <v>11.5</v>
      </c>
      <c r="D16" s="103" t="n"/>
      <c r="E16" s="103" t="n"/>
      <c r="F16" s="97" t="n"/>
      <c r="G16" s="100" t="inlineStr">
        <is>
          <t>Laurent Levy</t>
        </is>
      </c>
      <c r="H16" s="97" t="inlineStr">
        <is>
          <t>Operator</t>
        </is>
      </c>
      <c r="I16" s="101" t="n">
        <v>10</v>
      </c>
    </row>
    <row r="17" ht="23.1" customHeight="1">
      <c r="A17" s="96" t="inlineStr">
        <is>
          <t>O"SHEA, John</t>
        </is>
      </c>
      <c r="B17" s="97" t="inlineStr">
        <is>
          <t>Senior Project Engineer</t>
        </is>
      </c>
      <c r="C17" s="102" t="n"/>
      <c r="D17" s="103" t="n"/>
      <c r="E17" s="103" t="n"/>
      <c r="F17" s="97" t="n"/>
      <c r="G17" s="100" t="inlineStr">
        <is>
          <t>Daniel McAuffile</t>
        </is>
      </c>
      <c r="H17" s="97" t="inlineStr">
        <is>
          <t>Operator</t>
        </is>
      </c>
      <c r="I17" s="101" t="n">
        <v>10</v>
      </c>
    </row>
    <row r="18" ht="23.1" customHeight="1">
      <c r="A18" s="96" t="inlineStr">
        <is>
          <t>GRIFFITHS, Ashley</t>
        </is>
      </c>
      <c r="B18" s="97" t="inlineStr">
        <is>
          <t>Supervisor</t>
        </is>
      </c>
      <c r="C18" s="102" t="n"/>
      <c r="D18" s="99" t="n"/>
      <c r="E18" s="99" t="n"/>
      <c r="F18" s="97" t="n"/>
      <c r="G18" s="100" t="inlineStr">
        <is>
          <t>Jachai Griffiths</t>
        </is>
      </c>
      <c r="H18" s="97" t="inlineStr">
        <is>
          <t>Operator</t>
        </is>
      </c>
      <c r="I18" s="101" t="n"/>
    </row>
    <row r="19" ht="23.1" customHeight="1">
      <c r="A19" s="96" t="inlineStr">
        <is>
          <t>LOW, June</t>
        </is>
      </c>
      <c r="B19" s="97" t="inlineStr">
        <is>
          <t>HSET</t>
        </is>
      </c>
      <c r="C19" s="102" t="n"/>
      <c r="D19" s="99" t="n"/>
      <c r="E19" s="99" t="n"/>
      <c r="F19" s="97" t="n"/>
      <c r="G19" s="100" t="inlineStr">
        <is>
          <t>O'Brian, Jamie</t>
        </is>
      </c>
      <c r="H19" s="97" t="inlineStr">
        <is>
          <t>Operator</t>
        </is>
      </c>
      <c r="I19" s="101" t="n">
        <v>10</v>
      </c>
    </row>
    <row r="20" ht="23.1" customHeight="1">
      <c r="A20" s="96" t="inlineStr">
        <is>
          <t>SKINNER,Jamie</t>
        </is>
      </c>
      <c r="B20" s="97" t="inlineStr">
        <is>
          <t>Supervisor</t>
        </is>
      </c>
      <c r="C20" s="102" t="n"/>
      <c r="D20" s="99" t="n"/>
      <c r="E20" s="99" t="n"/>
      <c r="F20" s="97" t="n"/>
      <c r="G20" s="100" t="inlineStr">
        <is>
          <t>Chester, Matt</t>
        </is>
      </c>
      <c r="H20" s="97" t="inlineStr">
        <is>
          <t>Gas Fitter</t>
        </is>
      </c>
      <c r="I20" s="101" t="n">
        <v>8</v>
      </c>
    </row>
    <row r="21" ht="23.1" customHeight="1">
      <c r="A21" s="96" t="n"/>
      <c r="B21" s="97" t="n"/>
      <c r="C21" s="102" t="n"/>
      <c r="D21" s="99" t="n"/>
      <c r="E21" s="99" t="n"/>
      <c r="F21" s="97" t="n"/>
      <c r="G21" s="100" t="inlineStr">
        <is>
          <t>Mounsey, Matt</t>
        </is>
      </c>
      <c r="H21" s="97" t="inlineStr">
        <is>
          <t>Gas Fitter</t>
        </is>
      </c>
      <c r="I21" s="101" t="n">
        <v>8</v>
      </c>
    </row>
    <row r="22" ht="23.1" customHeight="1">
      <c r="A22" s="96" t="n"/>
      <c r="B22" s="97" t="n"/>
      <c r="C22" s="102" t="n"/>
      <c r="D22" s="99" t="n"/>
      <c r="E22" s="99" t="n"/>
      <c r="F22" s="97" t="n"/>
      <c r="G22" s="100" t="inlineStr">
        <is>
          <t>Herring, Levin</t>
        </is>
      </c>
      <c r="H22" s="97" t="inlineStr">
        <is>
          <t>Gas Fitter</t>
        </is>
      </c>
      <c r="I22" s="101" t="n"/>
    </row>
    <row r="23" ht="23.1" customHeight="1">
      <c r="A23" s="96" t="n"/>
      <c r="B23" s="97" t="n"/>
      <c r="C23" s="102" t="n"/>
      <c r="D23" s="99" t="n"/>
      <c r="E23" s="99" t="n"/>
      <c r="F23" s="97" t="n"/>
      <c r="G23" s="100" t="n"/>
      <c r="H23" s="97" t="n"/>
      <c r="I23" s="101" t="n"/>
    </row>
    <row r="24" ht="23.1" customHeight="1">
      <c r="A24" s="96" t="n"/>
      <c r="B24" s="97" t="n"/>
      <c r="C24" s="102" t="n"/>
      <c r="D24" s="99" t="n"/>
      <c r="E24" s="99" t="n"/>
      <c r="F24" s="97" t="n"/>
      <c r="G24" s="100" t="n"/>
      <c r="H24" s="97" t="n"/>
      <c r="I24" s="101" t="n"/>
    </row>
    <row r="25" ht="23.1" customHeight="1">
      <c r="A25" s="96" t="n"/>
      <c r="B25" s="97" t="n"/>
      <c r="C25" s="102" t="n"/>
      <c r="D25" s="99" t="n"/>
      <c r="E25" s="99" t="n"/>
      <c r="F25" s="97" t="n"/>
      <c r="G25" s="107" t="n"/>
      <c r="H25" s="107" t="n"/>
      <c r="I25" s="107" t="n"/>
    </row>
    <row r="26" ht="23.1" customHeight="1">
      <c r="A26" s="255" t="inlineStr">
        <is>
          <t xml:space="preserve">Total Indirect Personnel onsite: </t>
        </is>
      </c>
      <c r="B26" s="105">
        <f>COUNT(C15:C26)</f>
        <v/>
      </c>
      <c r="C26" s="99" t="n"/>
      <c r="D26" s="99" t="n"/>
      <c r="E26" s="99" t="n"/>
      <c r="F26" s="97" t="n"/>
      <c r="G26" s="106" t="inlineStr">
        <is>
          <t>Total Subcontractor on-site:</t>
        </is>
      </c>
      <c r="H26" s="107">
        <f>COUNTIF(I15:I24,"&gt;0")</f>
        <v/>
      </c>
      <c r="I26" s="101" t="n"/>
    </row>
    <row r="27" ht="23.1" customHeight="1">
      <c r="A27" s="255" t="inlineStr">
        <is>
          <t xml:space="preserve">Total Indirect Personnel hours: </t>
        </is>
      </c>
      <c r="B27" s="105">
        <f>SUM(C15:C25)</f>
        <v/>
      </c>
      <c r="C27" s="102" t="n"/>
      <c r="D27" s="99" t="n"/>
      <c r="E27" s="99" t="n"/>
      <c r="F27" s="97" t="n"/>
      <c r="G27" s="106" t="inlineStr">
        <is>
          <t>Total Subcontractor hours:</t>
        </is>
      </c>
      <c r="H27" s="107">
        <f>SUM(I15:I24)</f>
        <v/>
      </c>
      <c r="I27" s="101" t="n"/>
    </row>
    <row r="28" ht="23.1" customHeight="1">
      <c r="A28" s="255" t="inlineStr">
        <is>
          <t xml:space="preserve">Total Direct Personnel onsite:  </t>
        </is>
      </c>
      <c r="B28" s="105">
        <f>COUNTIF(F15:F29,"&gt;0")</f>
        <v/>
      </c>
      <c r="C28" s="105" t="n"/>
      <c r="D28" s="99" t="n"/>
      <c r="E28" s="99" t="n"/>
      <c r="F28" s="108" t="n"/>
      <c r="G28" s="106" t="n"/>
      <c r="H28" s="107" t="n"/>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v>5</v>
      </c>
      <c r="D33" s="102" t="inlineStr">
        <is>
          <t>6 Wheel Tipper</t>
        </is>
      </c>
      <c r="E33" s="102" t="inlineStr">
        <is>
          <t>AMG04</t>
        </is>
      </c>
      <c r="F33" s="102" t="n"/>
      <c r="G33" s="102" t="inlineStr">
        <is>
          <t>Sea Container 20ft</t>
        </is>
      </c>
      <c r="H33" s="97" t="n">
        <v>951200</v>
      </c>
      <c r="I33" s="101" t="n">
        <v>1</v>
      </c>
    </row>
    <row r="34" ht="23.1" customHeight="1">
      <c r="A34" s="115" t="inlineStr">
        <is>
          <t>Positrak</t>
        </is>
      </c>
      <c r="B34" s="102" t="inlineStr">
        <is>
          <t>AMG 025</t>
        </is>
      </c>
      <c r="C34" s="97" t="n">
        <v>3</v>
      </c>
      <c r="D34" s="102" t="n"/>
      <c r="E34" s="97" t="n"/>
      <c r="F34" s="102" t="n"/>
      <c r="G34" s="102" t="inlineStr">
        <is>
          <t>Site Sentry Tower</t>
        </is>
      </c>
      <c r="H34" s="102" t="n"/>
      <c r="I34" s="101" t="n">
        <v>2</v>
      </c>
    </row>
    <row r="35" ht="23.1" customHeight="1">
      <c r="A35" s="115" t="inlineStr">
        <is>
          <t>Watercart</t>
        </is>
      </c>
      <c r="B35" s="102" t="inlineStr">
        <is>
          <t>WC04</t>
        </is>
      </c>
      <c r="C35" s="97" t="n">
        <v>4</v>
      </c>
      <c r="D35" s="102" t="n"/>
      <c r="E35" s="102" t="n"/>
      <c r="F35" s="102" t="n"/>
      <c r="G35" s="102" t="inlineStr">
        <is>
          <t>Skip Bin</t>
        </is>
      </c>
      <c r="H35" s="102" t="n"/>
      <c r="I35" s="101" t="n">
        <v>1</v>
      </c>
    </row>
    <row r="36" ht="23.1" customHeight="1">
      <c r="A36" s="115" t="inlineStr">
        <is>
          <t>8T Excavator</t>
        </is>
      </c>
      <c r="B36" s="116" t="inlineStr">
        <is>
          <t>AMG 014</t>
        </is>
      </c>
      <c r="C36" s="97" t="n">
        <v>10</v>
      </c>
      <c r="D36" s="102" t="n"/>
      <c r="E36" s="102" t="n"/>
      <c r="F36" s="102" t="n"/>
      <c r="G36" s="102" t="inlineStr">
        <is>
          <t>Hydrocarbon Bund</t>
        </is>
      </c>
      <c r="H36" s="102" t="n"/>
      <c r="I36" s="101" t="n">
        <v>1</v>
      </c>
    </row>
    <row r="37" ht="23.1" customHeight="1">
      <c r="A37" s="102" t="inlineStr">
        <is>
          <t>6 Wheel Tipper</t>
        </is>
      </c>
      <c r="B37" s="102" t="inlineStr">
        <is>
          <t>AMG 008</t>
        </is>
      </c>
      <c r="C37" s="102" t="n"/>
      <c r="D37" s="102" t="n"/>
      <c r="E37" s="102" t="n"/>
      <c r="F37" s="102" t="n"/>
      <c r="G37" s="102" t="inlineStr">
        <is>
          <t>Temp Fence</t>
        </is>
      </c>
      <c r="H37" s="97" t="n"/>
      <c r="I37" s="101" t="n">
        <v>1</v>
      </c>
    </row>
    <row r="38" ht="24" customHeight="1">
      <c r="A38" s="115" t="inlineStr">
        <is>
          <t>Padfoot/ Smooth Drum Roller</t>
        </is>
      </c>
      <c r="B38" s="102" t="inlineStr">
        <is>
          <t>RR 03</t>
        </is>
      </c>
      <c r="C38" s="97" t="n">
        <v>5</v>
      </c>
      <c r="D38" s="102" t="n"/>
      <c r="E38" s="102" t="n"/>
      <c r="F38" s="102" t="n"/>
      <c r="G38" s="31" t="n"/>
      <c r="H38" s="31" t="n"/>
      <c r="I38" s="32" t="n"/>
    </row>
    <row r="39" ht="24" customHeight="1">
      <c r="A39" s="115" t="inlineStr">
        <is>
          <t>Multi Roller</t>
        </is>
      </c>
      <c r="B39" s="102" t="n">
        <v>256</v>
      </c>
      <c r="C39" s="97" t="n">
        <v>5</v>
      </c>
      <c r="D39" s="102" t="n"/>
      <c r="E39" s="102" t="n"/>
      <c r="F39" s="102" t="n"/>
      <c r="G39" s="31" t="n"/>
      <c r="H39" s="31" t="n"/>
      <c r="I39" s="32" t="n"/>
    </row>
    <row r="40" ht="24" customHeight="1">
      <c r="A40" s="115" t="inlineStr">
        <is>
          <t>Positrak SSL</t>
        </is>
      </c>
      <c r="B40" s="102" t="inlineStr">
        <is>
          <t>SSL08</t>
        </is>
      </c>
      <c r="C40" s="97" t="n">
        <v>3</v>
      </c>
      <c r="D40" s="102" t="n"/>
      <c r="E40" s="102" t="n"/>
      <c r="F40" s="102" t="n"/>
      <c r="G40" s="31" t="n"/>
      <c r="H40" s="31" t="n"/>
      <c r="I40" s="32" t="n"/>
    </row>
    <row r="41" ht="23.1" customHeight="1">
      <c r="A41" s="115" t="inlineStr">
        <is>
          <t>Grader</t>
        </is>
      </c>
      <c r="B41" s="102" t="inlineStr">
        <is>
          <t>SLS01</t>
        </is>
      </c>
      <c r="C41" s="97" t="n"/>
      <c r="D41" s="102" t="n"/>
      <c r="E41" s="102" t="n"/>
      <c r="F41" s="102" t="n"/>
      <c r="G41" s="102" t="n"/>
      <c r="H41" s="97" t="n"/>
      <c r="I41" s="101" t="n"/>
    </row>
    <row r="42" ht="23.1" customHeight="1">
      <c r="A42" s="115" t="inlineStr">
        <is>
          <t>5t Excavator</t>
        </is>
      </c>
      <c r="B42" s="102" t="inlineStr">
        <is>
          <t>AMG 007</t>
        </is>
      </c>
      <c r="C42" s="97" t="n"/>
      <c r="D42" s="102" t="n"/>
      <c r="E42" s="102" t="n"/>
      <c r="F42" s="102" t="n"/>
      <c r="G42" s="102" t="n"/>
      <c r="H42" s="97" t="n"/>
      <c r="I42" s="101" t="n"/>
    </row>
    <row r="43" ht="23.1" customHeight="1">
      <c r="A43" s="115" t="inlineStr">
        <is>
          <t>1.5 Excavator</t>
        </is>
      </c>
      <c r="B43" s="102" t="inlineStr">
        <is>
          <t>AMG 009</t>
        </is>
      </c>
      <c r="C43" s="97" t="n"/>
      <c r="D43" s="102" t="n"/>
      <c r="E43" s="102" t="n"/>
      <c r="F43" s="102" t="n"/>
      <c r="G43" s="102" t="n"/>
      <c r="H43" s="97" t="n"/>
      <c r="I43" s="101" t="n"/>
    </row>
    <row r="44" ht="24" customHeight="1">
      <c r="A44" s="115" t="n"/>
      <c r="B44" s="102" t="n"/>
      <c r="C44" s="97" t="n"/>
      <c r="D44" s="31" t="n"/>
      <c r="E44" s="31" t="n"/>
      <c r="F44" s="31" t="n"/>
      <c r="G44" s="31" t="n"/>
      <c r="H44" s="31" t="n"/>
      <c r="I44" s="32" t="n"/>
    </row>
    <row r="45" ht="18" customHeight="1">
      <c r="A45" s="117" t="n">
        <v>0</v>
      </c>
      <c r="B45" s="260" t="inlineStr">
        <is>
          <t xml:space="preserve">Repairs Required </t>
        </is>
      </c>
      <c r="C45" s="276" t="n"/>
      <c r="D45" s="249" t="inlineStr">
        <is>
          <t>N/A</t>
        </is>
      </c>
      <c r="E45" s="275" t="n"/>
      <c r="F45" s="275" t="n"/>
      <c r="G45" s="275" t="n"/>
      <c r="H45" s="275" t="n"/>
      <c r="I45" s="277" t="n"/>
    </row>
    <row r="46" ht="18" customHeight="1">
      <c r="A46" s="118" t="n">
        <v>0</v>
      </c>
      <c r="B46" s="260" t="inlineStr">
        <is>
          <t>Scheduled Service</t>
        </is>
      </c>
      <c r="C46" s="276" t="n"/>
      <c r="D46" s="249" t="inlineStr">
        <is>
          <t>N/A</t>
        </is>
      </c>
      <c r="E46" s="275" t="n"/>
      <c r="F46" s="275" t="n"/>
      <c r="G46" s="275" t="n"/>
      <c r="H46" s="275" t="n"/>
      <c r="I46" s="277" t="n"/>
    </row>
    <row r="47" ht="18" customHeight="1">
      <c r="A47" s="119" t="n">
        <v>0</v>
      </c>
      <c r="B47" s="260" t="inlineStr">
        <is>
          <t>Repairs required but operable</t>
        </is>
      </c>
      <c r="C47" s="276" t="n"/>
      <c r="D47" s="249" t="inlineStr">
        <is>
          <t>N/A</t>
        </is>
      </c>
      <c r="E47" s="275" t="n"/>
      <c r="F47" s="275" t="n"/>
      <c r="G47" s="275" t="n"/>
      <c r="H47" s="275" t="n"/>
      <c r="I47" s="277" t="n"/>
    </row>
    <row r="48" ht="23.1" customHeight="1">
      <c r="A48" s="255" t="inlineStr">
        <is>
          <t xml:space="preserve">Total Plant and Equipment Hours: </t>
        </is>
      </c>
      <c r="B48" s="276" t="n"/>
      <c r="C48" s="120">
        <f>SUM(C32:C44)</f>
        <v/>
      </c>
      <c r="D48" s="256" t="n"/>
      <c r="E48" s="275" t="n"/>
      <c r="F48" s="275" t="n"/>
      <c r="G48" s="275" t="n"/>
      <c r="H48" s="275" t="n"/>
      <c r="I48" s="277" t="n"/>
    </row>
    <row r="49" ht="24.95" customHeight="1">
      <c r="A49" s="245" t="inlineStr">
        <is>
          <t>DELAYS-OPPORTUNITY</t>
        </is>
      </c>
      <c r="B49" s="275" t="n"/>
      <c r="C49" s="275" t="n"/>
      <c r="D49" s="275" t="n"/>
      <c r="E49" s="275" t="n"/>
      <c r="F49" s="275" t="n"/>
      <c r="G49" s="275" t="n"/>
      <c r="H49" s="275" t="n"/>
      <c r="I49" s="277" t="n"/>
    </row>
    <row r="50" ht="20.1" customHeight="1">
      <c r="A50" s="121" t="n"/>
      <c r="B50" s="122" t="n"/>
      <c r="C50" s="122" t="n"/>
      <c r="D50" s="122" t="n"/>
      <c r="E50" s="122" t="n"/>
      <c r="F50" s="122" t="n"/>
      <c r="G50" s="122" t="n"/>
      <c r="H50" s="122" t="n"/>
      <c r="I50" s="123" t="n"/>
    </row>
    <row r="51" ht="15" customHeight="1" thickBot="1">
      <c r="A51" s="244" t="inlineStr">
        <is>
          <t xml:space="preserve">Awaiting Detail on Centrelink Carpark
Awaiting Crossing Details for Forrest Street
Awaiting Direction on Service Clash Forrest Street
Awaiting Feedback on Batters Treatment </t>
        </is>
      </c>
      <c r="B51" s="278" t="n"/>
      <c r="C51" s="278" t="n"/>
      <c r="D51" s="278" t="n"/>
      <c r="E51" s="278" t="n"/>
      <c r="F51" s="278" t="n"/>
      <c r="G51" s="278" t="n"/>
      <c r="H51" s="278" t="n"/>
      <c r="I51" s="279" t="n"/>
    </row>
    <row r="52">
      <c r="A52" s="270" t="n"/>
      <c r="I52" s="271" t="n"/>
    </row>
    <row r="53">
      <c r="A53" s="270" t="n"/>
      <c r="I53" s="271" t="n"/>
    </row>
    <row r="54" ht="44.45" customHeight="1" thickBot="1">
      <c r="A54" s="280" t="n"/>
      <c r="B54" s="281" t="n"/>
      <c r="C54" s="281" t="n"/>
      <c r="D54" s="281" t="n"/>
      <c r="E54" s="281" t="n"/>
      <c r="F54" s="281" t="n"/>
      <c r="G54" s="281" t="n"/>
      <c r="H54" s="281" t="n"/>
      <c r="I54" s="282" t="n"/>
    </row>
    <row r="55" ht="24.95" customHeight="1">
      <c r="A55" s="252" t="inlineStr">
        <is>
          <t>HSEQ MESSAGES</t>
        </is>
      </c>
      <c r="B55" s="283" t="n"/>
      <c r="C55" s="283" t="n"/>
      <c r="D55" s="283" t="n"/>
      <c r="E55" s="283" t="n"/>
      <c r="F55" s="283" t="n"/>
      <c r="G55" s="283" t="n"/>
      <c r="H55" s="283" t="n"/>
      <c r="I55" s="284" t="n"/>
    </row>
    <row r="56" ht="18" customHeight="1">
      <c r="A56" s="124" t="inlineStr">
        <is>
          <t>TCD - Monthly Safety Focus:</t>
        </is>
      </c>
      <c r="B56" s="257" t="inlineStr">
        <is>
          <t>Return to Work</t>
        </is>
      </c>
      <c r="C56" s="275" t="n"/>
      <c r="D56" s="275" t="n"/>
      <c r="E56" s="275" t="n"/>
      <c r="F56" s="275" t="n"/>
      <c r="G56" s="275" t="n"/>
      <c r="H56" s="275" t="n"/>
      <c r="I56" s="276" t="n"/>
    </row>
    <row r="57" ht="24" customHeight="1">
      <c r="A57" s="124" t="inlineStr">
        <is>
          <t>TCD - Daily Safety Focus:</t>
        </is>
      </c>
      <c r="B57" s="258" t="inlineStr">
        <is>
          <t>Bunting and Barracading</t>
        </is>
      </c>
      <c r="C57" s="275" t="n"/>
      <c r="D57" s="275" t="n"/>
      <c r="E57" s="275" t="n"/>
      <c r="F57" s="275" t="n"/>
      <c r="G57" s="275" t="n"/>
      <c r="H57" s="275" t="n"/>
      <c r="I57" s="277" t="n"/>
    </row>
    <row r="58" ht="18" customHeight="1">
      <c r="A58" s="125" t="inlineStr">
        <is>
          <t xml:space="preserve">Hazards Reported: </t>
        </is>
      </c>
      <c r="B58" s="126" t="inlineStr">
        <is>
          <t>Nil</t>
        </is>
      </c>
      <c r="C58" s="258" t="n"/>
      <c r="D58" s="275" t="n"/>
      <c r="E58" s="275" t="n"/>
      <c r="F58" s="275" t="n"/>
      <c r="G58" s="275" t="n"/>
      <c r="H58" s="275" t="n"/>
      <c r="I58" s="277" t="n"/>
    </row>
    <row r="59" ht="18" customHeight="1">
      <c r="A59" s="125" t="inlineStr">
        <is>
          <t>Incident Free Days</t>
        </is>
      </c>
      <c r="B59" s="126" t="n">
        <v>4</v>
      </c>
      <c r="C59" s="257" t="n"/>
      <c r="D59" s="275" t="n"/>
      <c r="E59" s="275" t="n"/>
      <c r="F59" s="275" t="n"/>
      <c r="G59" s="275" t="n"/>
      <c r="H59" s="275" t="n"/>
      <c r="I59" s="276" t="n"/>
    </row>
    <row r="60" ht="18" customHeight="1">
      <c r="A60" s="127" t="inlineStr">
        <is>
          <t>Other Notes</t>
        </is>
      </c>
      <c r="B60" s="259" t="n"/>
      <c r="C60" s="278" t="n"/>
      <c r="D60" s="278" t="n"/>
      <c r="E60" s="278" t="n"/>
      <c r="F60" s="278" t="n"/>
      <c r="G60" s="278" t="n"/>
      <c r="H60" s="278" t="n"/>
      <c r="I60" s="279" t="n"/>
    </row>
    <row r="61" ht="20.25" customHeight="1">
      <c r="A61" s="245" t="inlineStr">
        <is>
          <t xml:space="preserve">INCIDENTS &amp; REPORTS </t>
        </is>
      </c>
      <c r="B61" s="275" t="n"/>
      <c r="C61" s="275" t="n"/>
      <c r="D61" s="275" t="n"/>
      <c r="E61" s="275" t="n"/>
      <c r="F61" s="275" t="n"/>
      <c r="G61" s="275" t="n"/>
      <c r="H61" s="275" t="n"/>
      <c r="I61" s="277" t="n"/>
    </row>
    <row r="62" ht="24.95" customHeight="1">
      <c r="A62" s="128" t="n"/>
      <c r="B62" s="263" t="inlineStr">
        <is>
          <t>QTY</t>
        </is>
      </c>
      <c r="C62" s="254" t="inlineStr">
        <is>
          <t>Comments</t>
        </is>
      </c>
      <c r="D62" s="275" t="n"/>
      <c r="E62" s="275" t="n"/>
      <c r="F62" s="275" t="n"/>
      <c r="G62" s="275" t="n"/>
      <c r="H62" s="275" t="n"/>
      <c r="I62" s="277" t="n"/>
    </row>
    <row r="63" ht="24.95" customHeight="1">
      <c r="A63" s="129" t="inlineStr">
        <is>
          <t>INCIDENT</t>
        </is>
      </c>
      <c r="B63" s="263" t="n">
        <v>0</v>
      </c>
      <c r="C63" s="249" t="inlineStr">
        <is>
          <t>NA</t>
        </is>
      </c>
      <c r="D63" s="275" t="n"/>
      <c r="E63" s="275" t="n"/>
      <c r="F63" s="275" t="n"/>
      <c r="G63" s="275" t="n"/>
      <c r="H63" s="275" t="n"/>
      <c r="I63" s="277" t="n"/>
    </row>
    <row r="64" ht="24.95" customHeight="1">
      <c r="A64" s="130" t="inlineStr">
        <is>
          <t>IR</t>
        </is>
      </c>
      <c r="B64" s="131" t="n">
        <v>0</v>
      </c>
      <c r="C64" s="250" t="inlineStr">
        <is>
          <t>NA</t>
        </is>
      </c>
      <c r="D64" s="278" t="n"/>
      <c r="E64" s="278" t="n"/>
      <c r="F64" s="278" t="n"/>
      <c r="G64" s="278" t="n"/>
      <c r="H64" s="278" t="n"/>
      <c r="I64" s="279" t="n"/>
    </row>
    <row r="65" ht="24.95" customHeight="1" thickBot="1">
      <c r="A65" s="132" t="inlineStr">
        <is>
          <t>NCR</t>
        </is>
      </c>
      <c r="B65" s="133" t="n">
        <v>0</v>
      </c>
      <c r="C65" s="251" t="inlineStr">
        <is>
          <t>NA</t>
        </is>
      </c>
      <c r="D65" s="285" t="n"/>
      <c r="E65" s="285" t="n"/>
      <c r="F65" s="285" t="n"/>
      <c r="G65" s="285" t="n"/>
      <c r="H65" s="285" t="n"/>
      <c r="I65" s="286" t="n"/>
    </row>
    <row r="66" ht="20.25" customHeight="1">
      <c r="A66" s="252" t="inlineStr">
        <is>
          <t>COMMUNICATIONS</t>
        </is>
      </c>
      <c r="B66" s="283" t="n"/>
      <c r="C66" s="283" t="n"/>
      <c r="D66" s="283" t="n"/>
      <c r="E66" s="283" t="n"/>
      <c r="F66" s="283" t="n"/>
      <c r="G66" s="283" t="n"/>
      <c r="H66" s="283" t="n"/>
      <c r="I66" s="284" t="n"/>
    </row>
    <row r="67" ht="24.95" customHeight="1">
      <c r="A67" s="253" t="inlineStr">
        <is>
          <t>TGS MB1119-05 Scheme D implemented</t>
        </is>
      </c>
      <c r="B67" s="275" t="n"/>
      <c r="C67" s="275" t="n"/>
      <c r="D67" s="275" t="n"/>
      <c r="E67" s="275" t="n"/>
      <c r="F67" s="275" t="n"/>
      <c r="G67" s="275" t="n"/>
      <c r="H67" s="275" t="n"/>
      <c r="I67" s="277" t="n"/>
    </row>
    <row r="68" ht="24.95" customHeight="1">
      <c r="A68" s="253" t="n"/>
      <c r="B68" s="275" t="n"/>
      <c r="C68" s="275" t="n"/>
      <c r="D68" s="275" t="n"/>
      <c r="E68" s="275" t="n"/>
      <c r="F68" s="275" t="n"/>
      <c r="G68" s="275" t="n"/>
      <c r="H68" s="275" t="n"/>
      <c r="I68" s="277" t="n"/>
    </row>
    <row r="69" ht="24.95" customHeight="1">
      <c r="A69" s="245" t="inlineStr">
        <is>
          <t>PRODUCTION (CONSTRUCTION STATUS &amp; PROGRESS)</t>
        </is>
      </c>
      <c r="B69" s="275" t="n"/>
      <c r="C69" s="275" t="n"/>
      <c r="D69" s="275" t="n"/>
      <c r="E69" s="275" t="n"/>
      <c r="F69" s="275" t="n"/>
      <c r="G69" s="275" t="n"/>
      <c r="H69" s="275" t="n"/>
      <c r="I69" s="277" t="n"/>
    </row>
    <row r="70" ht="24.95" customHeight="1">
      <c r="A70" s="134" t="inlineStr">
        <is>
          <t>.Cleaning and compacting around New/existing pits.</t>
        </is>
      </c>
      <c r="B70" s="135" t="n"/>
      <c r="C70" s="79" t="inlineStr">
        <is>
          <t>Cutting of Asphalt</t>
        </is>
      </c>
      <c r="D70" s="79" t="n"/>
      <c r="E70" s="135" t="n"/>
      <c r="F70" s="135" t="n"/>
      <c r="G70" s="135" t="n"/>
      <c r="H70" s="135" t="n"/>
      <c r="I70" s="136" t="n"/>
    </row>
    <row r="71" ht="24.95" customHeight="1">
      <c r="A71" s="134" t="inlineStr">
        <is>
          <t>.Initial Pressure Test of Gas Main and Irrigation Mainline</t>
        </is>
      </c>
      <c r="B71" s="135" t="n"/>
      <c r="C71" s="134" t="inlineStr">
        <is>
          <t>Completed 1800 High Fencing to Eastern Boundary</t>
        </is>
      </c>
      <c r="D71" s="79" t="n"/>
      <c r="E71" s="135" t="n"/>
      <c r="F71" s="135" t="n"/>
      <c r="G71" s="135" t="n"/>
      <c r="H71" s="135" t="n"/>
      <c r="I71" s="136" t="n"/>
    </row>
    <row r="72" ht="24.95" customHeight="1">
      <c r="A72" s="134" t="inlineStr">
        <is>
          <t>Awaiting Compaction Results on Basecourse Layer 1</t>
        </is>
      </c>
      <c r="B72" s="135" t="n"/>
      <c r="C72" s="79" t="inlineStr">
        <is>
          <t>Forrest street tie-in cut and ready for box out</t>
        </is>
      </c>
      <c r="D72" s="135" t="n"/>
      <c r="E72" s="135" t="n"/>
      <c r="F72" s="135" t="n"/>
      <c r="G72" s="135" t="n"/>
      <c r="H72" s="135" t="n"/>
      <c r="I72" s="136" t="n"/>
    </row>
    <row r="73" ht="24.95" customHeight="1">
      <c r="A73" s="134" t="n"/>
      <c r="B73" s="135" t="n"/>
      <c r="C73" s="79" t="n"/>
      <c r="D73" s="135" t="n"/>
      <c r="E73" s="135" t="n"/>
      <c r="F73" s="135" t="n"/>
      <c r="G73" s="135" t="n"/>
      <c r="H73" s="135" t="n"/>
      <c r="I73" s="136" t="n"/>
    </row>
    <row r="74" ht="26.1" customHeight="1" thickBot="1">
      <c r="A74" s="246" t="inlineStr">
        <is>
          <t>Photos</t>
        </is>
      </c>
      <c r="B74" s="278" t="n"/>
      <c r="C74" s="278" t="n"/>
      <c r="D74" s="278" t="n"/>
      <c r="E74" s="278" t="n"/>
      <c r="F74" s="278" t="n"/>
      <c r="G74" s="278" t="n"/>
      <c r="H74" s="278" t="n"/>
      <c r="I74" s="279" t="n"/>
    </row>
    <row r="75" ht="23.1" customHeight="1">
      <c r="A75" s="137" t="n"/>
      <c r="B75" s="138" t="n"/>
      <c r="C75" s="138" t="n"/>
      <c r="D75" s="138" t="n"/>
      <c r="E75" s="138" t="n"/>
      <c r="F75" s="138" t="n"/>
      <c r="G75" s="138" t="n"/>
      <c r="H75" s="138" t="n"/>
      <c r="I75" s="139" t="n"/>
    </row>
    <row r="76" ht="23.1"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G96" s="141" t="n"/>
      <c r="H96" s="141" t="n"/>
      <c r="I96" s="142" t="n"/>
    </row>
    <row r="97" ht="15" customHeight="1">
      <c r="A97" s="140" t="n"/>
      <c r="B97" s="141" t="n"/>
      <c r="C97" s="141" t="n"/>
      <c r="D97" s="141" t="n"/>
      <c r="E97" s="141" t="n"/>
      <c r="F97" s="141" t="n"/>
      <c r="H97" s="141" t="n"/>
      <c r="I97" s="142" t="n"/>
    </row>
    <row r="98" ht="24.95" customFormat="1" customHeight="1" s="8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0" t="n"/>
      <c r="B112" s="141" t="n"/>
      <c r="C112" s="141" t="n"/>
      <c r="D112" s="141" t="n"/>
      <c r="E112" s="141" t="n"/>
      <c r="F112" s="141" t="n"/>
      <c r="G112" s="141" t="n"/>
      <c r="H112" s="141" t="n"/>
      <c r="I112" s="142" t="n"/>
    </row>
    <row r="113" ht="15" customHeight="1" thickBot="1">
      <c r="A113" s="143" t="n"/>
      <c r="B113" s="144" t="n"/>
      <c r="C113" s="144" t="n"/>
      <c r="D113" s="144" t="n"/>
      <c r="E113" s="144" t="n"/>
      <c r="F113" s="144" t="n"/>
      <c r="G113" s="144" t="n"/>
      <c r="H113" s="144" t="n"/>
      <c r="I113" s="145"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15" customHeight="1">
      <c r="A121" s="140" t="n"/>
      <c r="B121" s="141" t="n"/>
      <c r="C121" s="141" t="n"/>
      <c r="D121" s="141" t="n"/>
      <c r="E121" s="141" t="n"/>
      <c r="F121" s="141" t="n"/>
      <c r="G121" s="141" t="n"/>
      <c r="H121" s="141" t="n"/>
      <c r="I121" s="142" t="n"/>
    </row>
    <row r="122" ht="24.9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15" customHeight="1">
      <c r="A124" s="140" t="n"/>
      <c r="B124" s="141" t="n"/>
      <c r="C124" s="141" t="n"/>
      <c r="D124" s="141" t="n"/>
      <c r="E124" s="141" t="n"/>
      <c r="F124" s="141" t="n"/>
      <c r="G124" s="141" t="n"/>
      <c r="H124" s="141" t="n"/>
      <c r="I124" s="142" t="n"/>
    </row>
    <row r="125" ht="27.9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row>
    <row r="138" ht="15" customHeight="1" thickBot="1">
      <c r="A138" s="140" t="n"/>
      <c r="B138" s="141" t="n"/>
      <c r="C138" s="141" t="n"/>
      <c r="D138" s="141" t="n"/>
      <c r="E138" s="141" t="n"/>
      <c r="F138" s="141" t="n"/>
      <c r="G138" s="141" t="n"/>
      <c r="H138" s="141" t="n"/>
      <c r="I138" s="142" t="n"/>
      <c r="J138" s="146"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 customHeight="1">
      <c r="A144" s="140" t="n"/>
      <c r="B144" s="141" t="n"/>
      <c r="C144" s="141" t="n"/>
      <c r="D144" s="141" t="n"/>
      <c r="E144" s="141" t="n"/>
      <c r="F144" s="141" t="n"/>
      <c r="G144" s="141" t="n"/>
      <c r="H144" s="141" t="n"/>
      <c r="I144" s="142" t="n"/>
    </row>
    <row r="145" ht="15.95" customHeight="1">
      <c r="A145" s="140" t="n"/>
      <c r="B145" s="141" t="n"/>
      <c r="C145" s="141" t="n"/>
      <c r="D145" s="141" t="n"/>
      <c r="E145" s="141" t="n"/>
      <c r="F145" s="141" t="n"/>
      <c r="G145" s="141" t="n"/>
      <c r="H145" s="141" t="n"/>
      <c r="I145" s="142" t="n"/>
    </row>
    <row r="146" ht="30.75" customHeight="1">
      <c r="A146" s="247" t="n"/>
      <c r="E146" s="248" t="n"/>
      <c r="I146" s="271"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ht="15.95" customHeight="1" thickBot="1">
      <c r="A200" s="59" t="n"/>
      <c r="B200" s="60" t="n"/>
      <c r="C200" s="60" t="n"/>
      <c r="D200" s="60" t="n"/>
      <c r="E200" s="60" t="n"/>
      <c r="F200" s="60" t="n"/>
      <c r="G200" s="60" t="n"/>
      <c r="H200" s="60" t="n"/>
      <c r="I200" s="61" t="n"/>
    </row>
    <row r="201">
      <c r="A201" s="64" t="n"/>
      <c r="I201" s="65" t="n"/>
    </row>
    <row r="202">
      <c r="A202" s="64" t="n"/>
      <c r="I202" s="65" t="n"/>
    </row>
    <row r="203">
      <c r="A203" s="64" t="n"/>
      <c r="I203" s="65" t="n"/>
    </row>
    <row r="204">
      <c r="A204" s="64" t="n"/>
      <c r="I204" s="65" t="n"/>
    </row>
    <row r="205">
      <c r="A205" s="64" t="n"/>
      <c r="I205" s="65" t="n"/>
    </row>
    <row r="206">
      <c r="A206" s="64" t="n"/>
      <c r="I206" s="65" t="n"/>
    </row>
    <row r="207" ht="15.95" customHeight="1" thickBot="1">
      <c r="A207" s="59" t="n"/>
      <c r="B207" s="60" t="n"/>
      <c r="C207" s="60" t="n"/>
      <c r="D207" s="60" t="n"/>
      <c r="E207" s="60" t="n"/>
      <c r="F207" s="60" t="n"/>
      <c r="G207" s="60" t="n"/>
      <c r="H207" s="60" t="n"/>
      <c r="I207" s="61" t="n"/>
    </row>
  </sheetData>
  <mergeCells count="40">
    <mergeCell ref="A48:B48"/>
    <mergeCell ref="B47:C47"/>
    <mergeCell ref="D13:F13"/>
    <mergeCell ref="G13:I13"/>
    <mergeCell ref="B8:D8"/>
    <mergeCell ref="A66:I66"/>
    <mergeCell ref="B46:C46"/>
    <mergeCell ref="D48:I48"/>
    <mergeCell ref="A74:I74"/>
    <mergeCell ref="A55:I55"/>
    <mergeCell ref="A12:I12"/>
    <mergeCell ref="E146:I146"/>
    <mergeCell ref="D47:I47"/>
    <mergeCell ref="B56:I56"/>
    <mergeCell ref="A5:I5"/>
    <mergeCell ref="A51:I54"/>
    <mergeCell ref="B9:D9"/>
    <mergeCell ref="B60:I60"/>
    <mergeCell ref="C62:I62"/>
    <mergeCell ref="B57:I57"/>
    <mergeCell ref="B6:D6"/>
    <mergeCell ref="C58:I58"/>
    <mergeCell ref="A146:D146"/>
    <mergeCell ref="A68:I68"/>
    <mergeCell ref="A13:C13"/>
    <mergeCell ref="A10:I10"/>
    <mergeCell ref="C64:I64"/>
    <mergeCell ref="A1:I4"/>
    <mergeCell ref="A67:I67"/>
    <mergeCell ref="B7:D7"/>
    <mergeCell ref="C65:I65"/>
    <mergeCell ref="C63:I63"/>
    <mergeCell ref="A49:I49"/>
    <mergeCell ref="A11:I11"/>
    <mergeCell ref="D46:I46"/>
    <mergeCell ref="C59:I59"/>
    <mergeCell ref="B45:C45"/>
    <mergeCell ref="D45:I45"/>
    <mergeCell ref="A61:I61"/>
    <mergeCell ref="A69:I69"/>
  </mergeCells>
  <printOptions horizontalCentered="1"/>
  <pageMargins left="0.2362204724409449" right="0.2362204724409449" top="0.7480314960629921" bottom="0.7480314960629921" header="0.3149606299212598" footer="0.3149606299212598"/>
  <pageSetup orientation="portrait" paperSize="9" scale="34" fitToHeight="0"/>
  <rowBreaks count="1" manualBreakCount="1">
    <brk id="73" min="0" max="8" man="1"/>
  </rowBreaks>
</worksheet>
</file>

<file path=xl/worksheets/sheet17.xml><?xml version="1.0" encoding="utf-8"?>
<worksheet xmlns="http://schemas.openxmlformats.org/spreadsheetml/2006/main">
  <sheetPr>
    <outlinePr summaryBelow="1" summaryRight="1"/>
    <pageSetUpPr fitToPage="1"/>
  </sheetPr>
  <dimension ref="A1:J207"/>
  <sheetViews>
    <sheetView view="pageBreakPreview" topLeftCell="A25" zoomScale="60" zoomScaleNormal="55" workbookViewId="0">
      <selection activeCell="C35" sqref="A35:C35"/>
    </sheetView>
  </sheetViews>
  <sheetFormatPr baseColWidth="8" defaultColWidth="9.140625" defaultRowHeight="14.45"/>
  <cols>
    <col width="62.140625" bestFit="1" customWidth="1" style="232" min="1" max="1"/>
    <col width="36.7109375" bestFit="1" customWidth="1" style="232" min="2" max="2"/>
    <col width="16" customWidth="1" style="232" min="3" max="3"/>
    <col width="33.42578125" bestFit="1"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45888</v>
      </c>
    </row>
    <row r="7" ht="23.1" customHeight="1">
      <c r="A7" s="82" t="inlineStr">
        <is>
          <t>Project Location:</t>
        </is>
      </c>
      <c r="B7" s="267" t="inlineStr">
        <is>
          <t>Geraldton</t>
        </is>
      </c>
      <c r="E7" s="267" t="n"/>
      <c r="F7" s="84" t="n"/>
      <c r="G7" s="84" t="n"/>
      <c r="H7" s="87" t="inlineStr">
        <is>
          <t>Day:</t>
        </is>
      </c>
      <c r="I7" s="88" t="inlineStr">
        <is>
          <t>Tuesday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85</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23 degrees    Wind: 56 km/h W Precip: 0mm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10</v>
      </c>
      <c r="G15" s="100" t="inlineStr">
        <is>
          <t>Khegan Brockman</t>
        </is>
      </c>
      <c r="H15" s="97" t="inlineStr">
        <is>
          <t>Labourer</t>
        </is>
      </c>
      <c r="I15" s="101" t="n">
        <v>10</v>
      </c>
    </row>
    <row r="16" ht="23.1" customHeight="1">
      <c r="A16" s="96" t="inlineStr">
        <is>
          <t>GRIFFITHS, Daniel</t>
        </is>
      </c>
      <c r="B16" s="97" t="inlineStr">
        <is>
          <t>Project Manager</t>
        </is>
      </c>
      <c r="C16" s="102" t="n">
        <v>11.5</v>
      </c>
      <c r="D16" s="103" t="n"/>
      <c r="E16" s="103" t="n"/>
      <c r="F16" s="97" t="n"/>
      <c r="G16" s="100" t="inlineStr">
        <is>
          <t>Laurent Levy</t>
        </is>
      </c>
      <c r="H16" s="97" t="inlineStr">
        <is>
          <t>Operator</t>
        </is>
      </c>
      <c r="I16" s="101" t="n">
        <v>10</v>
      </c>
    </row>
    <row r="17" ht="23.1" customHeight="1">
      <c r="A17" s="96" t="inlineStr">
        <is>
          <t>O"SHEA, John</t>
        </is>
      </c>
      <c r="B17" s="97" t="inlineStr">
        <is>
          <t>Senior Project Engineer</t>
        </is>
      </c>
      <c r="C17" s="102" t="n"/>
      <c r="D17" s="103" t="n"/>
      <c r="E17" s="103" t="n"/>
      <c r="F17" s="97" t="n"/>
      <c r="G17" s="100" t="inlineStr">
        <is>
          <t>Daniel McAuffile</t>
        </is>
      </c>
      <c r="H17" s="97" t="inlineStr">
        <is>
          <t>Operator</t>
        </is>
      </c>
      <c r="I17" s="101" t="n">
        <v>10</v>
      </c>
    </row>
    <row r="18" ht="23.1" customHeight="1">
      <c r="A18" s="96" t="inlineStr">
        <is>
          <t>GRIFFITHS, Ashley</t>
        </is>
      </c>
      <c r="B18" s="97" t="inlineStr">
        <is>
          <t>Supervisor</t>
        </is>
      </c>
      <c r="C18" s="102" t="n">
        <v>10</v>
      </c>
      <c r="D18" s="99" t="n"/>
      <c r="E18" s="99" t="n"/>
      <c r="F18" s="97" t="n"/>
      <c r="G18" s="100" t="inlineStr">
        <is>
          <t>Jachai Griffiths</t>
        </is>
      </c>
      <c r="H18" s="97" t="inlineStr">
        <is>
          <t>Operator</t>
        </is>
      </c>
      <c r="I18" s="101" t="n"/>
    </row>
    <row r="19" ht="23.1" customHeight="1">
      <c r="A19" s="96" t="inlineStr">
        <is>
          <t>LOW, June</t>
        </is>
      </c>
      <c r="B19" s="97" t="inlineStr">
        <is>
          <t>HSET</t>
        </is>
      </c>
      <c r="C19" s="102" t="n"/>
      <c r="D19" s="99" t="n"/>
      <c r="E19" s="99" t="n"/>
      <c r="F19" s="97" t="n"/>
      <c r="G19" s="100" t="inlineStr">
        <is>
          <t>O'Brian, Jamie</t>
        </is>
      </c>
      <c r="H19" s="97" t="inlineStr">
        <is>
          <t>Operator</t>
        </is>
      </c>
      <c r="I19" s="101" t="n">
        <v>10</v>
      </c>
    </row>
    <row r="20" ht="23.1" customHeight="1">
      <c r="A20" s="96" t="inlineStr">
        <is>
          <t>SKINNER,Jamie</t>
        </is>
      </c>
      <c r="B20" s="97" t="inlineStr">
        <is>
          <t>Supervisor</t>
        </is>
      </c>
      <c r="C20" s="102" t="n">
        <v>11.5</v>
      </c>
      <c r="D20" s="99" t="n"/>
      <c r="E20" s="99" t="n"/>
      <c r="F20" s="97" t="n"/>
      <c r="G20" s="42" t="inlineStr">
        <is>
          <t>O'Reilly,James</t>
        </is>
      </c>
      <c r="H20" s="97" t="inlineStr">
        <is>
          <t>Operator</t>
        </is>
      </c>
      <c r="I20" s="101" t="n"/>
    </row>
    <row r="21" ht="23.1" customHeight="1">
      <c r="A21" s="96" t="n"/>
      <c r="B21" s="97" t="n"/>
      <c r="C21" s="102" t="n"/>
      <c r="D21" s="99" t="n"/>
      <c r="E21" s="99" t="n"/>
      <c r="F21" s="97" t="n"/>
      <c r="G21" s="100" t="inlineStr">
        <is>
          <t>Chester, Matt</t>
        </is>
      </c>
      <c r="H21" s="97" t="inlineStr">
        <is>
          <t>Gas Fitter</t>
        </is>
      </c>
      <c r="I21" s="101" t="n">
        <v>4</v>
      </c>
    </row>
    <row r="22" ht="23.1" customHeight="1">
      <c r="A22" s="96" t="n"/>
      <c r="B22" s="97" t="n"/>
      <c r="C22" s="102" t="n"/>
      <c r="D22" s="99" t="n"/>
      <c r="E22" s="99" t="n"/>
      <c r="F22" s="97" t="n"/>
      <c r="G22" s="100" t="inlineStr">
        <is>
          <t>Mounsey, Matt</t>
        </is>
      </c>
      <c r="H22" s="97" t="inlineStr">
        <is>
          <t>Gas Fitter</t>
        </is>
      </c>
      <c r="I22" s="101" t="n"/>
    </row>
    <row r="23" ht="23.1" customHeight="1">
      <c r="A23" s="96" t="n"/>
      <c r="B23" s="97" t="n"/>
      <c r="C23" s="102" t="n"/>
      <c r="D23" s="99" t="n"/>
      <c r="E23" s="99" t="n"/>
      <c r="F23" s="97" t="n"/>
      <c r="G23" s="100" t="inlineStr">
        <is>
          <t>Herring, Levin</t>
        </is>
      </c>
      <c r="H23" s="97" t="inlineStr">
        <is>
          <t>Gas Fitter</t>
        </is>
      </c>
      <c r="I23" s="101" t="n"/>
    </row>
    <row r="24" ht="23.1" customHeight="1">
      <c r="A24" s="96" t="n"/>
      <c r="B24" s="97" t="n"/>
      <c r="C24" s="102" t="n"/>
      <c r="D24" s="99" t="n"/>
      <c r="E24" s="99" t="n"/>
      <c r="F24" s="97" t="n"/>
      <c r="G24" s="100" t="inlineStr">
        <is>
          <t>Mosley,Joshua</t>
        </is>
      </c>
      <c r="H24" s="97" t="inlineStr">
        <is>
          <t>Surveyor</t>
        </is>
      </c>
      <c r="I24" s="101" t="n">
        <v>2</v>
      </c>
    </row>
    <row r="25" ht="23.1" customHeight="1">
      <c r="A25" s="96" t="n"/>
      <c r="B25" s="97" t="n"/>
      <c r="C25" s="102" t="n"/>
      <c r="D25" s="99" t="n"/>
      <c r="E25" s="99" t="n"/>
      <c r="F25" s="97" t="n"/>
      <c r="G25" s="107" t="n"/>
      <c r="H25" s="107" t="n"/>
      <c r="I25" s="107" t="n"/>
    </row>
    <row r="26" ht="23.1" customHeight="1">
      <c r="A26" s="255" t="inlineStr">
        <is>
          <t xml:space="preserve">Total Indirect Personnel onsite: </t>
        </is>
      </c>
      <c r="B26" s="105">
        <f>COUNT(C15:C26)</f>
        <v/>
      </c>
      <c r="C26" s="99" t="n"/>
      <c r="D26" s="99" t="n"/>
      <c r="E26" s="99" t="n"/>
      <c r="F26" s="97" t="n"/>
      <c r="G26" s="106" t="inlineStr">
        <is>
          <t>Total Subcontractor on-site:</t>
        </is>
      </c>
      <c r="H26" s="107">
        <f>COUNTIF(I15:I24,"&gt;0")</f>
        <v/>
      </c>
      <c r="I26" s="101" t="n"/>
    </row>
    <row r="27" ht="23.1" customHeight="1">
      <c r="A27" s="255" t="inlineStr">
        <is>
          <t xml:space="preserve">Total Indirect Personnel hours: </t>
        </is>
      </c>
      <c r="B27" s="105">
        <f>SUM(C15:C25)</f>
        <v/>
      </c>
      <c r="C27" s="102" t="n"/>
      <c r="D27" s="99" t="n"/>
      <c r="E27" s="99" t="n"/>
      <c r="F27" s="97" t="n"/>
      <c r="G27" s="106" t="inlineStr">
        <is>
          <t>Total Subcontractor hours:</t>
        </is>
      </c>
      <c r="H27" s="107">
        <f>SUM(I15:I24)</f>
        <v/>
      </c>
      <c r="I27" s="101" t="n"/>
    </row>
    <row r="28" ht="23.1" customHeight="1">
      <c r="A28" s="255" t="inlineStr">
        <is>
          <t xml:space="preserve">Total Direct Personnel onsite:  </t>
        </is>
      </c>
      <c r="B28" s="105">
        <f>COUNTIF(F15:F29,"&gt;0")</f>
        <v/>
      </c>
      <c r="C28" s="105" t="n"/>
      <c r="D28" s="99" t="n"/>
      <c r="E28" s="99" t="n"/>
      <c r="F28" s="108" t="n"/>
      <c r="G28" s="106" t="n"/>
      <c r="H28" s="107" t="n"/>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6 Wheel Tipper</t>
        </is>
      </c>
      <c r="E33" s="102" t="inlineStr">
        <is>
          <t>AMG04</t>
        </is>
      </c>
      <c r="F33" s="102" t="n"/>
      <c r="G33" s="102" t="inlineStr">
        <is>
          <t>Sea Container 20ft</t>
        </is>
      </c>
      <c r="H33" s="97" t="n">
        <v>951200</v>
      </c>
      <c r="I33" s="101" t="n">
        <v>1</v>
      </c>
    </row>
    <row r="34" ht="23.1" customHeight="1">
      <c r="A34" s="115" t="inlineStr">
        <is>
          <t>Positrak</t>
        </is>
      </c>
      <c r="B34" s="102" t="inlineStr">
        <is>
          <t>AMG 025</t>
        </is>
      </c>
      <c r="C34" s="97" t="n">
        <v>4</v>
      </c>
      <c r="D34" s="102" t="n"/>
      <c r="E34" s="97" t="n"/>
      <c r="F34" s="102" t="n"/>
      <c r="G34" s="102" t="inlineStr">
        <is>
          <t>Site Sentry Tower</t>
        </is>
      </c>
      <c r="H34" s="102" t="n"/>
      <c r="I34" s="101" t="n">
        <v>2</v>
      </c>
    </row>
    <row r="35" ht="23.1" customHeight="1">
      <c r="A35" s="115" t="inlineStr">
        <is>
          <t>Watercart</t>
        </is>
      </c>
      <c r="B35" s="102" t="inlineStr">
        <is>
          <t>WC04</t>
        </is>
      </c>
      <c r="C35" s="97" t="n">
        <v>5</v>
      </c>
      <c r="D35" s="102" t="n"/>
      <c r="E35" s="102" t="n"/>
      <c r="F35" s="102" t="n"/>
      <c r="G35" s="102" t="inlineStr">
        <is>
          <t>Skip Bin</t>
        </is>
      </c>
      <c r="H35" s="102" t="n"/>
      <c r="I35" s="101" t="n">
        <v>1</v>
      </c>
    </row>
    <row r="36" ht="23.1" customHeight="1">
      <c r="A36" s="115" t="inlineStr">
        <is>
          <t>8T Excavator</t>
        </is>
      </c>
      <c r="B36" s="116" t="inlineStr">
        <is>
          <t>AMG 014</t>
        </is>
      </c>
      <c r="C36" s="97" t="n"/>
      <c r="D36" s="102" t="n"/>
      <c r="E36" s="102" t="n"/>
      <c r="F36" s="102" t="n"/>
      <c r="G36" s="102" t="inlineStr">
        <is>
          <t>Hydrocarbon Bund</t>
        </is>
      </c>
      <c r="H36" s="102" t="n"/>
      <c r="I36" s="101" t="n">
        <v>1</v>
      </c>
    </row>
    <row r="37" ht="23.1" customHeight="1">
      <c r="A37" s="102" t="inlineStr">
        <is>
          <t>Mini Tipper</t>
        </is>
      </c>
      <c r="B37" s="102" t="inlineStr">
        <is>
          <t>SLS05</t>
        </is>
      </c>
      <c r="C37" s="102" t="n">
        <v>4</v>
      </c>
      <c r="D37" s="102" t="n"/>
      <c r="E37" s="102" t="n"/>
      <c r="F37" s="102" t="n"/>
      <c r="G37" s="102" t="inlineStr">
        <is>
          <t>Temp Fence</t>
        </is>
      </c>
      <c r="H37" s="97" t="n"/>
      <c r="I37" s="101" t="n">
        <v>1</v>
      </c>
    </row>
    <row r="38" ht="23.1" customHeight="1">
      <c r="A38" s="150" t="inlineStr">
        <is>
          <t>1 t Excavator</t>
        </is>
      </c>
      <c r="B38" s="102" t="inlineStr">
        <is>
          <t>SLS03</t>
        </is>
      </c>
      <c r="C38" s="102" t="n"/>
      <c r="D38" s="102" t="n"/>
      <c r="E38" s="102" t="n"/>
      <c r="F38" s="102" t="n"/>
      <c r="G38" s="102" t="n"/>
      <c r="H38" s="97" t="n"/>
      <c r="I38" s="101" t="n"/>
    </row>
    <row r="39" ht="24" customHeight="1">
      <c r="A39" s="115" t="inlineStr">
        <is>
          <t>Padfoot/ Smooth Drum Roller</t>
        </is>
      </c>
      <c r="B39" s="102" t="inlineStr">
        <is>
          <t>RR 03</t>
        </is>
      </c>
      <c r="C39" s="97" t="n"/>
      <c r="D39" s="102" t="n"/>
      <c r="E39" s="102" t="n"/>
      <c r="F39" s="102" t="n"/>
      <c r="G39" s="31" t="n"/>
      <c r="H39" s="31" t="n"/>
      <c r="I39" s="32" t="n"/>
    </row>
    <row r="40" ht="24" customHeight="1">
      <c r="A40" s="115" t="inlineStr">
        <is>
          <t>Multi</t>
        </is>
      </c>
      <c r="B40" s="102" t="n">
        <v>256</v>
      </c>
      <c r="C40" s="97" t="n"/>
      <c r="D40" s="102" t="n"/>
      <c r="E40" s="102" t="n"/>
      <c r="F40" s="102" t="n"/>
      <c r="G40" s="31" t="n"/>
      <c r="H40" s="31" t="n"/>
      <c r="I40" s="32" t="n"/>
    </row>
    <row r="41" ht="24" customHeight="1">
      <c r="A41" s="115" t="inlineStr">
        <is>
          <t>Positrak SSL</t>
        </is>
      </c>
      <c r="B41" s="102" t="inlineStr">
        <is>
          <t>SSL08</t>
        </is>
      </c>
      <c r="C41" s="97" t="n">
        <v>5</v>
      </c>
      <c r="D41" s="102" t="n"/>
      <c r="E41" s="102" t="n"/>
      <c r="F41" s="102" t="n"/>
      <c r="G41" s="31" t="n"/>
      <c r="H41" s="31" t="n"/>
      <c r="I41" s="32" t="n"/>
    </row>
    <row r="42" ht="23.1" customHeight="1">
      <c r="A42" s="115" t="inlineStr">
        <is>
          <t>Grader</t>
        </is>
      </c>
      <c r="B42" s="102" t="inlineStr">
        <is>
          <t>SLS01</t>
        </is>
      </c>
      <c r="C42" s="97" t="n">
        <v>5</v>
      </c>
      <c r="D42" s="102" t="n"/>
      <c r="E42" s="102" t="n"/>
      <c r="F42" s="102" t="n"/>
      <c r="G42" s="102" t="n"/>
      <c r="H42" s="97" t="n"/>
      <c r="I42" s="101" t="n"/>
    </row>
    <row r="43" ht="23.1" customHeight="1">
      <c r="A43" s="115" t="inlineStr">
        <is>
          <t>5t Excavator</t>
        </is>
      </c>
      <c r="B43" s="102" t="inlineStr">
        <is>
          <t>AMG 007</t>
        </is>
      </c>
      <c r="C43" s="97" t="n"/>
      <c r="D43" s="102" t="n"/>
      <c r="E43" s="102" t="n"/>
      <c r="F43" s="102" t="n"/>
      <c r="G43" s="102" t="n"/>
      <c r="H43" s="97" t="n"/>
      <c r="I43" s="101" t="n"/>
    </row>
    <row r="44" ht="23.1" customHeight="1">
      <c r="A44" s="115" t="inlineStr">
        <is>
          <t>1.5 Excavator</t>
        </is>
      </c>
      <c r="B44" s="102" t="inlineStr">
        <is>
          <t>AMG 009</t>
        </is>
      </c>
      <c r="C44" s="97" t="n"/>
      <c r="D44" s="102" t="n"/>
      <c r="E44" s="102" t="n"/>
      <c r="F44" s="102" t="n"/>
      <c r="G44" s="102" t="n"/>
      <c r="H44" s="97" t="n"/>
      <c r="I44" s="101" t="n"/>
    </row>
    <row r="45" ht="24" customHeight="1">
      <c r="A45" s="115" t="n"/>
      <c r="B45" s="102" t="n"/>
      <c r="C45" s="97" t="n"/>
      <c r="D45" s="31" t="n"/>
      <c r="E45" s="31" t="n"/>
      <c r="F45" s="31" t="n"/>
      <c r="G45" s="31" t="n"/>
      <c r="H45" s="31" t="n"/>
      <c r="I45" s="32" t="n"/>
    </row>
    <row r="46" ht="18" customHeight="1">
      <c r="A46" s="117" t="n">
        <v>0</v>
      </c>
      <c r="B46" s="260" t="inlineStr">
        <is>
          <t xml:space="preserve">Repairs Required </t>
        </is>
      </c>
      <c r="C46" s="276" t="n"/>
      <c r="D46" s="249" t="inlineStr">
        <is>
          <t>N/A</t>
        </is>
      </c>
      <c r="E46" s="275" t="n"/>
      <c r="F46" s="275" t="n"/>
      <c r="G46" s="275" t="n"/>
      <c r="H46" s="275" t="n"/>
      <c r="I46" s="277" t="n"/>
    </row>
    <row r="47" ht="18" customHeight="1">
      <c r="A47" s="118" t="n">
        <v>0</v>
      </c>
      <c r="B47" s="260" t="inlineStr">
        <is>
          <t>Scheduled Service</t>
        </is>
      </c>
      <c r="C47" s="276" t="n"/>
      <c r="D47" s="249" t="inlineStr">
        <is>
          <t>N/A</t>
        </is>
      </c>
      <c r="E47" s="275" t="n"/>
      <c r="F47" s="275" t="n"/>
      <c r="G47" s="275" t="n"/>
      <c r="H47" s="275" t="n"/>
      <c r="I47" s="277" t="n"/>
    </row>
    <row r="48" ht="18" customHeight="1">
      <c r="A48" s="119" t="n">
        <v>0</v>
      </c>
      <c r="B48" s="260" t="inlineStr">
        <is>
          <t>Repairs required but operable</t>
        </is>
      </c>
      <c r="C48" s="276" t="n"/>
      <c r="D48" s="249" t="inlineStr">
        <is>
          <t>N/A</t>
        </is>
      </c>
      <c r="E48" s="275" t="n"/>
      <c r="F48" s="275" t="n"/>
      <c r="G48" s="275" t="n"/>
      <c r="H48" s="275" t="n"/>
      <c r="I48" s="277" t="n"/>
    </row>
    <row r="49" ht="23.1" customHeight="1">
      <c r="A49" s="255" t="inlineStr">
        <is>
          <t xml:space="preserve">Total Plant and Equipment Hours: </t>
        </is>
      </c>
      <c r="B49" s="276" t="n"/>
      <c r="C49" s="120">
        <f>SUM(C32:C45)</f>
        <v/>
      </c>
      <c r="D49" s="256" t="n"/>
      <c r="E49" s="275" t="n"/>
      <c r="F49" s="275" t="n"/>
      <c r="G49" s="275" t="n"/>
      <c r="H49" s="275" t="n"/>
      <c r="I49" s="277" t="n"/>
    </row>
    <row r="50" ht="24.95" customHeight="1">
      <c r="A50" s="245" t="inlineStr">
        <is>
          <t>DELAYS-OPPORTUNITY</t>
        </is>
      </c>
      <c r="B50" s="275" t="n"/>
      <c r="C50" s="275" t="n"/>
      <c r="D50" s="275" t="n"/>
      <c r="E50" s="275" t="n"/>
      <c r="F50" s="275" t="n"/>
      <c r="G50" s="275" t="n"/>
      <c r="H50" s="275" t="n"/>
      <c r="I50" s="277" t="n"/>
    </row>
    <row r="51" ht="20.1" customHeight="1">
      <c r="A51" s="121" t="n"/>
      <c r="B51" s="122" t="n"/>
      <c r="C51" s="122" t="n"/>
      <c r="D51" s="122" t="n"/>
      <c r="E51" s="122" t="n"/>
      <c r="F51" s="122" t="n"/>
      <c r="G51" s="122" t="n"/>
      <c r="H51" s="122" t="n"/>
      <c r="I51" s="123" t="n"/>
    </row>
    <row r="52" ht="15" customHeight="1">
      <c r="A52" s="244" t="inlineStr">
        <is>
          <t xml:space="preserve">Awaiting Detail on Centrelink Carpark
Awaiting Crossing Details for Forrest Street
Awaiting Direction on Service Clash Forrest Street
Awaiting Feedback on Batters Treatment </t>
        </is>
      </c>
      <c r="B52" s="278" t="n"/>
      <c r="C52" s="278" t="n"/>
      <c r="D52" s="278" t="n"/>
      <c r="E52" s="278" t="n"/>
      <c r="F52" s="278" t="n"/>
      <c r="G52" s="278" t="n"/>
      <c r="H52" s="278" t="n"/>
      <c r="I52" s="279" t="n"/>
    </row>
    <row r="53">
      <c r="A53" s="270" t="n"/>
      <c r="I53" s="271" t="n"/>
    </row>
    <row r="54">
      <c r="A54" s="270" t="n"/>
      <c r="I54" s="271" t="n"/>
    </row>
    <row r="55" ht="51.6" customHeight="1">
      <c r="A55" s="280" t="n"/>
      <c r="B55" s="281" t="n"/>
      <c r="C55" s="281" t="n"/>
      <c r="D55" s="281" t="n"/>
      <c r="E55" s="281" t="n"/>
      <c r="F55" s="281" t="n"/>
      <c r="G55" s="281" t="n"/>
      <c r="H55" s="281" t="n"/>
      <c r="I55" s="282" t="n"/>
    </row>
    <row r="56" ht="24.95" customHeight="1">
      <c r="A56" s="252" t="inlineStr">
        <is>
          <t>HSEQ MESSAGES</t>
        </is>
      </c>
      <c r="B56" s="283" t="n"/>
      <c r="C56" s="283" t="n"/>
      <c r="D56" s="283" t="n"/>
      <c r="E56" s="283" t="n"/>
      <c r="F56" s="283" t="n"/>
      <c r="G56" s="283" t="n"/>
      <c r="H56" s="283" t="n"/>
      <c r="I56" s="284" t="n"/>
    </row>
    <row r="57" ht="18" customHeight="1">
      <c r="A57" s="124" t="inlineStr">
        <is>
          <t>TCD - Monthly Safety Focus:</t>
        </is>
      </c>
      <c r="B57" s="257" t="inlineStr">
        <is>
          <t>Return to Work</t>
        </is>
      </c>
      <c r="C57" s="275" t="n"/>
      <c r="D57" s="275" t="n"/>
      <c r="E57" s="275" t="n"/>
      <c r="F57" s="275" t="n"/>
      <c r="G57" s="275" t="n"/>
      <c r="H57" s="275" t="n"/>
      <c r="I57" s="276" t="n"/>
    </row>
    <row r="58" ht="24" customHeight="1">
      <c r="A58" s="124" t="inlineStr">
        <is>
          <t>TCD - Daily Safety Focus:</t>
        </is>
      </c>
      <c r="B58" s="258" t="inlineStr">
        <is>
          <t>Take Care Around Key Services</t>
        </is>
      </c>
      <c r="C58" s="275" t="n"/>
      <c r="D58" s="275" t="n"/>
      <c r="E58" s="275" t="n"/>
      <c r="F58" s="275" t="n"/>
      <c r="G58" s="275" t="n"/>
      <c r="H58" s="275" t="n"/>
      <c r="I58" s="277" t="n"/>
    </row>
    <row r="59" ht="18" customHeight="1">
      <c r="A59" s="125" t="inlineStr">
        <is>
          <t xml:space="preserve">Hazards Reported: </t>
        </is>
      </c>
      <c r="B59" s="126" t="inlineStr">
        <is>
          <t>Nil</t>
        </is>
      </c>
      <c r="C59" s="258" t="n"/>
      <c r="D59" s="275" t="n"/>
      <c r="E59" s="275" t="n"/>
      <c r="F59" s="275" t="n"/>
      <c r="G59" s="275" t="n"/>
      <c r="H59" s="275" t="n"/>
      <c r="I59" s="277" t="n"/>
    </row>
    <row r="60" ht="18" customHeight="1">
      <c r="A60" s="125" t="inlineStr">
        <is>
          <t>Incident Free Days</t>
        </is>
      </c>
      <c r="B60" s="126" t="n">
        <v>5</v>
      </c>
      <c r="C60" s="257" t="n"/>
      <c r="D60" s="275" t="n"/>
      <c r="E60" s="275" t="n"/>
      <c r="F60" s="275" t="n"/>
      <c r="G60" s="275" t="n"/>
      <c r="H60" s="275" t="n"/>
      <c r="I60" s="276" t="n"/>
    </row>
    <row r="61" ht="18" customHeight="1">
      <c r="A61" s="127" t="inlineStr">
        <is>
          <t>Other Notes</t>
        </is>
      </c>
      <c r="B61" s="259" t="n"/>
      <c r="C61" s="278" t="n"/>
      <c r="D61" s="278" t="n"/>
      <c r="E61" s="278" t="n"/>
      <c r="F61" s="278" t="n"/>
      <c r="G61" s="278" t="n"/>
      <c r="H61" s="278" t="n"/>
      <c r="I61" s="279" t="n"/>
    </row>
    <row r="62" ht="20.25" customHeight="1">
      <c r="A62" s="245" t="inlineStr">
        <is>
          <t xml:space="preserve">INCIDENTS &amp; REPORTS </t>
        </is>
      </c>
      <c r="B62" s="275" t="n"/>
      <c r="C62" s="275" t="n"/>
      <c r="D62" s="275" t="n"/>
      <c r="E62" s="275" t="n"/>
      <c r="F62" s="275" t="n"/>
      <c r="G62" s="275" t="n"/>
      <c r="H62" s="275" t="n"/>
      <c r="I62" s="277" t="n"/>
    </row>
    <row r="63" ht="24.95" customHeight="1">
      <c r="A63" s="128" t="n"/>
      <c r="B63" s="263" t="inlineStr">
        <is>
          <t>QTY</t>
        </is>
      </c>
      <c r="C63" s="254" t="inlineStr">
        <is>
          <t>Comments</t>
        </is>
      </c>
      <c r="D63" s="275" t="n"/>
      <c r="E63" s="275" t="n"/>
      <c r="F63" s="275" t="n"/>
      <c r="G63" s="275" t="n"/>
      <c r="H63" s="275" t="n"/>
      <c r="I63" s="277" t="n"/>
    </row>
    <row r="64" ht="24.95" customHeight="1">
      <c r="A64" s="129" t="inlineStr">
        <is>
          <t>INCIDENT</t>
        </is>
      </c>
      <c r="B64" s="263" t="n">
        <v>0</v>
      </c>
      <c r="C64" s="249" t="inlineStr">
        <is>
          <t>NA</t>
        </is>
      </c>
      <c r="D64" s="275" t="n"/>
      <c r="E64" s="275" t="n"/>
      <c r="F64" s="275" t="n"/>
      <c r="G64" s="275" t="n"/>
      <c r="H64" s="275" t="n"/>
      <c r="I64" s="277" t="n"/>
    </row>
    <row r="65" ht="24.95" customHeight="1">
      <c r="A65" s="130" t="inlineStr">
        <is>
          <t>IR</t>
        </is>
      </c>
      <c r="B65" s="131" t="n">
        <v>0</v>
      </c>
      <c r="C65" s="250" t="inlineStr">
        <is>
          <t>NA</t>
        </is>
      </c>
      <c r="D65" s="278" t="n"/>
      <c r="E65" s="278" t="n"/>
      <c r="F65" s="278" t="n"/>
      <c r="G65" s="278" t="n"/>
      <c r="H65" s="278" t="n"/>
      <c r="I65" s="279" t="n"/>
    </row>
    <row r="66" ht="24.95" customHeight="1">
      <c r="A66" s="132" t="inlineStr">
        <is>
          <t>NCR</t>
        </is>
      </c>
      <c r="B66" s="133" t="n">
        <v>0</v>
      </c>
      <c r="C66" s="251" t="inlineStr">
        <is>
          <t>NA</t>
        </is>
      </c>
      <c r="D66" s="285" t="n"/>
      <c r="E66" s="285" t="n"/>
      <c r="F66" s="285" t="n"/>
      <c r="G66" s="285" t="n"/>
      <c r="H66" s="285" t="n"/>
      <c r="I66" s="286" t="n"/>
    </row>
    <row r="67" ht="20.25" customHeight="1">
      <c r="A67" s="252" t="inlineStr">
        <is>
          <t>COMMUNICATIONS</t>
        </is>
      </c>
      <c r="B67" s="283" t="n"/>
      <c r="C67" s="283" t="n"/>
      <c r="D67" s="283" t="n"/>
      <c r="E67" s="283" t="n"/>
      <c r="F67" s="283" t="n"/>
      <c r="G67" s="283" t="n"/>
      <c r="H67" s="283" t="n"/>
      <c r="I67" s="284" t="n"/>
    </row>
    <row r="68" ht="24.95" customHeight="1">
      <c r="A68" s="253" t="inlineStr">
        <is>
          <t>TGS MB1119-05 Scheme D implemented</t>
        </is>
      </c>
      <c r="B68" s="275" t="n"/>
      <c r="C68" s="275" t="n"/>
      <c r="D68" s="275" t="n"/>
      <c r="E68" s="275" t="n"/>
      <c r="F68" s="275" t="n"/>
      <c r="G68" s="275" t="n"/>
      <c r="H68" s="275" t="n"/>
      <c r="I68" s="277" t="n"/>
    </row>
    <row r="69" ht="24.95" customHeight="1">
      <c r="A69" s="253" t="n"/>
      <c r="B69" s="275" t="n"/>
      <c r="C69" s="275" t="n"/>
      <c r="D69" s="275" t="n"/>
      <c r="E69" s="275" t="n"/>
      <c r="F69" s="275" t="n"/>
      <c r="G69" s="275" t="n"/>
      <c r="H69" s="275" t="n"/>
      <c r="I69" s="277" t="n"/>
    </row>
    <row r="70" ht="24.95" customHeight="1">
      <c r="A70" s="245" t="inlineStr">
        <is>
          <t>PRODUCTION (CONSTRUCTION STATUS &amp; PROGRESS)</t>
        </is>
      </c>
      <c r="B70" s="275" t="n"/>
      <c r="C70" s="275" t="n"/>
      <c r="D70" s="275" t="n"/>
      <c r="E70" s="275" t="n"/>
      <c r="F70" s="275" t="n"/>
      <c r="G70" s="275" t="n"/>
      <c r="H70" s="275" t="n"/>
      <c r="I70" s="277" t="n"/>
    </row>
    <row r="71" ht="24.95" customHeight="1">
      <c r="A71" s="147" t="inlineStr">
        <is>
          <t>.Cleaning and compacting around New/existing pits.</t>
        </is>
      </c>
      <c r="B71" s="148" t="n"/>
      <c r="C71" s="154" t="inlineStr">
        <is>
          <t>.Forrest street tie-in cut and ready for box out</t>
        </is>
      </c>
      <c r="D71" s="154" t="n"/>
      <c r="E71" s="148" t="n"/>
      <c r="F71" s="148" t="n"/>
      <c r="G71" s="148" t="n"/>
      <c r="H71" s="148" t="n"/>
      <c r="I71" s="106" t="n"/>
    </row>
    <row r="72" ht="24.95" customHeight="1">
      <c r="A72" s="147" t="inlineStr">
        <is>
          <t xml:space="preserve">.Trimming Lot batters with grader ready for final with Excavator </t>
        </is>
      </c>
      <c r="B72" s="148" t="n"/>
      <c r="C72" s="149" t="inlineStr">
        <is>
          <t>.Fill up watermain for pressure test</t>
        </is>
      </c>
      <c r="D72" s="154" t="n"/>
      <c r="E72" s="148" t="n"/>
      <c r="F72" s="148" t="n"/>
      <c r="G72" s="148" t="n"/>
      <c r="H72" s="148" t="n"/>
      <c r="I72" s="106" t="n"/>
    </row>
    <row r="73" ht="24.95" customHeight="1">
      <c r="A73" s="155" t="inlineStr">
        <is>
          <t>.Irrigation Mainline Pressure Test</t>
        </is>
      </c>
      <c r="B73" s="156" t="n"/>
      <c r="C73" s="157" t="n"/>
      <c r="D73" s="156" t="n"/>
      <c r="E73" s="156" t="n"/>
      <c r="F73" s="156" t="n"/>
      <c r="G73" s="156" t="n"/>
      <c r="H73" s="156" t="n"/>
      <c r="I73" s="158" t="n"/>
    </row>
    <row r="74" ht="26.1" customHeight="1">
      <c r="A74" s="246" t="inlineStr">
        <is>
          <t>Photos</t>
        </is>
      </c>
      <c r="B74" s="278" t="n"/>
      <c r="C74" s="278" t="n"/>
      <c r="D74" s="278" t="n"/>
      <c r="E74" s="278" t="n"/>
      <c r="F74" s="278" t="n"/>
      <c r="G74" s="278" t="n"/>
      <c r="H74" s="278" t="n"/>
      <c r="I74" s="279" t="n"/>
    </row>
    <row r="75" ht="23.1" customHeight="1">
      <c r="A75" s="137" t="n"/>
      <c r="B75" s="138" t="n"/>
      <c r="C75" s="138" t="n"/>
      <c r="D75" s="138" t="n"/>
      <c r="E75" s="138" t="n"/>
      <c r="F75" s="138" t="n"/>
      <c r="G75" s="138" t="n"/>
      <c r="H75" s="138" t="n"/>
      <c r="I75" s="139" t="n"/>
    </row>
    <row r="76" ht="23.1"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G96" s="141" t="n"/>
      <c r="H96" s="141" t="n"/>
      <c r="I96" s="142" t="n"/>
    </row>
    <row r="97" ht="15" customHeight="1">
      <c r="A97" s="140" t="n"/>
      <c r="B97" s="141" t="n"/>
      <c r="C97" s="141" t="n"/>
      <c r="D97" s="141" t="n"/>
      <c r="E97" s="141" t="n"/>
      <c r="F97" s="141" t="n"/>
      <c r="H97" s="141" t="n"/>
      <c r="I97" s="142" t="n"/>
    </row>
    <row r="98" ht="24.95" customFormat="1" customHeight="1" s="8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0" t="n"/>
      <c r="B112" s="141" t="n"/>
      <c r="C112" s="141" t="n"/>
      <c r="D112" s="141" t="n"/>
      <c r="E112" s="141" t="n"/>
      <c r="F112" s="141" t="n"/>
      <c r="G112" s="141" t="n"/>
      <c r="H112" s="141" t="n"/>
      <c r="I112" s="142" t="n"/>
    </row>
    <row r="113" ht="15" customHeight="1">
      <c r="A113" s="143" t="n"/>
      <c r="B113" s="144" t="n"/>
      <c r="C113" s="144" t="n"/>
      <c r="D113" s="144" t="n"/>
      <c r="E113" s="144" t="n"/>
      <c r="F113" s="144" t="n"/>
      <c r="G113" s="144" t="n"/>
      <c r="H113" s="144" t="n"/>
      <c r="I113" s="145"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15" customHeight="1">
      <c r="A121" s="140" t="n"/>
      <c r="B121" s="141" t="n"/>
      <c r="C121" s="141" t="n"/>
      <c r="D121" s="141" t="n"/>
      <c r="E121" s="141" t="n"/>
      <c r="F121" s="141" t="n"/>
      <c r="G121" s="141" t="n"/>
      <c r="H121" s="141" t="n"/>
      <c r="I121" s="142" t="n"/>
    </row>
    <row r="122" ht="24.9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15" customHeight="1">
      <c r="A124" s="140" t="n"/>
      <c r="B124" s="141" t="n"/>
      <c r="C124" s="141" t="n"/>
      <c r="D124" s="141" t="n"/>
      <c r="E124" s="141" t="n"/>
      <c r="F124" s="141" t="n"/>
      <c r="G124" s="141" t="n"/>
      <c r="H124" s="141" t="n"/>
      <c r="I124" s="142" t="n"/>
    </row>
    <row r="125" ht="27.9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row>
    <row r="138" ht="15" customHeight="1">
      <c r="A138" s="140" t="n"/>
      <c r="B138" s="141" t="n"/>
      <c r="C138" s="141" t="n"/>
      <c r="D138" s="141" t="n"/>
      <c r="E138" s="141" t="n"/>
      <c r="F138" s="141" t="n"/>
      <c r="G138" s="141" t="n"/>
      <c r="H138" s="141" t="n"/>
      <c r="I138" s="142" t="n"/>
      <c r="J138" s="146"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 customHeight="1">
      <c r="A144" s="140" t="n"/>
      <c r="B144" s="141" t="n"/>
      <c r="C144" s="141" t="n"/>
      <c r="D144" s="141" t="n"/>
      <c r="E144" s="141" t="n"/>
      <c r="F144" s="141" t="n"/>
      <c r="G144" s="141" t="n"/>
      <c r="H144" s="141" t="n"/>
      <c r="I144" s="142" t="n"/>
    </row>
    <row r="145" ht="15.95" customHeight="1">
      <c r="A145" s="140" t="n"/>
      <c r="B145" s="141" t="n"/>
      <c r="C145" s="141" t="n"/>
      <c r="D145" s="141" t="n"/>
      <c r="E145" s="141" t="n"/>
      <c r="F145" s="141" t="n"/>
      <c r="G145" s="141" t="n"/>
      <c r="H145" s="141" t="n"/>
      <c r="I145" s="142" t="n"/>
    </row>
    <row r="146" ht="30.75" customHeight="1">
      <c r="A146" s="247" t="n"/>
      <c r="E146" s="248" t="n"/>
      <c r="I146" s="271"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ht="15.95" customHeight="1">
      <c r="A200" s="59" t="n"/>
      <c r="B200" s="60" t="n"/>
      <c r="C200" s="60" t="n"/>
      <c r="D200" s="60" t="n"/>
      <c r="E200" s="60" t="n"/>
      <c r="F200" s="60" t="n"/>
      <c r="G200" s="60" t="n"/>
      <c r="H200" s="60" t="n"/>
      <c r="I200" s="61" t="n"/>
    </row>
    <row r="201">
      <c r="A201" s="64" t="n"/>
      <c r="I201" s="65" t="n"/>
    </row>
    <row r="202">
      <c r="A202" s="64" t="n"/>
      <c r="I202" s="65" t="n"/>
    </row>
    <row r="203">
      <c r="A203" s="64" t="n"/>
      <c r="I203" s="65" t="n"/>
    </row>
    <row r="204">
      <c r="A204" s="64" t="n"/>
      <c r="I204" s="65" t="n"/>
    </row>
    <row r="205">
      <c r="A205" s="64" t="n"/>
      <c r="I205" s="65" t="n"/>
    </row>
    <row r="206">
      <c r="A206" s="64" t="n"/>
      <c r="I206" s="65" t="n"/>
    </row>
    <row r="207" ht="15.95" customHeight="1">
      <c r="A207" s="59" t="n"/>
      <c r="B207" s="60" t="n"/>
      <c r="C207" s="60" t="n"/>
      <c r="D207" s="60" t="n"/>
      <c r="E207" s="60" t="n"/>
      <c r="F207" s="60" t="n"/>
      <c r="G207" s="60" t="n"/>
      <c r="H207" s="60" t="n"/>
      <c r="I207" s="61" t="n"/>
    </row>
  </sheetData>
  <mergeCells count="40">
    <mergeCell ref="D49:I49"/>
    <mergeCell ref="B47:C47"/>
    <mergeCell ref="D13:F13"/>
    <mergeCell ref="G13:I13"/>
    <mergeCell ref="B8:D8"/>
    <mergeCell ref="A49:B49"/>
    <mergeCell ref="B46:C46"/>
    <mergeCell ref="A56:I56"/>
    <mergeCell ref="D48:I48"/>
    <mergeCell ref="A74:I74"/>
    <mergeCell ref="E146:I146"/>
    <mergeCell ref="A50:I50"/>
    <mergeCell ref="A12:I12"/>
    <mergeCell ref="D47:I47"/>
    <mergeCell ref="B58:I58"/>
    <mergeCell ref="C66:I66"/>
    <mergeCell ref="B48:C48"/>
    <mergeCell ref="A5:I5"/>
    <mergeCell ref="B9:D9"/>
    <mergeCell ref="A52:I55"/>
    <mergeCell ref="B61:I61"/>
    <mergeCell ref="B57:I57"/>
    <mergeCell ref="B6:D6"/>
    <mergeCell ref="A62:I62"/>
    <mergeCell ref="A13:C13"/>
    <mergeCell ref="A146:D146"/>
    <mergeCell ref="A68:I68"/>
    <mergeCell ref="A10:I10"/>
    <mergeCell ref="A1:I4"/>
    <mergeCell ref="C64:I64"/>
    <mergeCell ref="A67:I67"/>
    <mergeCell ref="B7:D7"/>
    <mergeCell ref="C63:I63"/>
    <mergeCell ref="C65:I65"/>
    <mergeCell ref="A11:I11"/>
    <mergeCell ref="D46:I46"/>
    <mergeCell ref="C59:I59"/>
    <mergeCell ref="A70:I70"/>
    <mergeCell ref="C60:I60"/>
    <mergeCell ref="A69:I69"/>
  </mergeCells>
  <printOptions horizontalCentered="1"/>
  <pageMargins left="0.2362204724409449" right="0.2362204724409449" top="0.7480314960629921" bottom="0.7480314960629921" header="0.3149606299212598" footer="0.3149606299212598"/>
  <pageSetup orientation="portrait" paperSize="9" scale="34" fitToHeight="0"/>
  <rowBreaks count="1" manualBreakCount="1">
    <brk id="73" min="0" max="8" man="1"/>
  </rowBreaks>
</worksheet>
</file>

<file path=xl/worksheets/sheet18.xml><?xml version="1.0" encoding="utf-8"?>
<worksheet xmlns="http://schemas.openxmlformats.org/spreadsheetml/2006/main">
  <sheetPr>
    <outlinePr summaryBelow="1" summaryRight="1"/>
    <pageSetUpPr fitToPage="1"/>
  </sheetPr>
  <dimension ref="A1:J207"/>
  <sheetViews>
    <sheetView view="pageBreakPreview" topLeftCell="A13" zoomScale="60" zoomScaleNormal="55" workbookViewId="0">
      <selection activeCell="G18" sqref="G18"/>
    </sheetView>
  </sheetViews>
  <sheetFormatPr baseColWidth="8" defaultColWidth="9.140625" defaultRowHeight="14.4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45889</v>
      </c>
    </row>
    <row r="7" ht="23.1" customHeight="1">
      <c r="A7" s="82" t="inlineStr">
        <is>
          <t>Project Location:</t>
        </is>
      </c>
      <c r="B7" s="267" t="inlineStr">
        <is>
          <t>Geraldton</t>
        </is>
      </c>
      <c r="E7" s="267" t="n"/>
      <c r="F7" s="84" t="n"/>
      <c r="G7" s="84" t="n"/>
      <c r="H7" s="87" t="inlineStr">
        <is>
          <t>Day:</t>
        </is>
      </c>
      <c r="I7" s="88" t="inlineStr">
        <is>
          <t>Wednesday</t>
        </is>
      </c>
    </row>
    <row r="8" ht="23.1" customHeight="1">
      <c r="A8" s="82" t="inlineStr">
        <is>
          <t>Project Number:</t>
        </is>
      </c>
      <c r="B8" s="267" t="inlineStr">
        <is>
          <t>TCD-1816</t>
        </is>
      </c>
      <c r="E8" s="267" t="n"/>
      <c r="F8" s="84" t="n"/>
      <c r="G8" s="84" t="n"/>
      <c r="H8" s="87" t="inlineStr">
        <is>
          <t>Start:</t>
        </is>
      </c>
      <c r="I8" s="89" t="n">
        <v>0.2708333333333333</v>
      </c>
    </row>
    <row r="9" ht="23.1" customHeight="1">
      <c r="A9" s="82" t="inlineStr">
        <is>
          <t>Report Number:</t>
        </is>
      </c>
      <c r="B9" s="264" t="n">
        <v>86</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42" t="inlineStr">
        <is>
          <t>Temperature: 19 degrees    Wind: 56 km/h SW Precip: 38.8mm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10</v>
      </c>
      <c r="G15" s="100" t="inlineStr">
        <is>
          <t>Khegan Brockman</t>
        </is>
      </c>
      <c r="H15" s="97" t="inlineStr">
        <is>
          <t>Labourer</t>
        </is>
      </c>
      <c r="I15" s="101" t="n">
        <v>7</v>
      </c>
    </row>
    <row r="16" ht="23.1" customHeight="1">
      <c r="A16" s="96" t="inlineStr">
        <is>
          <t>GRIFFITHS, Daniel</t>
        </is>
      </c>
      <c r="B16" s="97" t="inlineStr">
        <is>
          <t>Project Manager</t>
        </is>
      </c>
      <c r="C16" s="102" t="n">
        <v>11.5</v>
      </c>
      <c r="D16" s="100" t="inlineStr">
        <is>
          <t>Hanly,Thomas</t>
        </is>
      </c>
      <c r="E16" s="97" t="inlineStr">
        <is>
          <t>Operator</t>
        </is>
      </c>
      <c r="F16" s="97" t="n">
        <v>10</v>
      </c>
      <c r="G16" s="100" t="inlineStr">
        <is>
          <t>Laurent Levy</t>
        </is>
      </c>
      <c r="H16" s="97" t="inlineStr">
        <is>
          <t>Operator</t>
        </is>
      </c>
      <c r="I16" s="101" t="n">
        <v>10</v>
      </c>
    </row>
    <row r="17" ht="23.1" customHeight="1">
      <c r="A17" s="96" t="inlineStr">
        <is>
          <t>O"SHEA, John</t>
        </is>
      </c>
      <c r="B17" s="97" t="inlineStr">
        <is>
          <t>Senior Project Engineer</t>
        </is>
      </c>
      <c r="C17" s="102" t="n">
        <v>10</v>
      </c>
      <c r="D17" s="103" t="n"/>
      <c r="E17" s="103" t="n"/>
      <c r="F17" s="97" t="n"/>
      <c r="G17" s="100" t="inlineStr">
        <is>
          <t>Daniel McAuffile</t>
        </is>
      </c>
      <c r="H17" s="97" t="inlineStr">
        <is>
          <t>Operator</t>
        </is>
      </c>
      <c r="I17" s="101" t="n">
        <v>10</v>
      </c>
    </row>
    <row r="18" ht="23.1" customHeight="1">
      <c r="A18" s="96" t="inlineStr">
        <is>
          <t>GRIFFITHS, Ashley</t>
        </is>
      </c>
      <c r="B18" s="97" t="inlineStr">
        <is>
          <t>Supervisor</t>
        </is>
      </c>
      <c r="C18" s="102" t="n">
        <v>10</v>
      </c>
      <c r="D18" s="99" t="n"/>
      <c r="E18" s="99" t="n"/>
      <c r="F18" s="97" t="n"/>
      <c r="G18" s="100" t="inlineStr">
        <is>
          <t>Jachai Griffiths</t>
        </is>
      </c>
      <c r="H18" s="97" t="inlineStr">
        <is>
          <t>Operator</t>
        </is>
      </c>
      <c r="I18" s="101" t="n"/>
    </row>
    <row r="19" ht="23.1" customHeight="1">
      <c r="A19" s="96" t="inlineStr">
        <is>
          <t>LOW, June</t>
        </is>
      </c>
      <c r="B19" s="97" t="inlineStr">
        <is>
          <t>HSET</t>
        </is>
      </c>
      <c r="C19" s="102" t="n"/>
      <c r="D19" s="99" t="n"/>
      <c r="E19" s="99" t="n"/>
      <c r="F19" s="97" t="n"/>
      <c r="G19" s="100" t="inlineStr">
        <is>
          <t>O'Brian, Jamie</t>
        </is>
      </c>
      <c r="H19" s="97" t="inlineStr">
        <is>
          <t>Operator</t>
        </is>
      </c>
      <c r="I19" s="101" t="n">
        <v>10</v>
      </c>
    </row>
    <row r="20" ht="23.1" customHeight="1">
      <c r="A20" s="96" t="inlineStr">
        <is>
          <t>SKINNER,Jamie</t>
        </is>
      </c>
      <c r="B20" s="97" t="inlineStr">
        <is>
          <t>Supervisor</t>
        </is>
      </c>
      <c r="C20" s="102" t="n">
        <v>11.5</v>
      </c>
      <c r="D20" s="99" t="n"/>
      <c r="E20" s="99" t="n"/>
      <c r="F20" s="97" t="n"/>
      <c r="G20" s="42" t="inlineStr">
        <is>
          <t>O'Reilly,James</t>
        </is>
      </c>
      <c r="H20" s="97" t="inlineStr">
        <is>
          <t>Operator</t>
        </is>
      </c>
      <c r="I20" s="101" t="n"/>
    </row>
    <row r="21" ht="23.1" customHeight="1">
      <c r="A21" s="96" t="n"/>
      <c r="B21" s="97" t="n"/>
      <c r="C21" s="102" t="n"/>
      <c r="D21" s="99" t="n"/>
      <c r="E21" s="99" t="n"/>
      <c r="F21" s="97" t="n"/>
      <c r="G21" s="100" t="inlineStr">
        <is>
          <t>Chester, Matt</t>
        </is>
      </c>
      <c r="H21" s="97" t="inlineStr">
        <is>
          <t>Gas Fitter</t>
        </is>
      </c>
      <c r="I21" s="101" t="n"/>
    </row>
    <row r="22" ht="23.1" customHeight="1">
      <c r="A22" s="96" t="n"/>
      <c r="B22" s="97" t="n"/>
      <c r="C22" s="102" t="n"/>
      <c r="D22" s="99" t="n"/>
      <c r="E22" s="99" t="n"/>
      <c r="F22" s="97" t="n"/>
      <c r="G22" s="100" t="inlineStr">
        <is>
          <t>Mounsey, Matt</t>
        </is>
      </c>
      <c r="H22" s="97" t="inlineStr">
        <is>
          <t>Gas Fitter</t>
        </is>
      </c>
      <c r="I22" s="101" t="n"/>
    </row>
    <row r="23" ht="23.1" customHeight="1">
      <c r="A23" s="96" t="n"/>
      <c r="B23" s="97" t="n"/>
      <c r="C23" s="102" t="n"/>
      <c r="D23" s="99" t="n"/>
      <c r="E23" s="99" t="n"/>
      <c r="F23" s="97" t="n"/>
      <c r="G23" s="100" t="inlineStr">
        <is>
          <t>Herring, Levin</t>
        </is>
      </c>
      <c r="H23" s="97" t="inlineStr">
        <is>
          <t>Gas Fitter</t>
        </is>
      </c>
      <c r="I23" s="101" t="n"/>
    </row>
    <row r="24" ht="23.1" customHeight="1">
      <c r="A24" s="96" t="n"/>
      <c r="B24" s="97" t="n"/>
      <c r="C24" s="102" t="n"/>
      <c r="D24" s="99" t="n"/>
      <c r="E24" s="99" t="n"/>
      <c r="F24" s="97" t="n"/>
      <c r="G24" s="100" t="inlineStr">
        <is>
          <t>Mosley,Joshua</t>
        </is>
      </c>
      <c r="H24" s="97" t="inlineStr">
        <is>
          <t>Surveyor</t>
        </is>
      </c>
      <c r="I24" s="101" t="n"/>
    </row>
    <row r="25" ht="23.1" customHeight="1">
      <c r="A25" s="96" t="n"/>
      <c r="B25" s="97" t="n"/>
      <c r="C25" s="102" t="n"/>
      <c r="D25" s="99" t="n"/>
      <c r="E25" s="99" t="n"/>
      <c r="F25" s="97" t="n"/>
      <c r="G25" s="151" t="n"/>
      <c r="H25" s="151" t="n"/>
      <c r="I25" s="107" t="n"/>
    </row>
    <row r="26" ht="23.1" customHeight="1">
      <c r="A26" s="255" t="inlineStr">
        <is>
          <t xml:space="preserve">Total Indirect Personnel onsite: </t>
        </is>
      </c>
      <c r="B26" s="105">
        <f>COUNT(C15:C26)</f>
        <v/>
      </c>
      <c r="C26" s="99" t="n"/>
      <c r="D26" s="99" t="n"/>
      <c r="E26" s="99" t="n"/>
      <c r="F26" s="97" t="n"/>
      <c r="G26" s="152" t="n"/>
      <c r="H26" s="151" t="n"/>
      <c r="I26" s="101" t="n"/>
    </row>
    <row r="27" ht="23.1" customHeight="1">
      <c r="A27" s="255" t="inlineStr">
        <is>
          <t xml:space="preserve">Total Indirect Personnel hours: </t>
        </is>
      </c>
      <c r="B27" s="105">
        <f>SUM(C15:C25)</f>
        <v/>
      </c>
      <c r="C27" s="102" t="n"/>
      <c r="D27" s="99" t="n"/>
      <c r="E27" s="99" t="n"/>
      <c r="F27" s="97" t="n"/>
      <c r="G27" s="106" t="inlineStr">
        <is>
          <t>Total Subcontractor on-site:</t>
        </is>
      </c>
      <c r="H27" s="107" t="n">
        <v>3</v>
      </c>
      <c r="I27" s="101" t="n"/>
    </row>
    <row r="28" ht="23.1" customHeight="1">
      <c r="A28" s="255" t="inlineStr">
        <is>
          <t xml:space="preserve">Total Direct Personnel onsite:  </t>
        </is>
      </c>
      <c r="B28" s="105">
        <f>COUNTIF(F15:F29,"&gt;0")</f>
        <v/>
      </c>
      <c r="C28" s="105" t="n"/>
      <c r="D28" s="99" t="n"/>
      <c r="E28" s="99" t="n"/>
      <c r="F28" s="108" t="n"/>
      <c r="G28" s="106" t="inlineStr">
        <is>
          <t>Total Subcontractor hours:</t>
        </is>
      </c>
      <c r="H28" s="107" t="n">
        <v>27</v>
      </c>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6 Wheel Tipper</t>
        </is>
      </c>
      <c r="E33" s="102" t="inlineStr">
        <is>
          <t>AMG04</t>
        </is>
      </c>
      <c r="F33" s="102" t="n"/>
      <c r="G33" s="102" t="inlineStr">
        <is>
          <t>Sea Container 20ft</t>
        </is>
      </c>
      <c r="H33" s="97" t="n">
        <v>951200</v>
      </c>
      <c r="I33" s="101" t="n">
        <v>1</v>
      </c>
    </row>
    <row r="34" ht="23.1" customHeight="1">
      <c r="A34" s="115" t="inlineStr">
        <is>
          <t>Positrak</t>
        </is>
      </c>
      <c r="B34" s="102" t="inlineStr">
        <is>
          <t>AMG 025</t>
        </is>
      </c>
      <c r="C34" s="97" t="n">
        <v>4</v>
      </c>
      <c r="D34" s="102" t="n"/>
      <c r="E34" s="97" t="n"/>
      <c r="F34" s="102" t="n"/>
      <c r="G34" s="102" t="inlineStr">
        <is>
          <t>Site Sentry Tower</t>
        </is>
      </c>
      <c r="H34" s="102" t="n"/>
      <c r="I34" s="101" t="n">
        <v>2</v>
      </c>
    </row>
    <row r="35" ht="23.1" customHeight="1">
      <c r="A35" s="115" t="inlineStr">
        <is>
          <t>Watercart</t>
        </is>
      </c>
      <c r="B35" s="102" t="inlineStr">
        <is>
          <t>WC04</t>
        </is>
      </c>
      <c r="C35" s="97" t="n">
        <v>5</v>
      </c>
      <c r="D35" s="102" t="n"/>
      <c r="E35" s="102" t="n"/>
      <c r="F35" s="102" t="n"/>
      <c r="G35" s="102" t="inlineStr">
        <is>
          <t>Skip Bin</t>
        </is>
      </c>
      <c r="H35" s="102" t="n"/>
      <c r="I35" s="101" t="n">
        <v>1</v>
      </c>
    </row>
    <row r="36" ht="23.1" customHeight="1">
      <c r="A36" s="115" t="inlineStr">
        <is>
          <t>8T Excavator</t>
        </is>
      </c>
      <c r="B36" s="116" t="inlineStr">
        <is>
          <t>AMG 014</t>
        </is>
      </c>
      <c r="C36" s="97" t="n"/>
      <c r="D36" s="102" t="n"/>
      <c r="E36" s="102" t="n"/>
      <c r="F36" s="102" t="n"/>
      <c r="G36" s="102" t="inlineStr">
        <is>
          <t>Hydrocarbon Bund</t>
        </is>
      </c>
      <c r="H36" s="102" t="n"/>
      <c r="I36" s="101" t="n">
        <v>1</v>
      </c>
    </row>
    <row r="37" ht="23.1" customHeight="1">
      <c r="A37" s="102" t="inlineStr">
        <is>
          <t>Mini Tipper</t>
        </is>
      </c>
      <c r="B37" s="102" t="inlineStr">
        <is>
          <t>SLS05</t>
        </is>
      </c>
      <c r="C37" s="102" t="n">
        <v>4</v>
      </c>
      <c r="D37" s="102" t="n"/>
      <c r="E37" s="102" t="n"/>
      <c r="F37" s="102" t="n"/>
      <c r="G37" s="102" t="inlineStr">
        <is>
          <t>Temp Fence</t>
        </is>
      </c>
      <c r="H37" s="97" t="n"/>
      <c r="I37" s="101" t="n">
        <v>1</v>
      </c>
    </row>
    <row r="38" ht="24" customHeight="1">
      <c r="A38" s="150" t="inlineStr">
        <is>
          <t>1 t Excavator</t>
        </is>
      </c>
      <c r="B38" s="102" t="inlineStr">
        <is>
          <t>SLS03</t>
        </is>
      </c>
      <c r="C38" s="102" t="n"/>
      <c r="D38" s="102" t="n"/>
      <c r="E38" s="102" t="n"/>
      <c r="F38" s="102" t="n"/>
      <c r="G38" s="31" t="n"/>
      <c r="H38" s="31" t="n"/>
      <c r="I38" s="32" t="n"/>
    </row>
    <row r="39" ht="24" customHeight="1">
      <c r="A39" s="115" t="inlineStr">
        <is>
          <t>Padfoot/ Smooth Drum Roller</t>
        </is>
      </c>
      <c r="B39" s="102" t="inlineStr">
        <is>
          <t>RR 03</t>
        </is>
      </c>
      <c r="C39" s="97" t="n"/>
      <c r="D39" s="102" t="n"/>
      <c r="E39" s="102" t="n"/>
      <c r="F39" s="102" t="n"/>
      <c r="G39" s="31" t="n"/>
      <c r="H39" s="31" t="n"/>
      <c r="I39" s="32" t="n"/>
    </row>
    <row r="40" ht="24" customHeight="1">
      <c r="A40" s="115" t="inlineStr">
        <is>
          <t>Multi</t>
        </is>
      </c>
      <c r="B40" s="102" t="n">
        <v>256</v>
      </c>
      <c r="C40" s="97" t="n"/>
      <c r="D40" s="102" t="n"/>
      <c r="E40" s="102" t="n"/>
      <c r="F40" s="102" t="n"/>
      <c r="G40" s="31" t="n"/>
      <c r="H40" s="31" t="n"/>
      <c r="I40" s="32" t="n"/>
    </row>
    <row r="41" ht="24" customHeight="1">
      <c r="A41" s="115" t="inlineStr">
        <is>
          <t>Positrak SSL</t>
        </is>
      </c>
      <c r="B41" s="102" t="inlineStr">
        <is>
          <t>SSL08</t>
        </is>
      </c>
      <c r="C41" s="97" t="n">
        <v>5</v>
      </c>
      <c r="D41" s="102" t="n"/>
      <c r="E41" s="102" t="n"/>
      <c r="F41" s="102" t="n"/>
      <c r="G41" s="31" t="n"/>
      <c r="H41" s="31" t="n"/>
      <c r="I41" s="32" t="n"/>
    </row>
    <row r="42" ht="24" customHeight="1">
      <c r="A42" s="115" t="inlineStr">
        <is>
          <t>Grader</t>
        </is>
      </c>
      <c r="B42" s="102" t="inlineStr">
        <is>
          <t>SLS01</t>
        </is>
      </c>
      <c r="C42" s="97" t="n">
        <v>5</v>
      </c>
      <c r="D42" s="102" t="n"/>
      <c r="E42" s="102" t="n"/>
      <c r="F42" s="102" t="n"/>
      <c r="G42" s="31" t="n"/>
      <c r="H42" s="31" t="n"/>
      <c r="I42" s="32" t="n"/>
    </row>
    <row r="43" ht="23.1" customHeight="1">
      <c r="A43" s="115" t="inlineStr">
        <is>
          <t>5t Excavator</t>
        </is>
      </c>
      <c r="B43" s="102" t="inlineStr">
        <is>
          <t>AMG 007</t>
        </is>
      </c>
      <c r="C43" s="97" t="n"/>
      <c r="D43" s="102" t="n"/>
      <c r="E43" s="102" t="n"/>
      <c r="F43" s="102" t="n"/>
      <c r="G43" s="102" t="n"/>
      <c r="H43" s="97" t="n"/>
      <c r="I43" s="101" t="n"/>
    </row>
    <row r="44" ht="23.1" customHeight="1">
      <c r="A44" s="115" t="inlineStr">
        <is>
          <t>1.5 Excavator</t>
        </is>
      </c>
      <c r="B44" s="102" t="inlineStr">
        <is>
          <t>AMG 009</t>
        </is>
      </c>
      <c r="C44" s="97" t="n"/>
      <c r="D44" s="102" t="n"/>
      <c r="E44" s="102" t="n"/>
      <c r="F44" s="102" t="n"/>
      <c r="G44" s="102" t="n"/>
      <c r="H44" s="97" t="n"/>
      <c r="I44" s="101" t="n"/>
    </row>
    <row r="45" ht="24" customHeight="1">
      <c r="A45" s="115" t="n"/>
      <c r="B45" s="102" t="n"/>
      <c r="C45" s="97" t="n"/>
      <c r="D45" s="31" t="n"/>
      <c r="E45" s="31" t="n"/>
      <c r="F45" s="31" t="n"/>
      <c r="G45" s="31" t="n"/>
      <c r="H45" s="31" t="n"/>
      <c r="I45" s="32" t="n"/>
    </row>
    <row r="46" ht="18" customHeight="1">
      <c r="A46" s="117" t="n">
        <v>0</v>
      </c>
      <c r="B46" s="260" t="inlineStr">
        <is>
          <t xml:space="preserve">Repairs Required </t>
        </is>
      </c>
      <c r="C46" s="276" t="n"/>
      <c r="D46" s="249" t="inlineStr">
        <is>
          <t>N/A</t>
        </is>
      </c>
      <c r="E46" s="275" t="n"/>
      <c r="F46" s="275" t="n"/>
      <c r="G46" s="275" t="n"/>
      <c r="H46" s="275" t="n"/>
      <c r="I46" s="277" t="n"/>
    </row>
    <row r="47" ht="18" customHeight="1">
      <c r="A47" s="118" t="n">
        <v>0</v>
      </c>
      <c r="B47" s="260" t="inlineStr">
        <is>
          <t>Scheduled Service</t>
        </is>
      </c>
      <c r="C47" s="276" t="n"/>
      <c r="D47" s="249" t="inlineStr">
        <is>
          <t>N/A</t>
        </is>
      </c>
      <c r="E47" s="275" t="n"/>
      <c r="F47" s="275" t="n"/>
      <c r="G47" s="275" t="n"/>
      <c r="H47" s="275" t="n"/>
      <c r="I47" s="277" t="n"/>
    </row>
    <row r="48" ht="18" customHeight="1">
      <c r="A48" s="119" t="n">
        <v>0</v>
      </c>
      <c r="B48" s="260" t="inlineStr">
        <is>
          <t>Repairs required but operable</t>
        </is>
      </c>
      <c r="C48" s="276" t="n"/>
      <c r="D48" s="249" t="inlineStr">
        <is>
          <t>N/A</t>
        </is>
      </c>
      <c r="E48" s="275" t="n"/>
      <c r="F48" s="275" t="n"/>
      <c r="G48" s="275" t="n"/>
      <c r="H48" s="275" t="n"/>
      <c r="I48" s="277" t="n"/>
    </row>
    <row r="49" ht="23.1" customHeight="1">
      <c r="A49" s="255" t="inlineStr">
        <is>
          <t xml:space="preserve">Total Plant and Equipment Hours: </t>
        </is>
      </c>
      <c r="B49" s="276" t="n"/>
      <c r="C49" s="120">
        <f>SUM(C32:C45)</f>
        <v/>
      </c>
      <c r="D49" s="256" t="n"/>
      <c r="E49" s="275" t="n"/>
      <c r="F49" s="275" t="n"/>
      <c r="G49" s="275" t="n"/>
      <c r="H49" s="275" t="n"/>
      <c r="I49" s="277" t="n"/>
    </row>
    <row r="50" ht="24.95" customHeight="1">
      <c r="A50" s="245" t="inlineStr">
        <is>
          <t>DELAYS-OPPORTUNITY</t>
        </is>
      </c>
      <c r="B50" s="275" t="n"/>
      <c r="C50" s="275" t="n"/>
      <c r="D50" s="275" t="n"/>
      <c r="E50" s="275" t="n"/>
      <c r="F50" s="275" t="n"/>
      <c r="G50" s="275" t="n"/>
      <c r="H50" s="275" t="n"/>
      <c r="I50" s="277" t="n"/>
    </row>
    <row r="51" ht="15" customHeight="1">
      <c r="A51" s="244" t="inlineStr">
        <is>
          <t>Awaiting Detail on Centrelink Carpark                          
Awaiting Crossing Details for Forrest Street
Awaiting Direction on Service Clash Forrest Street
Awaiting Feedback on Batters Treatment 
Major rain damage</t>
        </is>
      </c>
      <c r="B51" s="278" t="n"/>
      <c r="C51" s="278" t="n"/>
      <c r="D51" s="278" t="n"/>
      <c r="E51" s="278" t="n"/>
      <c r="F51" s="278" t="n"/>
      <c r="G51" s="278" t="n"/>
      <c r="H51" s="278" t="n"/>
      <c r="I51" s="279" t="n"/>
    </row>
    <row r="52" ht="19.5" customHeight="1">
      <c r="A52" s="270" t="n"/>
      <c r="I52" s="271" t="n"/>
    </row>
    <row r="53" ht="28.5" customHeight="1">
      <c r="A53" s="270" t="n"/>
      <c r="I53" s="271" t="n"/>
    </row>
    <row r="54" ht="44.45" customHeight="1">
      <c r="A54" s="280" t="n"/>
      <c r="B54" s="281" t="n"/>
      <c r="C54" s="281" t="n"/>
      <c r="D54" s="281" t="n"/>
      <c r="E54" s="281" t="n"/>
      <c r="F54" s="281" t="n"/>
      <c r="G54" s="281" t="n"/>
      <c r="H54" s="281" t="n"/>
      <c r="I54" s="282" t="n"/>
    </row>
    <row r="55" ht="24.95" customHeight="1">
      <c r="A55" s="252" t="inlineStr">
        <is>
          <t>HSEQ MESSAGES</t>
        </is>
      </c>
      <c r="B55" s="283" t="n"/>
      <c r="C55" s="283" t="n"/>
      <c r="D55" s="283" t="n"/>
      <c r="E55" s="283" t="n"/>
      <c r="F55" s="283" t="n"/>
      <c r="G55" s="283" t="n"/>
      <c r="H55" s="283" t="n"/>
      <c r="I55" s="284" t="n"/>
    </row>
    <row r="56" ht="18" customHeight="1">
      <c r="A56" s="124" t="inlineStr">
        <is>
          <t>TCD - Monthly Safety Focus:</t>
        </is>
      </c>
      <c r="B56" s="257" t="inlineStr">
        <is>
          <t>Return to Work</t>
        </is>
      </c>
      <c r="C56" s="275" t="n"/>
      <c r="D56" s="275" t="n"/>
      <c r="E56" s="275" t="n"/>
      <c r="F56" s="275" t="n"/>
      <c r="G56" s="275" t="n"/>
      <c r="H56" s="275" t="n"/>
      <c r="I56" s="276" t="n"/>
    </row>
    <row r="57" ht="24" customHeight="1">
      <c r="A57" s="124" t="inlineStr">
        <is>
          <t>TCD - Daily Safety Focus:</t>
        </is>
      </c>
      <c r="B57" s="258" t="inlineStr">
        <is>
          <t>Manual Handling</t>
        </is>
      </c>
      <c r="C57" s="275" t="n"/>
      <c r="D57" s="275" t="n"/>
      <c r="E57" s="275" t="n"/>
      <c r="F57" s="275" t="n"/>
      <c r="G57" s="275" t="n"/>
      <c r="H57" s="275" t="n"/>
      <c r="I57" s="277" t="n"/>
    </row>
    <row r="58" ht="18" customHeight="1">
      <c r="A58" s="125" t="inlineStr">
        <is>
          <t xml:space="preserve">Hazards Reported: </t>
        </is>
      </c>
      <c r="B58" s="126" t="inlineStr">
        <is>
          <t>Nil</t>
        </is>
      </c>
      <c r="C58" s="258" t="n"/>
      <c r="D58" s="275" t="n"/>
      <c r="E58" s="275" t="n"/>
      <c r="F58" s="275" t="n"/>
      <c r="G58" s="275" t="n"/>
      <c r="H58" s="275" t="n"/>
      <c r="I58" s="277" t="n"/>
    </row>
    <row r="59" ht="18" customHeight="1">
      <c r="A59" s="125" t="inlineStr">
        <is>
          <t>Incident Free Days</t>
        </is>
      </c>
      <c r="B59" s="126" t="n">
        <v>0</v>
      </c>
      <c r="C59" s="257" t="n"/>
      <c r="D59" s="275" t="n"/>
      <c r="E59" s="275" t="n"/>
      <c r="F59" s="275" t="n"/>
      <c r="G59" s="275" t="n"/>
      <c r="H59" s="275" t="n"/>
      <c r="I59" s="276" t="n"/>
    </row>
    <row r="60" ht="18" customHeight="1">
      <c r="A60" s="127" t="inlineStr">
        <is>
          <t>Other Notes</t>
        </is>
      </c>
      <c r="B60" s="259" t="n"/>
      <c r="C60" s="278" t="n"/>
      <c r="D60" s="278" t="n"/>
      <c r="E60" s="278" t="n"/>
      <c r="F60" s="278" t="n"/>
      <c r="G60" s="278" t="n"/>
      <c r="H60" s="278" t="n"/>
      <c r="I60" s="279" t="n"/>
    </row>
    <row r="61" ht="20.25" customHeight="1">
      <c r="A61" s="245" t="inlineStr">
        <is>
          <t xml:space="preserve">INCIDENTS &amp; REPORTS </t>
        </is>
      </c>
      <c r="B61" s="275" t="n"/>
      <c r="C61" s="275" t="n"/>
      <c r="D61" s="275" t="n"/>
      <c r="E61" s="275" t="n"/>
      <c r="F61" s="275" t="n"/>
      <c r="G61" s="275" t="n"/>
      <c r="H61" s="275" t="n"/>
      <c r="I61" s="277" t="n"/>
    </row>
    <row r="62" ht="24.95" customHeight="1">
      <c r="A62" s="128" t="n"/>
      <c r="B62" s="263" t="inlineStr">
        <is>
          <t>QTY</t>
        </is>
      </c>
      <c r="C62" s="254" t="inlineStr">
        <is>
          <t>Comments</t>
        </is>
      </c>
      <c r="D62" s="275" t="n"/>
      <c r="E62" s="275" t="n"/>
      <c r="F62" s="275" t="n"/>
      <c r="G62" s="275" t="n"/>
      <c r="H62" s="275" t="n"/>
      <c r="I62" s="277" t="n"/>
    </row>
    <row r="63" ht="24.95" customHeight="1">
      <c r="A63" s="129" t="inlineStr">
        <is>
          <t>INCIDENT</t>
        </is>
      </c>
      <c r="B63" s="263" t="n">
        <v>1</v>
      </c>
      <c r="C63" s="249" t="inlineStr">
        <is>
          <t>Worker reported minor back strain</t>
        </is>
      </c>
      <c r="D63" s="275" t="n"/>
      <c r="E63" s="275" t="n"/>
      <c r="F63" s="275" t="n"/>
      <c r="G63" s="275" t="n"/>
      <c r="H63" s="275" t="n"/>
      <c r="I63" s="277" t="n"/>
    </row>
    <row r="64" ht="24.95" customHeight="1">
      <c r="A64" s="130" t="inlineStr">
        <is>
          <t>IR</t>
        </is>
      </c>
      <c r="B64" s="131" t="n">
        <v>0</v>
      </c>
      <c r="C64" s="250" t="inlineStr">
        <is>
          <t>NA</t>
        </is>
      </c>
      <c r="D64" s="278" t="n"/>
      <c r="E64" s="278" t="n"/>
      <c r="F64" s="278" t="n"/>
      <c r="G64" s="278" t="n"/>
      <c r="H64" s="278" t="n"/>
      <c r="I64" s="279" t="n"/>
    </row>
    <row r="65" ht="24.95" customHeight="1">
      <c r="A65" s="132" t="inlineStr">
        <is>
          <t>NCR</t>
        </is>
      </c>
      <c r="B65" s="133" t="n">
        <v>0</v>
      </c>
      <c r="C65" s="251" t="inlineStr">
        <is>
          <t>NA</t>
        </is>
      </c>
      <c r="D65" s="285" t="n"/>
      <c r="E65" s="285" t="n"/>
      <c r="F65" s="285" t="n"/>
      <c r="G65" s="285" t="n"/>
      <c r="H65" s="285" t="n"/>
      <c r="I65" s="286" t="n"/>
    </row>
    <row r="66" ht="20.25" customHeight="1">
      <c r="A66" s="252" t="inlineStr">
        <is>
          <t>COMMUNICATIONS</t>
        </is>
      </c>
      <c r="B66" s="283" t="n"/>
      <c r="C66" s="283" t="n"/>
      <c r="D66" s="283" t="n"/>
      <c r="E66" s="283" t="n"/>
      <c r="F66" s="283" t="n"/>
      <c r="G66" s="283" t="n"/>
      <c r="H66" s="283" t="n"/>
      <c r="I66" s="284" t="n"/>
    </row>
    <row r="67" ht="24.95" customHeight="1">
      <c r="A67" s="253" t="inlineStr">
        <is>
          <t>TGS MB1119-05 Scheme D impletmented</t>
        </is>
      </c>
      <c r="B67" s="275" t="n"/>
      <c r="C67" s="275" t="n"/>
      <c r="D67" s="275" t="n"/>
      <c r="E67" s="275" t="n"/>
      <c r="F67" s="275" t="n"/>
      <c r="G67" s="275" t="n"/>
      <c r="H67" s="275" t="n"/>
      <c r="I67" s="277" t="n"/>
    </row>
    <row r="68" ht="24.95" customHeight="1">
      <c r="A68" s="253" t="inlineStr">
        <is>
          <t>Progress Meeting</t>
        </is>
      </c>
      <c r="B68" s="275" t="n"/>
      <c r="C68" s="275" t="n"/>
      <c r="D68" s="275" t="n"/>
      <c r="E68" s="275" t="n"/>
      <c r="F68" s="275" t="n"/>
      <c r="G68" s="275" t="n"/>
      <c r="H68" s="275" t="n"/>
      <c r="I68" s="277" t="n"/>
    </row>
    <row r="69" ht="24.95" customHeight="1">
      <c r="A69" s="245" t="inlineStr">
        <is>
          <t>PRODUCTION (CONSTRUCTION STATUS &amp; PROGRESS)</t>
        </is>
      </c>
      <c r="B69" s="275" t="n"/>
      <c r="C69" s="275" t="n"/>
      <c r="D69" s="275" t="n"/>
      <c r="E69" s="275" t="n"/>
      <c r="F69" s="275" t="n"/>
      <c r="G69" s="275" t="n"/>
      <c r="H69" s="275" t="n"/>
      <c r="I69" s="277" t="n"/>
    </row>
    <row r="70" ht="24.95" customHeight="1">
      <c r="A70" s="134" t="inlineStr">
        <is>
          <t xml:space="preserve">Dewatering Jobsite </t>
        </is>
      </c>
      <c r="B70" s="135" t="n"/>
      <c r="C70" s="79" t="n"/>
      <c r="D70" s="79" t="inlineStr">
        <is>
          <t xml:space="preserve">Proof rolling Basecourse Layer 1 Completed and visually inspected by Shire @Chambers,Lot-106 to Forrest street. </t>
        </is>
      </c>
      <c r="E70" s="135" t="n"/>
      <c r="F70" s="135" t="n"/>
      <c r="G70" s="135" t="n"/>
      <c r="H70" s="135" t="n"/>
      <c r="I70" s="136" t="n"/>
    </row>
    <row r="71" ht="24.95" customHeight="1">
      <c r="A71" s="134" t="inlineStr">
        <is>
          <t xml:space="preserve">Forrest street Tie in Brick pavers removed/Palletised </t>
        </is>
      </c>
      <c r="B71" s="135" t="n"/>
      <c r="C71" s="79" t="n"/>
      <c r="D71" s="79" t="inlineStr">
        <is>
          <t>Water Main Pressure Testing Witnessed by Glenn Hall</t>
        </is>
      </c>
      <c r="E71" s="135" t="n"/>
      <c r="F71" s="135" t="n"/>
      <c r="G71" s="135" t="n"/>
      <c r="H71" s="135" t="n"/>
      <c r="I71" s="136" t="n"/>
    </row>
    <row r="72" ht="24.95" customHeight="1">
      <c r="A72" s="134" t="inlineStr">
        <is>
          <t>Forrest street Tie in Kerbing removed</t>
        </is>
      </c>
      <c r="B72" s="135" t="n"/>
      <c r="C72" s="79" t="n"/>
      <c r="D72" s="222" t="inlineStr">
        <is>
          <t>Kerbing/ Blockwork Design Workshopped post progress meeting</t>
        </is>
      </c>
      <c r="E72" s="135" t="n"/>
      <c r="F72" s="135" t="n"/>
      <c r="G72" s="135" t="n"/>
      <c r="H72" s="135" t="n"/>
      <c r="I72" s="136" t="n"/>
    </row>
    <row r="73" ht="24.95" customHeight="1">
      <c r="A73" s="134" t="inlineStr">
        <is>
          <t>Rolling off @Chambers,Forrest to bring moisture to the top</t>
        </is>
      </c>
      <c r="B73" s="135" t="n"/>
      <c r="C73" s="79" t="n"/>
      <c r="D73" s="135" t="n"/>
      <c r="E73" s="135" t="n"/>
      <c r="F73" s="135" t="n"/>
      <c r="G73" s="135" t="n"/>
      <c r="H73" s="135" t="n"/>
      <c r="I73" s="136" t="n"/>
    </row>
    <row r="74" ht="26.1" customHeight="1">
      <c r="A74" s="246" t="inlineStr">
        <is>
          <t>Photos</t>
        </is>
      </c>
      <c r="B74" s="278" t="n"/>
      <c r="C74" s="278" t="n"/>
      <c r="D74" s="278" t="n"/>
      <c r="E74" s="278" t="n"/>
      <c r="F74" s="278" t="n"/>
      <c r="G74" s="278" t="n"/>
      <c r="H74" s="278" t="n"/>
      <c r="I74" s="279" t="n"/>
    </row>
    <row r="75" ht="23.1" customHeight="1">
      <c r="A75" s="137" t="n"/>
      <c r="B75" s="138" t="n"/>
      <c r="C75" s="138" t="n"/>
      <c r="D75" s="138" t="n"/>
      <c r="E75" s="138" t="n"/>
      <c r="F75" s="138" t="n"/>
      <c r="G75" s="138" t="n"/>
      <c r="H75" s="138" t="n"/>
      <c r="I75" s="139" t="n"/>
    </row>
    <row r="76" ht="23.1"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G96" s="141" t="n"/>
      <c r="H96" s="141" t="n"/>
      <c r="I96" s="142" t="n"/>
    </row>
    <row r="97" ht="15" customHeight="1">
      <c r="A97" s="140" t="n"/>
      <c r="B97" s="141" t="n"/>
      <c r="C97" s="141" t="n"/>
      <c r="D97" s="141" t="n"/>
      <c r="E97" s="141" t="n"/>
      <c r="F97" s="141" t="n"/>
      <c r="H97" s="141" t="n"/>
      <c r="I97" s="142" t="n"/>
    </row>
    <row r="98" ht="24.95" customFormat="1" customHeight="1" s="8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0" t="n"/>
      <c r="B112" s="141" t="n"/>
      <c r="C112" s="141" t="n"/>
      <c r="D112" s="141" t="n"/>
      <c r="E112" s="141" t="n"/>
      <c r="F112" s="141" t="n"/>
      <c r="G112" s="141" t="n"/>
      <c r="H112" s="141" t="n"/>
      <c r="I112" s="142" t="n"/>
    </row>
    <row r="113" ht="15" customHeight="1">
      <c r="A113" s="143" t="n"/>
      <c r="B113" s="144" t="n"/>
      <c r="C113" s="144" t="n"/>
      <c r="D113" s="144" t="n"/>
      <c r="E113" s="144" t="n"/>
      <c r="F113" s="144" t="n"/>
      <c r="G113" s="144" t="n"/>
      <c r="H113" s="144" t="n"/>
      <c r="I113" s="145"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15" customHeight="1">
      <c r="A121" s="140" t="n"/>
      <c r="B121" s="141" t="n"/>
      <c r="C121" s="141" t="n"/>
      <c r="D121" s="141" t="n"/>
      <c r="E121" s="141" t="n"/>
      <c r="F121" s="141" t="n"/>
      <c r="G121" s="141" t="n"/>
      <c r="H121" s="141" t="n"/>
      <c r="I121" s="142" t="n"/>
    </row>
    <row r="122" ht="24.9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15" customHeight="1">
      <c r="A124" s="140" t="n"/>
      <c r="B124" s="141" t="n"/>
      <c r="C124" s="141" t="n"/>
      <c r="D124" s="141" t="n"/>
      <c r="E124" s="141" t="n"/>
      <c r="F124" s="141" t="n"/>
      <c r="G124" s="141" t="n"/>
      <c r="H124" s="141" t="n"/>
      <c r="I124" s="142" t="n"/>
    </row>
    <row r="125" ht="27.9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row>
    <row r="138" ht="15" customHeight="1">
      <c r="A138" s="140" t="n"/>
      <c r="B138" s="141" t="n"/>
      <c r="C138" s="141" t="n"/>
      <c r="D138" s="141" t="n"/>
      <c r="E138" s="141" t="n"/>
      <c r="F138" s="141" t="n"/>
      <c r="G138" s="141" t="n"/>
      <c r="H138" s="141" t="n"/>
      <c r="I138" s="142" t="n"/>
      <c r="J138" s="146"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 customHeight="1">
      <c r="A144" s="140" t="n"/>
      <c r="B144" s="141" t="n"/>
      <c r="C144" s="141" t="n"/>
      <c r="D144" s="141" t="n"/>
      <c r="E144" s="141" t="n"/>
      <c r="F144" s="141" t="n"/>
      <c r="G144" s="141" t="n"/>
      <c r="H144" s="141" t="n"/>
      <c r="I144" s="142" t="n"/>
    </row>
    <row r="145" ht="15.95" customHeight="1">
      <c r="A145" s="140" t="n"/>
      <c r="B145" s="141" t="n"/>
      <c r="C145" s="141" t="n"/>
      <c r="D145" s="141" t="n"/>
      <c r="E145" s="141" t="n"/>
      <c r="F145" s="141" t="n"/>
      <c r="G145" s="141" t="n"/>
      <c r="H145" s="141" t="n"/>
      <c r="I145" s="142" t="n"/>
    </row>
    <row r="146" ht="30.75" customHeight="1">
      <c r="A146" s="247" t="n"/>
      <c r="E146" s="248" t="n"/>
      <c r="I146" s="271"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ht="15.95" customHeight="1">
      <c r="A200" s="59" t="n"/>
      <c r="B200" s="60" t="n"/>
      <c r="C200" s="60" t="n"/>
      <c r="D200" s="60" t="n"/>
      <c r="E200" s="60" t="n"/>
      <c r="F200" s="60" t="n"/>
      <c r="G200" s="60" t="n"/>
      <c r="H200" s="60" t="n"/>
      <c r="I200" s="61" t="n"/>
    </row>
    <row r="201">
      <c r="A201" s="64" t="n"/>
      <c r="I201" s="65" t="n"/>
    </row>
    <row r="202">
      <c r="A202" s="64" t="n"/>
      <c r="I202" s="65" t="n"/>
    </row>
    <row r="203">
      <c r="A203" s="64" t="n"/>
      <c r="I203" s="65" t="n"/>
    </row>
    <row r="204">
      <c r="A204" s="64" t="n"/>
      <c r="I204" s="65" t="n"/>
    </row>
    <row r="205">
      <c r="A205" s="64" t="n"/>
      <c r="I205" s="65" t="n"/>
    </row>
    <row r="206">
      <c r="A206" s="64" t="n"/>
      <c r="I206" s="65" t="n"/>
    </row>
    <row r="207" ht="15.95" customHeight="1">
      <c r="A207" s="59" t="n"/>
      <c r="B207" s="60" t="n"/>
      <c r="C207" s="60" t="n"/>
      <c r="D207" s="60" t="n"/>
      <c r="E207" s="60" t="n"/>
      <c r="F207" s="60" t="n"/>
      <c r="G207" s="60" t="n"/>
      <c r="H207" s="60" t="n"/>
      <c r="I207" s="61" t="n"/>
    </row>
  </sheetData>
  <mergeCells count="40">
    <mergeCell ref="D49:I49"/>
    <mergeCell ref="B47:C47"/>
    <mergeCell ref="D13:F13"/>
    <mergeCell ref="G13:I13"/>
    <mergeCell ref="B8:D8"/>
    <mergeCell ref="A49:B49"/>
    <mergeCell ref="A66:I66"/>
    <mergeCell ref="B46:C46"/>
    <mergeCell ref="D48:I48"/>
    <mergeCell ref="A74:I74"/>
    <mergeCell ref="A55:I55"/>
    <mergeCell ref="A50:I50"/>
    <mergeCell ref="A12:I12"/>
    <mergeCell ref="D47:I47"/>
    <mergeCell ref="B56:I56"/>
    <mergeCell ref="A69:I69"/>
    <mergeCell ref="B48:C48"/>
    <mergeCell ref="A5:I5"/>
    <mergeCell ref="A51:I54"/>
    <mergeCell ref="B9:D9"/>
    <mergeCell ref="B60:I60"/>
    <mergeCell ref="C62:I62"/>
    <mergeCell ref="B57:I57"/>
    <mergeCell ref="B6:D6"/>
    <mergeCell ref="C58:I58"/>
    <mergeCell ref="A13:C13"/>
    <mergeCell ref="A146:D146"/>
    <mergeCell ref="A68:I68"/>
    <mergeCell ref="A10:I10"/>
    <mergeCell ref="A1:I4"/>
    <mergeCell ref="C64:I64"/>
    <mergeCell ref="A67:I67"/>
    <mergeCell ref="B7:D7"/>
    <mergeCell ref="C63:I63"/>
    <mergeCell ref="C65:I65"/>
    <mergeCell ref="A11:I11"/>
    <mergeCell ref="D46:I46"/>
    <mergeCell ref="C59:I59"/>
    <mergeCell ref="A61:I61"/>
    <mergeCell ref="E146:I146"/>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3" min="0" max="8" man="1"/>
  </rowBreaks>
</worksheet>
</file>

<file path=xl/worksheets/sheet19.xml><?xml version="1.0" encoding="utf-8"?>
<worksheet xmlns="http://schemas.openxmlformats.org/spreadsheetml/2006/main">
  <sheetPr>
    <outlinePr summaryBelow="1" summaryRight="1"/>
    <pageSetUpPr fitToPage="1"/>
  </sheetPr>
  <dimension ref="A1:J208"/>
  <sheetViews>
    <sheetView view="pageBreakPreview" topLeftCell="A11" zoomScale="60" zoomScaleNormal="55" workbookViewId="0">
      <selection activeCell="G18" sqref="G18"/>
    </sheetView>
  </sheetViews>
  <sheetFormatPr baseColWidth="8" defaultColWidth="9.140625" defaultRowHeight="14.4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45890</v>
      </c>
    </row>
    <row r="7" ht="23.1" customHeight="1">
      <c r="A7" s="82" t="inlineStr">
        <is>
          <t>Project Location:</t>
        </is>
      </c>
      <c r="B7" s="267" t="inlineStr">
        <is>
          <t>Geraldton</t>
        </is>
      </c>
      <c r="E7" s="267" t="n"/>
      <c r="F7" s="84" t="n"/>
      <c r="G7" s="84" t="n"/>
      <c r="H7" s="87" t="inlineStr">
        <is>
          <t>Day:</t>
        </is>
      </c>
      <c r="I7" s="88" t="inlineStr">
        <is>
          <t>Thursday</t>
        </is>
      </c>
    </row>
    <row r="8" ht="23.1" customHeight="1">
      <c r="A8" s="82" t="inlineStr">
        <is>
          <t>Project Number:</t>
        </is>
      </c>
      <c r="B8" s="267" t="inlineStr">
        <is>
          <t>TCD-1816</t>
        </is>
      </c>
      <c r="E8" s="267" t="n"/>
      <c r="F8" s="84" t="n"/>
      <c r="G8" s="84" t="n"/>
      <c r="H8" s="87" t="inlineStr">
        <is>
          <t>Start:</t>
        </is>
      </c>
      <c r="I8" s="89" t="n">
        <v>0.2708333333333333</v>
      </c>
    </row>
    <row r="9" ht="23.1" customHeight="1">
      <c r="A9" s="82" t="inlineStr">
        <is>
          <t>Report Number:</t>
        </is>
      </c>
      <c r="B9" s="264" t="n">
        <v>87</v>
      </c>
      <c r="C9" s="273" t="n"/>
      <c r="D9" s="273" t="n"/>
      <c r="E9" s="264" t="n"/>
      <c r="F9" s="91" t="n"/>
      <c r="G9" s="91" t="n"/>
      <c r="H9" s="87" t="inlineStr">
        <is>
          <t>Finish:</t>
        </is>
      </c>
      <c r="I9" s="89" t="n">
        <v>0.75</v>
      </c>
    </row>
    <row r="10" ht="24.95" customHeight="1">
      <c r="A10" s="245" t="inlineStr">
        <is>
          <t>WEATHER &amp; GROUND CONDITIONS</t>
        </is>
      </c>
      <c r="B10" s="275" t="n"/>
      <c r="C10" s="275" t="n"/>
      <c r="D10" s="275" t="n"/>
      <c r="E10" s="275" t="n"/>
      <c r="F10" s="275" t="n"/>
      <c r="G10" s="275" t="n"/>
      <c r="H10" s="275" t="n"/>
      <c r="I10" s="277" t="n"/>
    </row>
    <row r="11" ht="23.1" customHeight="1">
      <c r="A11" s="242" t="inlineStr">
        <is>
          <t>Temperature: 20 degrees    Wind: 24 km/h SW Precip: 10.2mm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11.5</v>
      </c>
      <c r="G15" s="100" t="inlineStr">
        <is>
          <t>Khegan Brockman</t>
        </is>
      </c>
      <c r="H15" s="97" t="inlineStr">
        <is>
          <t>Labourer</t>
        </is>
      </c>
      <c r="I15" s="101" t="n">
        <v>10.5</v>
      </c>
    </row>
    <row r="16" ht="23.1" customHeight="1">
      <c r="A16" s="96" t="inlineStr">
        <is>
          <t>GRIFFITHS, Daniel</t>
        </is>
      </c>
      <c r="B16" s="97" t="inlineStr">
        <is>
          <t>Project Manager</t>
        </is>
      </c>
      <c r="C16" s="102" t="n">
        <v>11.5</v>
      </c>
      <c r="D16" s="100" t="inlineStr">
        <is>
          <t>Hanly,Thomas</t>
        </is>
      </c>
      <c r="E16" s="97" t="inlineStr">
        <is>
          <t>Operator</t>
        </is>
      </c>
      <c r="F16" s="97" t="n">
        <v>11.5</v>
      </c>
      <c r="G16" s="100" t="inlineStr">
        <is>
          <t>Laurent Levy</t>
        </is>
      </c>
      <c r="H16" s="97" t="inlineStr">
        <is>
          <t>Operator</t>
        </is>
      </c>
      <c r="I16" s="101" t="n">
        <v>10</v>
      </c>
    </row>
    <row r="17" ht="23.1" customHeight="1">
      <c r="A17" s="96" t="inlineStr">
        <is>
          <t>O"SHEA, John</t>
        </is>
      </c>
      <c r="B17" s="97" t="inlineStr">
        <is>
          <t>Senior Project Engineer</t>
        </is>
      </c>
      <c r="C17" s="102" t="n">
        <v>10</v>
      </c>
      <c r="D17" s="103" t="n"/>
      <c r="E17" s="103" t="n"/>
      <c r="F17" s="97" t="n"/>
      <c r="G17" s="100" t="inlineStr">
        <is>
          <t>Daniel McAuffile</t>
        </is>
      </c>
      <c r="H17" s="97" t="inlineStr">
        <is>
          <t>Operator</t>
        </is>
      </c>
      <c r="I17" s="101" t="n">
        <v>10.5</v>
      </c>
    </row>
    <row r="18" ht="23.1" customHeight="1">
      <c r="A18" s="96" t="inlineStr">
        <is>
          <t>GRIFFITHS, Ashley</t>
        </is>
      </c>
      <c r="B18" s="97" t="inlineStr">
        <is>
          <t>Supervisor</t>
        </is>
      </c>
      <c r="C18" s="102" t="n">
        <v>10</v>
      </c>
      <c r="D18" s="99" t="n"/>
      <c r="E18" s="99" t="n"/>
      <c r="F18" s="97" t="n"/>
      <c r="G18" s="100" t="inlineStr">
        <is>
          <t>Jachai Griffiths</t>
        </is>
      </c>
      <c r="H18" s="97" t="inlineStr">
        <is>
          <t>Operator</t>
        </is>
      </c>
      <c r="I18" s="101" t="n"/>
    </row>
    <row r="19" ht="23.1" customHeight="1">
      <c r="A19" s="96" t="inlineStr">
        <is>
          <t>LOW, June</t>
        </is>
      </c>
      <c r="B19" s="97" t="inlineStr">
        <is>
          <t>HSET</t>
        </is>
      </c>
      <c r="C19" s="102" t="n"/>
      <c r="D19" s="99" t="n"/>
      <c r="E19" s="99" t="n"/>
      <c r="F19" s="97" t="n"/>
      <c r="G19" s="100" t="inlineStr">
        <is>
          <t>O'Brian, Jamie</t>
        </is>
      </c>
      <c r="H19" s="97" t="inlineStr">
        <is>
          <t>Operator</t>
        </is>
      </c>
      <c r="I19" s="101" t="n">
        <v>10</v>
      </c>
    </row>
    <row r="20" ht="23.1" customHeight="1">
      <c r="A20" s="96" t="inlineStr">
        <is>
          <t>SKINNER,Jamie</t>
        </is>
      </c>
      <c r="B20" s="97" t="inlineStr">
        <is>
          <t>Supervisor</t>
        </is>
      </c>
      <c r="C20" s="102" t="n">
        <v>11.5</v>
      </c>
      <c r="D20" s="99" t="n"/>
      <c r="E20" s="99" t="n"/>
      <c r="F20" s="97" t="n"/>
      <c r="G20" s="42" t="inlineStr">
        <is>
          <t>O'Reilly,James</t>
        </is>
      </c>
      <c r="H20" s="97" t="inlineStr">
        <is>
          <t>Operator</t>
        </is>
      </c>
      <c r="I20" s="101" t="n"/>
    </row>
    <row r="21" ht="23.1" customHeight="1">
      <c r="A21" s="96" t="n"/>
      <c r="B21" s="97" t="n"/>
      <c r="C21" s="102" t="n"/>
      <c r="D21" s="99" t="n"/>
      <c r="E21" s="99" t="n"/>
      <c r="F21" s="97" t="n"/>
      <c r="G21" s="100" t="inlineStr">
        <is>
          <t>Chester, Matt</t>
        </is>
      </c>
      <c r="H21" s="97" t="inlineStr">
        <is>
          <t>Gas Fitter</t>
        </is>
      </c>
      <c r="I21" s="101" t="n"/>
    </row>
    <row r="22" ht="23.1" customHeight="1">
      <c r="A22" s="96" t="n"/>
      <c r="B22" s="97" t="n"/>
      <c r="C22" s="102" t="n"/>
      <c r="D22" s="99" t="n"/>
      <c r="E22" s="99" t="n"/>
      <c r="F22" s="97" t="n"/>
      <c r="G22" s="100" t="inlineStr">
        <is>
          <t>Mosley,Joshua</t>
        </is>
      </c>
      <c r="H22" s="97" t="inlineStr">
        <is>
          <t>Surveyor</t>
        </is>
      </c>
      <c r="I22" s="101" t="n">
        <v>3</v>
      </c>
    </row>
    <row r="23" ht="23.1" customHeight="1">
      <c r="A23" s="96" t="n"/>
      <c r="B23" s="97" t="n"/>
      <c r="C23" s="102" t="n"/>
      <c r="D23" s="99" t="n"/>
      <c r="E23" s="99" t="n"/>
      <c r="F23" s="97" t="n"/>
      <c r="G23" s="107" t="n"/>
      <c r="H23" s="107" t="n"/>
      <c r="I23" s="107" t="n"/>
    </row>
    <row r="24" ht="23.1" customHeight="1">
      <c r="A24" s="96" t="n"/>
      <c r="B24" s="97" t="n"/>
      <c r="C24" s="102" t="n"/>
      <c r="D24" s="99" t="n"/>
      <c r="E24" s="99" t="n"/>
      <c r="F24" s="97" t="n"/>
      <c r="G24" s="107" t="n"/>
      <c r="H24" s="107" t="n"/>
      <c r="I24" s="107" t="n"/>
    </row>
    <row r="25" ht="23.1" customHeight="1">
      <c r="A25" s="96" t="n"/>
      <c r="B25" s="97" t="n"/>
      <c r="C25" s="102" t="n"/>
      <c r="D25" s="99" t="n"/>
      <c r="E25" s="99" t="n"/>
      <c r="F25" s="97" t="n"/>
      <c r="G25" s="107" t="n"/>
      <c r="H25" s="107" t="n"/>
      <c r="I25" s="107" t="n"/>
    </row>
    <row r="26" ht="23.1" customHeight="1">
      <c r="A26" s="255" t="inlineStr">
        <is>
          <t xml:space="preserve">Total Indirect Personnel onsite: </t>
        </is>
      </c>
      <c r="B26" s="105">
        <f>COUNT(C15:C26)</f>
        <v/>
      </c>
      <c r="C26" s="99" t="n"/>
      <c r="D26" s="99" t="n"/>
      <c r="E26" s="99" t="n"/>
      <c r="F26" s="97" t="n"/>
      <c r="G26" s="106" t="inlineStr">
        <is>
          <t>Total Subcontractor on-site:</t>
        </is>
      </c>
      <c r="H26" s="107">
        <f>COUNTIF(I15:I23,"&gt;0")</f>
        <v/>
      </c>
      <c r="I26" s="101" t="n"/>
    </row>
    <row r="27" ht="23.1" customHeight="1">
      <c r="A27" s="255" t="inlineStr">
        <is>
          <t xml:space="preserve">Total Indirect Personnel hours: </t>
        </is>
      </c>
      <c r="B27" s="105">
        <f>SUM(C15:C25)</f>
        <v/>
      </c>
      <c r="C27" s="102" t="n"/>
      <c r="D27" s="99" t="n"/>
      <c r="E27" s="99" t="n"/>
      <c r="F27" s="97" t="n"/>
      <c r="G27" s="106" t="inlineStr">
        <is>
          <t>Total Subcontractor hours:</t>
        </is>
      </c>
      <c r="H27" s="107">
        <f>SUM(I15:I23)</f>
        <v/>
      </c>
      <c r="I27" s="101" t="n"/>
    </row>
    <row r="28" ht="23.1" customHeight="1">
      <c r="A28" s="255" t="inlineStr">
        <is>
          <t xml:space="preserve">Total Direct Personnel onsite:  </t>
        </is>
      </c>
      <c r="B28" s="105">
        <f>COUNTIF(F15:F29,"&gt;0")</f>
        <v/>
      </c>
      <c r="C28" s="105" t="n"/>
      <c r="D28" s="99" t="n"/>
      <c r="E28" s="99" t="n"/>
      <c r="F28" s="108" t="n"/>
      <c r="G28" s="106" t="n"/>
      <c r="H28" s="107" t="n"/>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6 Wheel Tipper</t>
        </is>
      </c>
      <c r="E33" s="102" t="inlineStr">
        <is>
          <t>AMG04</t>
        </is>
      </c>
      <c r="F33" s="102" t="n"/>
      <c r="G33" s="102" t="inlineStr">
        <is>
          <t>Sea Container 20ft</t>
        </is>
      </c>
      <c r="H33" s="97" t="n">
        <v>951200</v>
      </c>
      <c r="I33" s="101" t="n">
        <v>1</v>
      </c>
    </row>
    <row r="34" ht="23.1" customHeight="1">
      <c r="A34" s="115" t="inlineStr">
        <is>
          <t>Positrak</t>
        </is>
      </c>
      <c r="B34" s="102" t="inlineStr">
        <is>
          <t>AMG 025</t>
        </is>
      </c>
      <c r="C34" s="97" t="n">
        <v>4</v>
      </c>
      <c r="D34" s="102" t="n"/>
      <c r="E34" s="97" t="n"/>
      <c r="F34" s="102" t="n"/>
      <c r="G34" s="102" t="inlineStr">
        <is>
          <t>Site Sentry Tower</t>
        </is>
      </c>
      <c r="H34" s="102" t="n"/>
      <c r="I34" s="101" t="n">
        <v>2</v>
      </c>
    </row>
    <row r="35" ht="23.1" customHeight="1">
      <c r="A35" s="115" t="inlineStr">
        <is>
          <t>Watercart</t>
        </is>
      </c>
      <c r="B35" s="102" t="inlineStr">
        <is>
          <t>WC04</t>
        </is>
      </c>
      <c r="C35" s="97" t="n">
        <v>5</v>
      </c>
      <c r="D35" s="102" t="n"/>
      <c r="E35" s="102" t="n"/>
      <c r="F35" s="102" t="n"/>
      <c r="G35" s="102" t="inlineStr">
        <is>
          <t>Skip Bin</t>
        </is>
      </c>
      <c r="H35" s="102" t="n"/>
      <c r="I35" s="101" t="n">
        <v>1</v>
      </c>
    </row>
    <row r="36" ht="23.1" customHeight="1">
      <c r="A36" s="115" t="inlineStr">
        <is>
          <t>8T Excavator</t>
        </is>
      </c>
      <c r="B36" s="116" t="inlineStr">
        <is>
          <t>AMG 014</t>
        </is>
      </c>
      <c r="C36" s="97" t="n"/>
      <c r="D36" s="102" t="n"/>
      <c r="E36" s="102" t="n"/>
      <c r="F36" s="102" t="n"/>
      <c r="G36" s="102" t="inlineStr">
        <is>
          <t>Hydrocarbon Bund</t>
        </is>
      </c>
      <c r="H36" s="102" t="n"/>
      <c r="I36" s="101" t="n">
        <v>1</v>
      </c>
    </row>
    <row r="37" ht="23.1" customHeight="1">
      <c r="A37" s="102" t="inlineStr">
        <is>
          <t>Mini Tipper</t>
        </is>
      </c>
      <c r="B37" s="102" t="inlineStr">
        <is>
          <t>SLS05</t>
        </is>
      </c>
      <c r="C37" s="102" t="n">
        <v>4</v>
      </c>
      <c r="D37" s="102" t="n"/>
      <c r="E37" s="102" t="n"/>
      <c r="F37" s="102" t="n"/>
      <c r="G37" s="102" t="inlineStr">
        <is>
          <t>Temp Fence</t>
        </is>
      </c>
      <c r="H37" s="97" t="n"/>
      <c r="I37" s="101" t="n">
        <v>1</v>
      </c>
    </row>
    <row r="38" ht="24" customHeight="1">
      <c r="A38" s="150" t="inlineStr">
        <is>
          <t>1 t Excavator</t>
        </is>
      </c>
      <c r="B38" s="102" t="inlineStr">
        <is>
          <t>SLS03</t>
        </is>
      </c>
      <c r="C38" s="102" t="n"/>
      <c r="D38" s="102" t="n"/>
      <c r="E38" s="102" t="n"/>
      <c r="F38" s="102" t="n"/>
      <c r="G38" s="31" t="n"/>
      <c r="H38" s="31" t="n"/>
      <c r="I38" s="32" t="n"/>
    </row>
    <row r="39" ht="24" customHeight="1">
      <c r="A39" s="115" t="inlineStr">
        <is>
          <t>Padfoot/ Smooth Drum Roller</t>
        </is>
      </c>
      <c r="B39" s="102" t="inlineStr">
        <is>
          <t>RR 03</t>
        </is>
      </c>
      <c r="C39" s="97" t="n"/>
      <c r="D39" s="102" t="n"/>
      <c r="E39" s="102" t="n"/>
      <c r="F39" s="102" t="n"/>
      <c r="G39" s="31" t="n"/>
      <c r="H39" s="31" t="n"/>
      <c r="I39" s="32" t="n"/>
    </row>
    <row r="40" ht="24" customHeight="1">
      <c r="A40" s="115" t="inlineStr">
        <is>
          <t>Multi</t>
        </is>
      </c>
      <c r="B40" s="102" t="n">
        <v>256</v>
      </c>
      <c r="C40" s="97" t="n"/>
      <c r="D40" s="102" t="n"/>
      <c r="E40" s="102" t="n"/>
      <c r="F40" s="102" t="n"/>
      <c r="G40" s="31" t="n"/>
      <c r="H40" s="31" t="n"/>
      <c r="I40" s="32" t="n"/>
    </row>
    <row r="41" ht="24" customHeight="1">
      <c r="A41" s="115" t="inlineStr">
        <is>
          <t>Positrak SSL</t>
        </is>
      </c>
      <c r="B41" s="102" t="inlineStr">
        <is>
          <t>SSL08</t>
        </is>
      </c>
      <c r="C41" s="97" t="n">
        <v>5</v>
      </c>
      <c r="D41" s="102" t="n"/>
      <c r="E41" s="102" t="n"/>
      <c r="F41" s="102" t="n"/>
      <c r="G41" s="31" t="n"/>
      <c r="H41" s="31" t="n"/>
      <c r="I41" s="32" t="n"/>
    </row>
    <row r="42" ht="24" customHeight="1">
      <c r="A42" s="115" t="inlineStr">
        <is>
          <t>Grader</t>
        </is>
      </c>
      <c r="B42" s="102" t="inlineStr">
        <is>
          <t>SLS01</t>
        </is>
      </c>
      <c r="C42" s="97" t="n">
        <v>5</v>
      </c>
      <c r="D42" s="102" t="n"/>
      <c r="E42" s="102" t="n"/>
      <c r="F42" s="102" t="n"/>
      <c r="G42" s="31" t="n"/>
      <c r="H42" s="31" t="n"/>
      <c r="I42" s="32" t="n"/>
    </row>
    <row r="43" ht="23.1" customHeight="1">
      <c r="A43" s="115" t="inlineStr">
        <is>
          <t>5t Excavator</t>
        </is>
      </c>
      <c r="B43" s="102" t="inlineStr">
        <is>
          <t>AMG 007</t>
        </is>
      </c>
      <c r="C43" s="97" t="n"/>
      <c r="D43" s="102" t="n"/>
      <c r="E43" s="102" t="n"/>
      <c r="F43" s="102" t="n"/>
      <c r="G43" s="102" t="n"/>
      <c r="H43" s="97" t="n"/>
      <c r="I43" s="101" t="n"/>
    </row>
    <row r="44" ht="23.1" customHeight="1">
      <c r="A44" s="115" t="inlineStr">
        <is>
          <t>1.5 Excavator</t>
        </is>
      </c>
      <c r="B44" s="102" t="inlineStr">
        <is>
          <t>AMG 009</t>
        </is>
      </c>
      <c r="C44" s="97" t="n"/>
      <c r="D44" s="102" t="n"/>
      <c r="E44" s="102" t="n"/>
      <c r="F44" s="102" t="n"/>
      <c r="G44" s="102" t="n"/>
      <c r="H44" s="97" t="n"/>
      <c r="I44" s="101" t="n"/>
    </row>
    <row r="45" ht="24" customHeight="1">
      <c r="A45" s="115" t="n"/>
      <c r="B45" s="102" t="n"/>
      <c r="C45" s="97" t="n"/>
      <c r="D45" s="31" t="n"/>
      <c r="E45" s="31" t="n"/>
      <c r="F45" s="31" t="n"/>
      <c r="G45" s="31" t="n"/>
      <c r="H45" s="31" t="n"/>
      <c r="I45" s="32" t="n"/>
    </row>
    <row r="46" ht="18" customHeight="1">
      <c r="A46" s="117" t="n">
        <v>1</v>
      </c>
      <c r="B46" s="260" t="inlineStr">
        <is>
          <t xml:space="preserve">Repairs Required </t>
        </is>
      </c>
      <c r="C46" s="276" t="n"/>
      <c r="D46" s="249" t="inlineStr">
        <is>
          <t>Grader Tyre Repaired</t>
        </is>
      </c>
      <c r="E46" s="275" t="n"/>
      <c r="F46" s="275" t="n"/>
      <c r="G46" s="275" t="n"/>
      <c r="H46" s="275" t="n"/>
      <c r="I46" s="277" t="n"/>
    </row>
    <row r="47" ht="18" customHeight="1">
      <c r="A47" s="118" t="n">
        <v>0</v>
      </c>
      <c r="B47" s="260" t="inlineStr">
        <is>
          <t>Scheduled Service</t>
        </is>
      </c>
      <c r="C47" s="276" t="n"/>
      <c r="D47" s="249" t="inlineStr">
        <is>
          <t>N/A</t>
        </is>
      </c>
      <c r="E47" s="275" t="n"/>
      <c r="F47" s="275" t="n"/>
      <c r="G47" s="275" t="n"/>
      <c r="H47" s="275" t="n"/>
      <c r="I47" s="277" t="n"/>
    </row>
    <row r="48" ht="18" customHeight="1">
      <c r="A48" s="119" t="n">
        <v>0</v>
      </c>
      <c r="B48" s="260" t="inlineStr">
        <is>
          <t>Repairs required but operable</t>
        </is>
      </c>
      <c r="C48" s="276" t="n"/>
      <c r="D48" s="249" t="inlineStr">
        <is>
          <t>N/A</t>
        </is>
      </c>
      <c r="E48" s="275" t="n"/>
      <c r="F48" s="275" t="n"/>
      <c r="G48" s="275" t="n"/>
      <c r="H48" s="275" t="n"/>
      <c r="I48" s="277" t="n"/>
    </row>
    <row r="49" ht="23.1" customHeight="1">
      <c r="A49" s="255" t="inlineStr">
        <is>
          <t xml:space="preserve">Total Plant and Equipment Hours: </t>
        </is>
      </c>
      <c r="B49" s="276" t="n"/>
      <c r="C49" s="120">
        <f>SUM(C32:C45)</f>
        <v/>
      </c>
      <c r="D49" s="256" t="n"/>
      <c r="E49" s="275" t="n"/>
      <c r="F49" s="275" t="n"/>
      <c r="G49" s="275" t="n"/>
      <c r="H49" s="275" t="n"/>
      <c r="I49" s="277" t="n"/>
    </row>
    <row r="50" ht="24.95" customHeight="1">
      <c r="A50" s="245" t="inlineStr">
        <is>
          <t>DELAYS-OPPORTUNITY</t>
        </is>
      </c>
      <c r="B50" s="275" t="n"/>
      <c r="C50" s="275" t="n"/>
      <c r="D50" s="275" t="n"/>
      <c r="E50" s="275" t="n"/>
      <c r="F50" s="275" t="n"/>
      <c r="G50" s="275" t="n"/>
      <c r="H50" s="275" t="n"/>
      <c r="I50" s="277" t="n"/>
    </row>
    <row r="51" ht="20.1" customHeight="1">
      <c r="A51" s="121" t="n"/>
      <c r="B51" s="122" t="n"/>
      <c r="C51" s="122" t="n"/>
      <c r="D51" s="122" t="n"/>
      <c r="E51" s="122" t="n"/>
      <c r="F51" s="122" t="n"/>
      <c r="G51" s="122" t="n"/>
      <c r="H51" s="122" t="n"/>
      <c r="I51" s="123" t="n"/>
    </row>
    <row r="52" ht="15" customHeight="1">
      <c r="A52" s="240" t="inlineStr">
        <is>
          <t>Awaiting Detail on Centrelink Carpark                            
Awaiting Crossing Details for Forrest Street                  .
Awaiting Direction on Service Clash Forrest Street
Awaiting Feedback on Batters Treatment 
Minor rain damage
Grader down (10am to 12pm)</t>
        </is>
      </c>
      <c r="B52" s="278" t="n"/>
      <c r="C52" s="278" t="n"/>
      <c r="D52" s="278" t="n"/>
      <c r="E52" s="278" t="n"/>
      <c r="F52" s="278" t="n"/>
      <c r="G52" s="278" t="n"/>
      <c r="H52" s="278" t="n"/>
      <c r="I52" s="279" t="n"/>
    </row>
    <row r="53" ht="45.95" customHeight="1">
      <c r="A53" s="270" t="n"/>
      <c r="I53" s="271" t="n"/>
    </row>
    <row r="54" ht="34.5" customHeight="1">
      <c r="A54" s="270" t="n"/>
      <c r="I54" s="271" t="n"/>
    </row>
    <row r="55" ht="34.5" customHeight="1">
      <c r="A55" s="280" t="n"/>
      <c r="B55" s="281" t="n"/>
      <c r="C55" s="281" t="n"/>
      <c r="D55" s="281" t="n"/>
      <c r="E55" s="281" t="n"/>
      <c r="F55" s="281" t="n"/>
      <c r="G55" s="281" t="n"/>
      <c r="H55" s="281" t="n"/>
      <c r="I55" s="282" t="n"/>
    </row>
    <row r="56" ht="24.95" customHeight="1">
      <c r="A56" s="252" t="inlineStr">
        <is>
          <t>HSEQ MESSAGES</t>
        </is>
      </c>
      <c r="B56" s="283" t="n"/>
      <c r="C56" s="283" t="n"/>
      <c r="D56" s="283" t="n"/>
      <c r="E56" s="283" t="n"/>
      <c r="F56" s="283" t="n"/>
      <c r="G56" s="283" t="n"/>
      <c r="H56" s="283" t="n"/>
      <c r="I56" s="284" t="n"/>
    </row>
    <row r="57" ht="18" customHeight="1">
      <c r="A57" s="124" t="inlineStr">
        <is>
          <t>TCD - Monthly Safety Focus:</t>
        </is>
      </c>
      <c r="B57" s="257" t="inlineStr">
        <is>
          <t>Return to Work</t>
        </is>
      </c>
      <c r="C57" s="275" t="n"/>
      <c r="D57" s="275" t="n"/>
      <c r="E57" s="275" t="n"/>
      <c r="F57" s="275" t="n"/>
      <c r="G57" s="275" t="n"/>
      <c r="H57" s="275" t="n"/>
      <c r="I57" s="276" t="n"/>
    </row>
    <row r="58" ht="24" customHeight="1">
      <c r="A58" s="124" t="inlineStr">
        <is>
          <t>TCD - Daily Safety Focus:</t>
        </is>
      </c>
      <c r="B58" s="212" t="inlineStr">
        <is>
          <t>Manual Handling</t>
        </is>
      </c>
      <c r="C58" s="275" t="n"/>
      <c r="D58" s="275" t="n"/>
      <c r="E58" s="275" t="n"/>
      <c r="F58" s="275" t="n"/>
      <c r="G58" s="275" t="n"/>
      <c r="H58" s="275" t="n"/>
      <c r="I58" s="277" t="n"/>
    </row>
    <row r="59" ht="18" customHeight="1">
      <c r="A59" s="125" t="inlineStr">
        <is>
          <t xml:space="preserve">Hazards Reported: </t>
        </is>
      </c>
      <c r="B59" s="126" t="inlineStr">
        <is>
          <t>Nil</t>
        </is>
      </c>
      <c r="C59" s="258" t="n"/>
      <c r="D59" s="275" t="n"/>
      <c r="E59" s="275" t="n"/>
      <c r="F59" s="275" t="n"/>
      <c r="G59" s="275" t="n"/>
      <c r="H59" s="275" t="n"/>
      <c r="I59" s="277" t="n"/>
    </row>
    <row r="60" ht="18" customHeight="1">
      <c r="A60" s="125" t="inlineStr">
        <is>
          <t>Incident Free Days</t>
        </is>
      </c>
      <c r="B60" s="126" t="n">
        <v>1</v>
      </c>
      <c r="C60" s="257" t="n"/>
      <c r="D60" s="275" t="n"/>
      <c r="E60" s="275" t="n"/>
      <c r="F60" s="275" t="n"/>
      <c r="G60" s="275" t="n"/>
      <c r="H60" s="275" t="n"/>
      <c r="I60" s="276" t="n"/>
    </row>
    <row r="61" ht="18" customHeight="1">
      <c r="A61" s="127" t="inlineStr">
        <is>
          <t>Other Notes</t>
        </is>
      </c>
      <c r="B61" s="259" t="n"/>
      <c r="C61" s="278" t="n"/>
      <c r="D61" s="278" t="n"/>
      <c r="E61" s="278" t="n"/>
      <c r="F61" s="278" t="n"/>
      <c r="G61" s="278" t="n"/>
      <c r="H61" s="278" t="n"/>
      <c r="I61" s="279" t="n"/>
    </row>
    <row r="62" ht="20.25" customHeight="1">
      <c r="A62" s="245" t="inlineStr">
        <is>
          <t xml:space="preserve">INCIDENTS &amp; REPORTS </t>
        </is>
      </c>
      <c r="B62" s="275" t="n"/>
      <c r="C62" s="275" t="n"/>
      <c r="D62" s="275" t="n"/>
      <c r="E62" s="275" t="n"/>
      <c r="F62" s="275" t="n"/>
      <c r="G62" s="275" t="n"/>
      <c r="H62" s="275" t="n"/>
      <c r="I62" s="277" t="n"/>
    </row>
    <row r="63" ht="24.95" customHeight="1">
      <c r="A63" s="128" t="n"/>
      <c r="B63" s="263" t="inlineStr">
        <is>
          <t>QTY</t>
        </is>
      </c>
      <c r="C63" s="254" t="inlineStr">
        <is>
          <t>Comments</t>
        </is>
      </c>
      <c r="D63" s="275" t="n"/>
      <c r="E63" s="275" t="n"/>
      <c r="F63" s="275" t="n"/>
      <c r="G63" s="275" t="n"/>
      <c r="H63" s="275" t="n"/>
      <c r="I63" s="277" t="n"/>
    </row>
    <row r="64" ht="24.95" customHeight="1">
      <c r="A64" s="129" t="inlineStr">
        <is>
          <t>INCIDENT</t>
        </is>
      </c>
      <c r="B64" s="263" t="n">
        <v>0</v>
      </c>
      <c r="C64" s="249" t="inlineStr">
        <is>
          <t>NA</t>
        </is>
      </c>
      <c r="D64" s="275" t="n"/>
      <c r="E64" s="275" t="n"/>
      <c r="F64" s="275" t="n"/>
      <c r="G64" s="275" t="n"/>
      <c r="H64" s="275" t="n"/>
      <c r="I64" s="277" t="n"/>
    </row>
    <row r="65" ht="24.95" customHeight="1">
      <c r="A65" s="130" t="inlineStr">
        <is>
          <t>IR</t>
        </is>
      </c>
      <c r="B65" s="131" t="n">
        <v>0</v>
      </c>
      <c r="C65" s="250" t="inlineStr">
        <is>
          <t>NA</t>
        </is>
      </c>
      <c r="D65" s="278" t="n"/>
      <c r="E65" s="278" t="n"/>
      <c r="F65" s="278" t="n"/>
      <c r="G65" s="278" t="n"/>
      <c r="H65" s="278" t="n"/>
      <c r="I65" s="279" t="n"/>
    </row>
    <row r="66" ht="24.95" customHeight="1">
      <c r="A66" s="132" t="inlineStr">
        <is>
          <t>NCR</t>
        </is>
      </c>
      <c r="B66" s="133" t="n">
        <v>0</v>
      </c>
      <c r="C66" s="251" t="inlineStr">
        <is>
          <t>NA</t>
        </is>
      </c>
      <c r="D66" s="285" t="n"/>
      <c r="E66" s="285" t="n"/>
      <c r="F66" s="285" t="n"/>
      <c r="G66" s="285" t="n"/>
      <c r="H66" s="285" t="n"/>
      <c r="I66" s="286" t="n"/>
    </row>
    <row r="67" ht="20.25" customHeight="1">
      <c r="A67" s="252" t="inlineStr">
        <is>
          <t>COMMUNICATIONS</t>
        </is>
      </c>
      <c r="B67" s="283" t="n"/>
      <c r="C67" s="283" t="n"/>
      <c r="D67" s="283" t="n"/>
      <c r="E67" s="283" t="n"/>
      <c r="F67" s="283" t="n"/>
      <c r="G67" s="283" t="n"/>
      <c r="H67" s="283" t="n"/>
      <c r="I67" s="284" t="n"/>
    </row>
    <row r="68" ht="24.95" customHeight="1">
      <c r="A68" s="237" t="inlineStr">
        <is>
          <t>TGS MB1119-05 Scheme D implemented</t>
        </is>
      </c>
      <c r="B68" s="275" t="n"/>
      <c r="C68" s="275" t="n"/>
      <c r="D68" s="275" t="n"/>
      <c r="E68" s="275" t="n"/>
      <c r="F68" s="275" t="n"/>
      <c r="G68" s="275" t="n"/>
      <c r="H68" s="275" t="n"/>
      <c r="I68" s="277" t="n"/>
    </row>
    <row r="69" ht="24.95" customHeight="1">
      <c r="A69" s="253" t="n"/>
      <c r="B69" s="275" t="n"/>
      <c r="C69" s="275" t="n"/>
      <c r="D69" s="275" t="n"/>
      <c r="E69" s="275" t="n"/>
      <c r="F69" s="275" t="n"/>
      <c r="G69" s="275" t="n"/>
      <c r="H69" s="275" t="n"/>
      <c r="I69" s="277" t="n"/>
    </row>
    <row r="70" ht="24.95" customHeight="1">
      <c r="A70" s="245" t="inlineStr">
        <is>
          <t>PRODUCTION (CONSTRUCTION STATUS &amp; PROGRESS)</t>
        </is>
      </c>
      <c r="B70" s="275" t="n"/>
      <c r="C70" s="275" t="n"/>
      <c r="D70" s="275" t="n"/>
      <c r="E70" s="275" t="n"/>
      <c r="F70" s="275" t="n"/>
      <c r="G70" s="275" t="n"/>
      <c r="H70" s="275" t="n"/>
      <c r="I70" s="277" t="n"/>
    </row>
    <row r="71" ht="24.95" customHeight="1">
      <c r="A71" s="66" t="inlineStr">
        <is>
          <t>Importing Base-course material</t>
        </is>
      </c>
      <c r="B71" s="135" t="n"/>
      <c r="C71" s="79" t="n"/>
      <c r="D71" s="80" t="inlineStr">
        <is>
          <t xml:space="preserve">Trenching power/Coms@Bayly street end </t>
        </is>
      </c>
      <c r="E71" s="135" t="n"/>
      <c r="F71" s="135" t="n"/>
      <c r="G71" s="135" t="n"/>
      <c r="H71" s="135" t="n"/>
      <c r="I71" s="136" t="n"/>
    </row>
    <row r="72" ht="24.95" customHeight="1">
      <c r="A72" s="66" t="inlineStr">
        <is>
          <t>Pushing/Balancing BC @Chambers</t>
        </is>
      </c>
      <c r="B72" s="135" t="n"/>
      <c r="C72" s="79" t="n"/>
      <c r="D72" s="80" t="inlineStr">
        <is>
          <t>Survey Demo pickup @Bayly + Tap height set-out</t>
        </is>
      </c>
      <c r="E72" s="135" t="n"/>
      <c r="F72" s="135" t="n"/>
      <c r="G72" s="135" t="n"/>
      <c r="H72" s="135" t="n"/>
      <c r="I72" s="136" t="n"/>
    </row>
    <row r="73" ht="24.95" customHeight="1">
      <c r="A73" s="66" t="inlineStr">
        <is>
          <t>Backfilling/Compacting Verges</t>
        </is>
      </c>
      <c r="B73" s="135" t="n"/>
      <c r="C73" s="79" t="n"/>
      <c r="D73" s="222" t="inlineStr">
        <is>
          <t>Kerbing Markup Issued to PCE</t>
        </is>
      </c>
      <c r="E73" s="135" t="n"/>
      <c r="F73" s="135" t="n"/>
      <c r="G73" s="135" t="n"/>
      <c r="H73" s="135" t="n"/>
      <c r="I73" s="136" t="n"/>
    </row>
    <row r="74" ht="24.95" customHeight="1">
      <c r="A74" s="66" t="inlineStr">
        <is>
          <t>Setting tap heights on Lots and backfilling/Compacting</t>
        </is>
      </c>
      <c r="B74" s="135" t="n"/>
      <c r="C74" s="79" t="n"/>
      <c r="D74" s="135" t="n"/>
      <c r="E74" s="135" t="n"/>
      <c r="F74" s="135" t="n"/>
      <c r="G74" s="135" t="n"/>
      <c r="H74" s="135" t="n"/>
      <c r="I74" s="136" t="n"/>
    </row>
    <row r="75" ht="26.1" customHeight="1">
      <c r="A75" s="246" t="inlineStr">
        <is>
          <t>Photos</t>
        </is>
      </c>
      <c r="B75" s="278" t="n"/>
      <c r="C75" s="278" t="n"/>
      <c r="D75" s="278" t="n"/>
      <c r="E75" s="278" t="n"/>
      <c r="F75" s="278" t="n"/>
      <c r="G75" s="278" t="n"/>
      <c r="H75" s="278" t="n"/>
      <c r="I75" s="279" t="n"/>
    </row>
    <row r="76" ht="23.1" customHeight="1">
      <c r="A76" s="137" t="n"/>
      <c r="B76" s="138" t="n"/>
      <c r="C76" s="138" t="n"/>
      <c r="D76" s="138" t="n"/>
      <c r="E76" s="138" t="n"/>
      <c r="F76" s="138" t="n"/>
      <c r="G76" s="138" t="n"/>
      <c r="H76" s="138" t="n"/>
      <c r="I76" s="139" t="n"/>
    </row>
    <row r="77" ht="23.1"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G96" s="141" t="n"/>
      <c r="H96" s="141" t="n"/>
      <c r="I96" s="142" t="n"/>
    </row>
    <row r="97" ht="15" customHeight="1">
      <c r="A97" s="140" t="n"/>
      <c r="B97" s="141" t="n"/>
      <c r="C97" s="141" t="n"/>
      <c r="D97" s="141" t="n"/>
      <c r="E97" s="141" t="n"/>
      <c r="F97" s="141" t="n"/>
      <c r="G97" s="141" t="n"/>
      <c r="H97" s="141" t="n"/>
      <c r="I97" s="142" t="n"/>
    </row>
    <row r="98" ht="15" customHeight="1">
      <c r="A98" s="140" t="n"/>
      <c r="B98" s="141" t="n"/>
      <c r="C98" s="141" t="n"/>
      <c r="D98" s="141" t="n"/>
      <c r="E98" s="141" t="n"/>
      <c r="F98" s="141" t="n"/>
      <c r="H98" s="141" t="n"/>
      <c r="I98" s="142" t="n"/>
    </row>
    <row r="99" ht="24.95" customFormat="1" customHeight="1" s="8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0" t="n"/>
      <c r="B112" s="141" t="n"/>
      <c r="C112" s="141" t="n"/>
      <c r="D112" s="141" t="n"/>
      <c r="E112" s="141" t="n"/>
      <c r="F112" s="141" t="n"/>
      <c r="G112" s="141" t="n"/>
      <c r="H112" s="141" t="n"/>
      <c r="I112" s="142" t="n"/>
    </row>
    <row r="113" ht="15" customHeight="1">
      <c r="A113" s="140" t="n"/>
      <c r="B113" s="141" t="n"/>
      <c r="C113" s="141" t="n"/>
      <c r="D113" s="141" t="n"/>
      <c r="E113" s="141" t="n"/>
      <c r="F113" s="141" t="n"/>
      <c r="G113" s="141" t="n"/>
      <c r="H113" s="141" t="n"/>
      <c r="I113" s="142" t="n"/>
    </row>
    <row r="114" ht="15" customHeight="1">
      <c r="A114" s="143" t="n"/>
      <c r="B114" s="144" t="n"/>
      <c r="C114" s="144" t="n"/>
      <c r="D114" s="144" t="n"/>
      <c r="E114" s="144" t="n"/>
      <c r="F114" s="144" t="n"/>
      <c r="G114" s="144" t="n"/>
      <c r="H114" s="144" t="n"/>
      <c r="I114" s="145"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15" customHeight="1">
      <c r="A121" s="140" t="n"/>
      <c r="B121" s="141" t="n"/>
      <c r="C121" s="141" t="n"/>
      <c r="D121" s="141" t="n"/>
      <c r="E121" s="141" t="n"/>
      <c r="F121" s="141" t="n"/>
      <c r="G121" s="141" t="n"/>
      <c r="H121" s="141" t="n"/>
      <c r="I121" s="142" t="n"/>
    </row>
    <row r="122" ht="15" customHeight="1">
      <c r="A122" s="140" t="n"/>
      <c r="B122" s="141" t="n"/>
      <c r="C122" s="141" t="n"/>
      <c r="D122" s="141" t="n"/>
      <c r="E122" s="141" t="n"/>
      <c r="F122" s="141" t="n"/>
      <c r="G122" s="141" t="n"/>
      <c r="H122" s="141" t="n"/>
      <c r="I122" s="142" t="n"/>
    </row>
    <row r="123" ht="24.95" customHeight="1">
      <c r="A123" s="140" t="n"/>
      <c r="B123" s="141" t="n"/>
      <c r="C123" s="141" t="n"/>
      <c r="D123" s="141" t="n"/>
      <c r="E123" s="141" t="n"/>
      <c r="F123" s="141" t="n"/>
      <c r="G123" s="141" t="n"/>
      <c r="H123" s="141" t="n"/>
      <c r="I123" s="142" t="n"/>
    </row>
    <row r="124" ht="15" customHeight="1">
      <c r="A124" s="140" t="n"/>
      <c r="B124" s="141" t="n"/>
      <c r="C124" s="141" t="n"/>
      <c r="D124" s="141" t="n"/>
      <c r="E124" s="141" t="n"/>
      <c r="F124" s="141" t="n"/>
      <c r="G124" s="141" t="n"/>
      <c r="H124" s="141" t="n"/>
      <c r="I124" s="142" t="n"/>
    </row>
    <row r="125" ht="15" customHeight="1">
      <c r="A125" s="140" t="n"/>
      <c r="B125" s="141" t="n"/>
      <c r="C125" s="141" t="n"/>
      <c r="D125" s="141" t="n"/>
      <c r="E125" s="141" t="n"/>
      <c r="F125" s="141" t="n"/>
      <c r="G125" s="141" t="n"/>
      <c r="H125" s="141" t="n"/>
      <c r="I125" s="142" t="n"/>
    </row>
    <row r="126" ht="27.9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row>
    <row r="138" ht="15" customHeight="1">
      <c r="A138" s="140" t="n"/>
      <c r="B138" s="141" t="n"/>
      <c r="C138" s="141" t="n"/>
      <c r="D138" s="141" t="n"/>
      <c r="E138" s="141" t="n"/>
      <c r="F138" s="141" t="n"/>
      <c r="G138" s="141" t="n"/>
      <c r="H138" s="141" t="n"/>
      <c r="I138" s="142" t="n"/>
    </row>
    <row r="139" ht="15" customHeight="1">
      <c r="A139" s="140" t="n"/>
      <c r="B139" s="141" t="n"/>
      <c r="C139" s="141" t="n"/>
      <c r="D139" s="141" t="n"/>
      <c r="E139" s="141" t="n"/>
      <c r="F139" s="141" t="n"/>
      <c r="G139" s="141" t="n"/>
      <c r="H139" s="141" t="n"/>
      <c r="I139" s="142" t="n"/>
      <c r="J139" s="146"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 customHeight="1">
      <c r="A144" s="140" t="n"/>
      <c r="B144" s="141" t="n"/>
      <c r="C144" s="141" t="n"/>
      <c r="D144" s="141" t="n"/>
      <c r="E144" s="141" t="n"/>
      <c r="F144" s="141" t="n"/>
      <c r="G144" s="141" t="n"/>
      <c r="H144" s="141" t="n"/>
      <c r="I144" s="142" t="n"/>
    </row>
    <row r="145" ht="15" customHeight="1">
      <c r="A145" s="140" t="n"/>
      <c r="B145" s="141" t="n"/>
      <c r="C145" s="141" t="n"/>
      <c r="D145" s="141" t="n"/>
      <c r="E145" s="141" t="n"/>
      <c r="F145" s="141" t="n"/>
      <c r="G145" s="141" t="n"/>
      <c r="H145" s="141" t="n"/>
      <c r="I145" s="142" t="n"/>
    </row>
    <row r="146" ht="15.95" customHeight="1">
      <c r="A146" s="140" t="n"/>
      <c r="B146" s="141" t="n"/>
      <c r="C146" s="141" t="n"/>
      <c r="D146" s="141" t="n"/>
      <c r="E146" s="141" t="n"/>
      <c r="F146" s="141" t="n"/>
      <c r="G146" s="141" t="n"/>
      <c r="H146" s="141" t="n"/>
      <c r="I146" s="142" t="n"/>
    </row>
    <row r="147" ht="30.75" customHeight="1">
      <c r="A147" s="247" t="n"/>
      <c r="E147" s="248" t="n"/>
      <c r="I147" s="271"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A181" s="64" t="n"/>
      <c r="I181" s="65" t="n"/>
    </row>
    <row r="182">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c r="A200" s="64" t="n"/>
      <c r="I200" s="65" t="n"/>
    </row>
    <row r="201" ht="15.95" customHeight="1">
      <c r="A201" s="59" t="n"/>
      <c r="B201" s="60" t="n"/>
      <c r="C201" s="60" t="n"/>
      <c r="D201" s="60" t="n"/>
      <c r="E201" s="60" t="n"/>
      <c r="F201" s="60" t="n"/>
      <c r="G201" s="60" t="n"/>
      <c r="H201" s="60" t="n"/>
      <c r="I201" s="61" t="n"/>
    </row>
    <row r="202">
      <c r="A202" s="64" t="n"/>
      <c r="I202" s="65" t="n"/>
    </row>
    <row r="203">
      <c r="A203" s="64" t="n"/>
      <c r="I203" s="65" t="n"/>
    </row>
    <row r="204">
      <c r="A204" s="64" t="n"/>
      <c r="I204" s="65" t="n"/>
    </row>
    <row r="205">
      <c r="A205" s="64" t="n"/>
      <c r="I205" s="65" t="n"/>
    </row>
    <row r="206">
      <c r="A206" s="64" t="n"/>
      <c r="I206" s="65" t="n"/>
    </row>
    <row r="207">
      <c r="A207" s="64" t="n"/>
      <c r="I207" s="65" t="n"/>
    </row>
    <row r="208" ht="15.95" customHeight="1">
      <c r="A208" s="59" t="n"/>
      <c r="B208" s="60" t="n"/>
      <c r="C208" s="60" t="n"/>
      <c r="D208" s="60" t="n"/>
      <c r="E208" s="60" t="n"/>
      <c r="F208" s="60" t="n"/>
      <c r="G208" s="60" t="n"/>
      <c r="H208" s="60" t="n"/>
      <c r="I208" s="61" t="n"/>
    </row>
  </sheetData>
  <mergeCells count="40">
    <mergeCell ref="D49:I49"/>
    <mergeCell ref="B47:C47"/>
    <mergeCell ref="D13:F13"/>
    <mergeCell ref="G13:I13"/>
    <mergeCell ref="A75:I75"/>
    <mergeCell ref="B8:D8"/>
    <mergeCell ref="A49:B49"/>
    <mergeCell ref="B46:C46"/>
    <mergeCell ref="A147:D147"/>
    <mergeCell ref="A56:I56"/>
    <mergeCell ref="D48:I48"/>
    <mergeCell ref="A50:I50"/>
    <mergeCell ref="A12:I12"/>
    <mergeCell ref="D47:I47"/>
    <mergeCell ref="B58:I58"/>
    <mergeCell ref="C66:I66"/>
    <mergeCell ref="B48:C48"/>
    <mergeCell ref="A5:I5"/>
    <mergeCell ref="E147:I147"/>
    <mergeCell ref="B9:D9"/>
    <mergeCell ref="A52:I55"/>
    <mergeCell ref="B61:I61"/>
    <mergeCell ref="B57:I57"/>
    <mergeCell ref="B6:D6"/>
    <mergeCell ref="A62:I62"/>
    <mergeCell ref="A13:C13"/>
    <mergeCell ref="A68:I68"/>
    <mergeCell ref="A10:I10"/>
    <mergeCell ref="A1:I4"/>
    <mergeCell ref="C64:I64"/>
    <mergeCell ref="A67:I67"/>
    <mergeCell ref="B7:D7"/>
    <mergeCell ref="C63:I63"/>
    <mergeCell ref="C65:I65"/>
    <mergeCell ref="A11:I11"/>
    <mergeCell ref="D46:I46"/>
    <mergeCell ref="C59:I59"/>
    <mergeCell ref="A70:I70"/>
    <mergeCell ref="C60:I60"/>
    <mergeCell ref="A69:I69"/>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4" min="0" max="8" man="1"/>
  </rowBreaks>
</worksheet>
</file>

<file path=xl/worksheets/sheet20.xml><?xml version="1.0" encoding="utf-8"?>
<worksheet xmlns="http://schemas.openxmlformats.org/spreadsheetml/2006/main">
  <sheetPr>
    <outlinePr summaryBelow="1" summaryRight="1"/>
    <pageSetUpPr fitToPage="1"/>
  </sheetPr>
  <dimension ref="A1:J208"/>
  <sheetViews>
    <sheetView view="pageBreakPreview" topLeftCell="A24" zoomScale="60" zoomScaleNormal="55" workbookViewId="0">
      <selection activeCell="A52" sqref="A52:I55"/>
    </sheetView>
  </sheetViews>
  <sheetFormatPr baseColWidth="8" defaultColWidth="9.140625" defaultRowHeight="14.4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45891</v>
      </c>
    </row>
    <row r="7" ht="23.1" customHeight="1">
      <c r="A7" s="82" t="inlineStr">
        <is>
          <t>Project Location:</t>
        </is>
      </c>
      <c r="B7" s="267" t="inlineStr">
        <is>
          <t>Geraldton</t>
        </is>
      </c>
      <c r="E7" s="267" t="n"/>
      <c r="F7" s="84" t="n"/>
      <c r="G7" s="84" t="n"/>
      <c r="H7" s="87" t="inlineStr">
        <is>
          <t>Day:</t>
        </is>
      </c>
      <c r="I7" s="88" t="inlineStr">
        <is>
          <t>Friday</t>
        </is>
      </c>
    </row>
    <row r="8" ht="23.1" customHeight="1">
      <c r="A8" s="82" t="inlineStr">
        <is>
          <t>Project Number:</t>
        </is>
      </c>
      <c r="B8" s="267" t="inlineStr">
        <is>
          <t>TCD-1816</t>
        </is>
      </c>
      <c r="E8" s="267" t="n"/>
      <c r="F8" s="84" t="n"/>
      <c r="G8" s="84" t="n"/>
      <c r="H8" s="87" t="inlineStr">
        <is>
          <t>Start:</t>
        </is>
      </c>
      <c r="I8" s="89" t="n">
        <v>0.2708333333333333</v>
      </c>
    </row>
    <row r="9" ht="23.1" customHeight="1">
      <c r="A9" s="82" t="inlineStr">
        <is>
          <t>Report Number:</t>
        </is>
      </c>
      <c r="B9" s="264" t="n">
        <v>88</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42" t="inlineStr">
        <is>
          <t>Temperature: 20 degrees    Wind: 35km/h E Precip: 0.2 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11</v>
      </c>
      <c r="G15" s="100" t="inlineStr">
        <is>
          <t>Khegan Brockman</t>
        </is>
      </c>
      <c r="H15" s="97" t="inlineStr">
        <is>
          <t>Labourer</t>
        </is>
      </c>
      <c r="I15" s="101" t="n">
        <v>10</v>
      </c>
    </row>
    <row r="16" ht="23.1" customHeight="1">
      <c r="A16" s="96" t="inlineStr">
        <is>
          <t>GRIFFITHS, Daniel</t>
        </is>
      </c>
      <c r="B16" s="97" t="inlineStr">
        <is>
          <t>Project Manager</t>
        </is>
      </c>
      <c r="C16" s="102" t="n">
        <v>11.5</v>
      </c>
      <c r="D16" s="100" t="inlineStr">
        <is>
          <t>Hanly,Thomas</t>
        </is>
      </c>
      <c r="E16" s="97" t="inlineStr">
        <is>
          <t>Operator</t>
        </is>
      </c>
      <c r="F16" s="97" t="n">
        <v>11</v>
      </c>
      <c r="G16" s="100" t="inlineStr">
        <is>
          <t>Laurent Levy</t>
        </is>
      </c>
      <c r="H16" s="97" t="inlineStr">
        <is>
          <t>Operator</t>
        </is>
      </c>
      <c r="I16" s="101" t="n">
        <v>10</v>
      </c>
    </row>
    <row r="17" ht="23.1" customHeight="1">
      <c r="A17" s="96" t="inlineStr">
        <is>
          <t>O"SHEA, John</t>
        </is>
      </c>
      <c r="B17" s="97" t="inlineStr">
        <is>
          <t>Senior Project Engineer</t>
        </is>
      </c>
      <c r="C17" s="102" t="n"/>
      <c r="D17" s="103" t="n"/>
      <c r="E17" s="103" t="n"/>
      <c r="F17" s="97" t="n"/>
      <c r="G17" s="100" t="inlineStr">
        <is>
          <t>Daniel McAuffile</t>
        </is>
      </c>
      <c r="H17" s="97" t="inlineStr">
        <is>
          <t>Operator</t>
        </is>
      </c>
      <c r="I17" s="101" t="n">
        <v>10</v>
      </c>
    </row>
    <row r="18" ht="23.1" customHeight="1">
      <c r="A18" s="96" t="inlineStr">
        <is>
          <t>GRIFFITHS, Ashley</t>
        </is>
      </c>
      <c r="B18" s="97" t="inlineStr">
        <is>
          <t>Supervisor</t>
        </is>
      </c>
      <c r="C18" s="102" t="n">
        <v>10</v>
      </c>
      <c r="D18" s="99" t="n"/>
      <c r="E18" s="99" t="n"/>
      <c r="F18" s="97" t="n"/>
      <c r="G18" s="100" t="inlineStr">
        <is>
          <t>Jachai Griffiths</t>
        </is>
      </c>
      <c r="H18" s="97" t="inlineStr">
        <is>
          <t>Operator</t>
        </is>
      </c>
      <c r="I18" s="101" t="n"/>
    </row>
    <row r="19" ht="23.1" customHeight="1">
      <c r="A19" s="96" t="inlineStr">
        <is>
          <t>LOW, June</t>
        </is>
      </c>
      <c r="B19" s="97" t="inlineStr">
        <is>
          <t>HSET</t>
        </is>
      </c>
      <c r="C19" s="102" t="n"/>
      <c r="D19" s="99" t="n"/>
      <c r="E19" s="99" t="n"/>
      <c r="F19" s="97" t="n"/>
      <c r="G19" s="100" t="inlineStr">
        <is>
          <t>O'Brian, Jamie</t>
        </is>
      </c>
      <c r="H19" s="97" t="inlineStr">
        <is>
          <t>Operator</t>
        </is>
      </c>
      <c r="I19" s="101" t="n">
        <v>10</v>
      </c>
    </row>
    <row r="20" ht="23.1" customHeight="1">
      <c r="A20" s="96" t="inlineStr">
        <is>
          <t>SKINNER,Jamie</t>
        </is>
      </c>
      <c r="B20" s="97" t="inlineStr">
        <is>
          <t>Supervisor</t>
        </is>
      </c>
      <c r="C20" s="102" t="n">
        <v>11.5</v>
      </c>
      <c r="D20" s="99" t="n"/>
      <c r="E20" s="99" t="n"/>
      <c r="F20" s="97" t="n"/>
      <c r="G20" s="100" t="inlineStr">
        <is>
          <t>O'Reilly,Sean</t>
        </is>
      </c>
      <c r="H20" s="97" t="inlineStr">
        <is>
          <t>Operator</t>
        </is>
      </c>
      <c r="I20" s="101" t="n">
        <v>5</v>
      </c>
    </row>
    <row r="21" ht="23.1" customHeight="1">
      <c r="A21" s="96" t="n"/>
      <c r="B21" s="97" t="n"/>
      <c r="C21" s="102" t="n"/>
      <c r="D21" s="99" t="n"/>
      <c r="E21" s="99" t="n"/>
      <c r="F21" s="97" t="n"/>
      <c r="G21" s="100" t="inlineStr">
        <is>
          <t>Chester, Matt</t>
        </is>
      </c>
      <c r="H21" s="97" t="inlineStr">
        <is>
          <t>Gas Fitter</t>
        </is>
      </c>
      <c r="I21" s="101" t="n"/>
    </row>
    <row r="22" ht="23.1" customHeight="1">
      <c r="A22" s="96" t="n"/>
      <c r="B22" s="97" t="n"/>
      <c r="C22" s="102" t="n"/>
      <c r="D22" s="99" t="n"/>
      <c r="E22" s="99" t="n"/>
      <c r="F22" s="97" t="n"/>
      <c r="G22" s="100" t="inlineStr">
        <is>
          <t>Mosley,Joshua</t>
        </is>
      </c>
      <c r="H22" s="97" t="inlineStr">
        <is>
          <t>Surveyor</t>
        </is>
      </c>
      <c r="I22" s="101" t="n"/>
    </row>
    <row r="23" ht="23.1" customHeight="1">
      <c r="A23" s="96" t="n"/>
      <c r="B23" s="97" t="n"/>
      <c r="C23" s="102" t="n"/>
      <c r="D23" s="99" t="n"/>
      <c r="E23" s="99" t="n"/>
      <c r="F23" s="97" t="n"/>
      <c r="G23" s="107" t="n"/>
      <c r="H23" s="107" t="n"/>
      <c r="I23" s="107" t="n"/>
    </row>
    <row r="24" ht="23.1" customHeight="1">
      <c r="A24" s="96" t="n"/>
      <c r="B24" s="97" t="n"/>
      <c r="C24" s="102" t="n"/>
      <c r="D24" s="99" t="n"/>
      <c r="E24" s="99" t="n"/>
      <c r="F24" s="97" t="n"/>
      <c r="G24" s="107" t="n"/>
      <c r="H24" s="107" t="n"/>
      <c r="I24" s="107" t="n"/>
    </row>
    <row r="25" ht="23.1" customHeight="1">
      <c r="A25" s="96" t="n"/>
      <c r="B25" s="97" t="n"/>
      <c r="C25" s="102" t="n"/>
      <c r="D25" s="99" t="n"/>
      <c r="E25" s="99" t="n"/>
      <c r="F25" s="97" t="n"/>
      <c r="G25" s="107" t="n"/>
      <c r="H25" s="107" t="n"/>
      <c r="I25" s="107" t="n"/>
    </row>
    <row r="26" ht="23.1" customHeight="1">
      <c r="A26" s="255" t="inlineStr">
        <is>
          <t xml:space="preserve">Total Indirect Personnel onsite: </t>
        </is>
      </c>
      <c r="B26" s="105">
        <f>COUNT(C15:C26)</f>
        <v/>
      </c>
      <c r="C26" s="99" t="n"/>
      <c r="D26" s="99" t="n"/>
      <c r="E26" s="99" t="n"/>
      <c r="F26" s="97" t="n"/>
      <c r="G26" s="106" t="inlineStr">
        <is>
          <t>Total Subcontractor on-site:</t>
        </is>
      </c>
      <c r="H26" s="107">
        <f>COUNTIF(I15:I24,"&gt;0")</f>
        <v/>
      </c>
      <c r="I26" s="101" t="n"/>
    </row>
    <row r="27" ht="23.1" customHeight="1">
      <c r="A27" s="255" t="inlineStr">
        <is>
          <t xml:space="preserve">Total Indirect Personnel hours: </t>
        </is>
      </c>
      <c r="B27" s="105">
        <f>SUM(C15:C25)</f>
        <v/>
      </c>
      <c r="C27" s="102" t="n"/>
      <c r="D27" s="99" t="n"/>
      <c r="E27" s="99" t="n"/>
      <c r="F27" s="97" t="n"/>
      <c r="G27" s="106" t="inlineStr">
        <is>
          <t>Total Subcontractor hours:</t>
        </is>
      </c>
      <c r="H27" s="107">
        <f>SUM(I15:I24)</f>
        <v/>
      </c>
      <c r="I27" s="101" t="n"/>
    </row>
    <row r="28" ht="23.1" customHeight="1">
      <c r="A28" s="255" t="inlineStr">
        <is>
          <t xml:space="preserve">Total Direct Personnel onsite:  </t>
        </is>
      </c>
      <c r="B28" s="105">
        <f>COUNTIF(F15:F29,"&gt;0")</f>
        <v/>
      </c>
      <c r="C28" s="105" t="n"/>
      <c r="D28" s="99" t="n"/>
      <c r="E28" s="99" t="n"/>
      <c r="F28" s="108" t="n"/>
      <c r="G28" s="106" t="n"/>
      <c r="H28" s="107" t="n"/>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2</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6 Wheel Tipper</t>
        </is>
      </c>
      <c r="E33" s="102" t="inlineStr">
        <is>
          <t>AMG04</t>
        </is>
      </c>
      <c r="F33" s="102" t="n"/>
      <c r="G33" s="102" t="inlineStr">
        <is>
          <t>Sea Container 20ft</t>
        </is>
      </c>
      <c r="H33" s="97" t="n">
        <v>951200</v>
      </c>
      <c r="I33" s="101" t="n">
        <v>1</v>
      </c>
    </row>
    <row r="34" ht="23.1" customHeight="1">
      <c r="A34" s="115" t="inlineStr">
        <is>
          <t>Positrak</t>
        </is>
      </c>
      <c r="B34" s="102" t="inlineStr">
        <is>
          <t>AMG 025</t>
        </is>
      </c>
      <c r="C34" s="97" t="n"/>
      <c r="D34" s="102" t="n"/>
      <c r="E34" s="97" t="n"/>
      <c r="F34" s="102" t="n"/>
      <c r="G34" s="102" t="inlineStr">
        <is>
          <t>Site Sentry Tower</t>
        </is>
      </c>
      <c r="H34" s="102" t="n"/>
      <c r="I34" s="101" t="n">
        <v>2</v>
      </c>
    </row>
    <row r="35" ht="23.1" customHeight="1">
      <c r="A35" s="115" t="inlineStr">
        <is>
          <t>Watercart</t>
        </is>
      </c>
      <c r="B35" s="102" t="inlineStr">
        <is>
          <t>WC04</t>
        </is>
      </c>
      <c r="C35" s="97" t="n">
        <v>4</v>
      </c>
      <c r="D35" s="102" t="n"/>
      <c r="E35" s="102" t="n"/>
      <c r="F35" s="102" t="n"/>
      <c r="G35" s="102" t="inlineStr">
        <is>
          <t>Skip Bin</t>
        </is>
      </c>
      <c r="H35" s="102" t="n"/>
      <c r="I35" s="101" t="n">
        <v>1</v>
      </c>
    </row>
    <row r="36" ht="23.1" customHeight="1">
      <c r="A36" s="115" t="inlineStr">
        <is>
          <t>8T Excavator</t>
        </is>
      </c>
      <c r="B36" s="116" t="inlineStr">
        <is>
          <t>AMG 014</t>
        </is>
      </c>
      <c r="C36" s="97" t="n"/>
      <c r="D36" s="102" t="n"/>
      <c r="E36" s="102" t="n"/>
      <c r="F36" s="102" t="n"/>
      <c r="G36" s="102" t="inlineStr">
        <is>
          <t>Hydrocarbon Bund</t>
        </is>
      </c>
      <c r="H36" s="102" t="n"/>
      <c r="I36" s="101" t="n">
        <v>1</v>
      </c>
    </row>
    <row r="37" ht="23.1" customHeight="1">
      <c r="A37" s="102" t="inlineStr">
        <is>
          <t>Mini Tipper</t>
        </is>
      </c>
      <c r="B37" s="102" t="inlineStr">
        <is>
          <t>SLS05</t>
        </is>
      </c>
      <c r="C37" s="102" t="n">
        <v>2</v>
      </c>
      <c r="D37" s="102" t="n"/>
      <c r="E37" s="102" t="n"/>
      <c r="F37" s="102" t="n"/>
      <c r="G37" s="102" t="inlineStr">
        <is>
          <t>Temp Fence</t>
        </is>
      </c>
      <c r="H37" s="97" t="n"/>
      <c r="I37" s="101" t="n">
        <v>1</v>
      </c>
    </row>
    <row r="38" ht="24" customHeight="1">
      <c r="A38" s="150" t="inlineStr">
        <is>
          <t>1 t Excavator</t>
        </is>
      </c>
      <c r="B38" s="102" t="inlineStr">
        <is>
          <t>SLS03</t>
        </is>
      </c>
      <c r="C38" s="102" t="n">
        <v>2</v>
      </c>
      <c r="D38" s="102" t="n"/>
      <c r="E38" s="102" t="n"/>
      <c r="F38" s="102" t="n"/>
      <c r="G38" s="31" t="n"/>
      <c r="H38" s="31" t="n"/>
      <c r="I38" s="32" t="n"/>
    </row>
    <row r="39" ht="24" customHeight="1">
      <c r="A39" s="115" t="inlineStr">
        <is>
          <t>Padfoot/ Smooth Drum Roller</t>
        </is>
      </c>
      <c r="B39" s="102" t="inlineStr">
        <is>
          <t>RR 03</t>
        </is>
      </c>
      <c r="C39" s="97" t="n">
        <v>4</v>
      </c>
      <c r="D39" s="102" t="n"/>
      <c r="E39" s="102" t="n"/>
      <c r="F39" s="102" t="n"/>
      <c r="G39" s="31" t="n"/>
      <c r="H39" s="31" t="n"/>
      <c r="I39" s="32" t="n"/>
    </row>
    <row r="40" ht="24" customHeight="1">
      <c r="A40" s="115" t="inlineStr">
        <is>
          <t>Multi</t>
        </is>
      </c>
      <c r="B40" s="102" t="n">
        <v>256</v>
      </c>
      <c r="C40" s="97" t="n">
        <v>4</v>
      </c>
      <c r="D40" s="102" t="n"/>
      <c r="E40" s="102" t="n"/>
      <c r="F40" s="102" t="n"/>
      <c r="G40" s="31" t="n"/>
      <c r="H40" s="31" t="n"/>
      <c r="I40" s="32" t="n"/>
    </row>
    <row r="41" ht="24" customHeight="1">
      <c r="A41" s="115" t="inlineStr">
        <is>
          <t>Positrak SSL</t>
        </is>
      </c>
      <c r="B41" s="102" t="inlineStr">
        <is>
          <t>SSL08</t>
        </is>
      </c>
      <c r="C41" s="97" t="n">
        <v>7</v>
      </c>
      <c r="D41" s="102" t="n"/>
      <c r="E41" s="102" t="n"/>
      <c r="F41" s="102" t="n"/>
      <c r="G41" s="31" t="n"/>
      <c r="H41" s="31" t="n"/>
      <c r="I41" s="32" t="n"/>
    </row>
    <row r="42" ht="24" customHeight="1">
      <c r="A42" s="115" t="inlineStr">
        <is>
          <t>Grader</t>
        </is>
      </c>
      <c r="B42" s="102" t="inlineStr">
        <is>
          <t>SLS01</t>
        </is>
      </c>
      <c r="C42" s="97" t="n">
        <v>6</v>
      </c>
      <c r="D42" s="102" t="n"/>
      <c r="E42" s="102" t="n"/>
      <c r="F42" s="102" t="n"/>
      <c r="G42" s="31" t="n"/>
      <c r="H42" s="31" t="n"/>
      <c r="I42" s="32" t="n"/>
    </row>
    <row r="43" ht="23.1" customHeight="1">
      <c r="A43" s="115" t="inlineStr">
        <is>
          <t>5t Excavator</t>
        </is>
      </c>
      <c r="B43" s="102" t="inlineStr">
        <is>
          <t>AMG 007</t>
        </is>
      </c>
      <c r="C43" s="97" t="n">
        <v>5</v>
      </c>
      <c r="D43" s="102" t="n"/>
      <c r="E43" s="102" t="n"/>
      <c r="F43" s="102" t="n"/>
      <c r="G43" s="102" t="n"/>
      <c r="H43" s="97" t="n"/>
      <c r="I43" s="101" t="n"/>
    </row>
    <row r="44" ht="23.1" customHeight="1">
      <c r="A44" s="115" t="inlineStr">
        <is>
          <t>1.5 Excavator</t>
        </is>
      </c>
      <c r="B44" s="102" t="inlineStr">
        <is>
          <t>AMG 009</t>
        </is>
      </c>
      <c r="C44" s="97" t="n">
        <v>3</v>
      </c>
      <c r="D44" s="102" t="n"/>
      <c r="E44" s="102" t="n"/>
      <c r="F44" s="102" t="n"/>
      <c r="G44" s="102" t="n"/>
      <c r="H44" s="97" t="n"/>
      <c r="I44" s="101" t="n"/>
    </row>
    <row r="45" ht="24" customHeight="1">
      <c r="A45" s="115" t="n"/>
      <c r="B45" s="102" t="n"/>
      <c r="C45" s="97" t="n"/>
      <c r="D45" s="31" t="n"/>
      <c r="E45" s="31" t="n"/>
      <c r="F45" s="31" t="n"/>
      <c r="G45" s="31" t="n"/>
      <c r="H45" s="31" t="n"/>
      <c r="I45" s="32" t="n"/>
    </row>
    <row r="46" ht="18" customHeight="1">
      <c r="A46" s="117" t="n">
        <v>0</v>
      </c>
      <c r="B46" s="260" t="inlineStr">
        <is>
          <t xml:space="preserve">Repairs Required </t>
        </is>
      </c>
      <c r="C46" s="276" t="n"/>
      <c r="D46" s="249" t="inlineStr">
        <is>
          <t>N/A</t>
        </is>
      </c>
      <c r="E46" s="275" t="n"/>
      <c r="F46" s="275" t="n"/>
      <c r="G46" s="275" t="n"/>
      <c r="H46" s="275" t="n"/>
      <c r="I46" s="277" t="n"/>
    </row>
    <row r="47" ht="18" customHeight="1">
      <c r="A47" s="118" t="n">
        <v>0</v>
      </c>
      <c r="B47" s="260" t="inlineStr">
        <is>
          <t>Scheduled Service</t>
        </is>
      </c>
      <c r="C47" s="276" t="n"/>
      <c r="D47" s="249" t="inlineStr">
        <is>
          <t>N/A</t>
        </is>
      </c>
      <c r="E47" s="275" t="n"/>
      <c r="F47" s="275" t="n"/>
      <c r="G47" s="275" t="n"/>
      <c r="H47" s="275" t="n"/>
      <c r="I47" s="277" t="n"/>
    </row>
    <row r="48" ht="18" customHeight="1">
      <c r="A48" s="119" t="n">
        <v>0</v>
      </c>
      <c r="B48" s="260" t="inlineStr">
        <is>
          <t>Repairs required but operable</t>
        </is>
      </c>
      <c r="C48" s="276" t="n"/>
      <c r="D48" s="249" t="inlineStr">
        <is>
          <t>N/A</t>
        </is>
      </c>
      <c r="E48" s="275" t="n"/>
      <c r="F48" s="275" t="n"/>
      <c r="G48" s="275" t="n"/>
      <c r="H48" s="275" t="n"/>
      <c r="I48" s="277" t="n"/>
    </row>
    <row r="49" ht="23.1" customHeight="1">
      <c r="A49" s="255" t="inlineStr">
        <is>
          <t xml:space="preserve">Total Plant and Equipment Hours: </t>
        </is>
      </c>
      <c r="B49" s="276" t="n"/>
      <c r="C49" s="120">
        <f>SUM(C32:C45)</f>
        <v/>
      </c>
      <c r="D49" s="256" t="n"/>
      <c r="E49" s="275" t="n"/>
      <c r="F49" s="275" t="n"/>
      <c r="G49" s="275" t="n"/>
      <c r="H49" s="275" t="n"/>
      <c r="I49" s="277" t="n"/>
    </row>
    <row r="50" ht="24.95" customHeight="1">
      <c r="A50" s="245" t="inlineStr">
        <is>
          <t>DELAYS-OPPORTUNITY</t>
        </is>
      </c>
      <c r="B50" s="275" t="n"/>
      <c r="C50" s="275" t="n"/>
      <c r="D50" s="275" t="n"/>
      <c r="E50" s="275" t="n"/>
      <c r="F50" s="275" t="n"/>
      <c r="G50" s="275" t="n"/>
      <c r="H50" s="275" t="n"/>
      <c r="I50" s="277" t="n"/>
    </row>
    <row r="51" ht="20.1" customHeight="1">
      <c r="A51" s="121" t="n"/>
      <c r="B51" s="122" t="n"/>
      <c r="C51" s="122" t="n"/>
      <c r="D51" s="122" t="n"/>
      <c r="E51" s="122" t="n"/>
      <c r="F51" s="122" t="n"/>
      <c r="G51" s="122" t="n"/>
      <c r="H51" s="122" t="n"/>
      <c r="I51" s="123" t="n"/>
    </row>
    <row r="52" ht="15" customHeight="1" thickBot="1">
      <c r="A52" s="240" t="inlineStr">
        <is>
          <t>Awaiting Detail on Centrelink Carpark                             
Awaiting Crossing Details for Forrest Street                  
Awaiting Direction on Service Clash Forrest Street
Awaiting Feedback on Batters Treatment 
Awaiting Confirmation on Kerbing Design</t>
        </is>
      </c>
      <c r="B52" s="278" t="n"/>
      <c r="C52" s="278" t="n"/>
      <c r="D52" s="278" t="n"/>
      <c r="E52" s="278" t="n"/>
      <c r="F52" s="278" t="n"/>
      <c r="G52" s="278" t="n"/>
      <c r="H52" s="278" t="n"/>
      <c r="I52" s="279" t="n"/>
    </row>
    <row r="53">
      <c r="A53" s="270" t="n"/>
      <c r="I53" s="271" t="n"/>
    </row>
    <row r="54">
      <c r="A54" s="270" t="n"/>
      <c r="I54" s="271" t="n"/>
    </row>
    <row r="55" ht="84.59999999999999" customHeight="1" thickBot="1">
      <c r="A55" s="280" t="n"/>
      <c r="B55" s="281" t="n"/>
      <c r="C55" s="281" t="n"/>
      <c r="D55" s="281" t="n"/>
      <c r="E55" s="281" t="n"/>
      <c r="F55" s="281" t="n"/>
      <c r="G55" s="281" t="n"/>
      <c r="H55" s="281" t="n"/>
      <c r="I55" s="282" t="n"/>
    </row>
    <row r="56" ht="24.95" customHeight="1">
      <c r="A56" s="252" t="inlineStr">
        <is>
          <t>HSEQ MESSAGES</t>
        </is>
      </c>
      <c r="B56" s="283" t="n"/>
      <c r="C56" s="283" t="n"/>
      <c r="D56" s="283" t="n"/>
      <c r="E56" s="283" t="n"/>
      <c r="F56" s="283" t="n"/>
      <c r="G56" s="283" t="n"/>
      <c r="H56" s="283" t="n"/>
      <c r="I56" s="284" t="n"/>
    </row>
    <row r="57" ht="18" customHeight="1">
      <c r="A57" s="124" t="inlineStr">
        <is>
          <t>TCD - Monthly Safety Focus:</t>
        </is>
      </c>
      <c r="B57" s="257" t="inlineStr">
        <is>
          <t>Return to Work</t>
        </is>
      </c>
      <c r="C57" s="275" t="n"/>
      <c r="D57" s="275" t="n"/>
      <c r="E57" s="275" t="n"/>
      <c r="F57" s="275" t="n"/>
      <c r="G57" s="275" t="n"/>
      <c r="H57" s="275" t="n"/>
      <c r="I57" s="276" t="n"/>
    </row>
    <row r="58" ht="24" customHeight="1">
      <c r="A58" s="124" t="inlineStr">
        <is>
          <t>TCD - Daily Safety Focus:</t>
        </is>
      </c>
      <c r="B58" s="212" t="inlineStr">
        <is>
          <t>Heavy Vehicle Movements</t>
        </is>
      </c>
      <c r="C58" s="275" t="n"/>
      <c r="D58" s="275" t="n"/>
      <c r="E58" s="275" t="n"/>
      <c r="F58" s="275" t="n"/>
      <c r="G58" s="275" t="n"/>
      <c r="H58" s="275" t="n"/>
      <c r="I58" s="277" t="n"/>
    </row>
    <row r="59" ht="18" customHeight="1">
      <c r="A59" s="125" t="inlineStr">
        <is>
          <t xml:space="preserve">Hazards Reported: </t>
        </is>
      </c>
      <c r="B59" s="126" t="inlineStr">
        <is>
          <t>Nil</t>
        </is>
      </c>
      <c r="C59" s="258" t="n"/>
      <c r="D59" s="275" t="n"/>
      <c r="E59" s="275" t="n"/>
      <c r="F59" s="275" t="n"/>
      <c r="G59" s="275" t="n"/>
      <c r="H59" s="275" t="n"/>
      <c r="I59" s="277" t="n"/>
    </row>
    <row r="60" ht="18" customHeight="1">
      <c r="A60" s="125" t="inlineStr">
        <is>
          <t>Incident Free Days</t>
        </is>
      </c>
      <c r="B60" s="126" t="n">
        <v>2</v>
      </c>
      <c r="C60" s="257" t="n"/>
      <c r="D60" s="275" t="n"/>
      <c r="E60" s="275" t="n"/>
      <c r="F60" s="275" t="n"/>
      <c r="G60" s="275" t="n"/>
      <c r="H60" s="275" t="n"/>
      <c r="I60" s="276" t="n"/>
    </row>
    <row r="61" ht="18" customHeight="1">
      <c r="A61" s="127" t="inlineStr">
        <is>
          <t>Other Notes</t>
        </is>
      </c>
      <c r="B61" s="259" t="n"/>
      <c r="C61" s="278" t="n"/>
      <c r="D61" s="278" t="n"/>
      <c r="E61" s="278" t="n"/>
      <c r="F61" s="278" t="n"/>
      <c r="G61" s="278" t="n"/>
      <c r="H61" s="278" t="n"/>
      <c r="I61" s="279" t="n"/>
    </row>
    <row r="62" ht="20.25" customHeight="1">
      <c r="A62" s="245" t="inlineStr">
        <is>
          <t xml:space="preserve">INCIDENTS &amp; REPORTS </t>
        </is>
      </c>
      <c r="B62" s="275" t="n"/>
      <c r="C62" s="275" t="n"/>
      <c r="D62" s="275" t="n"/>
      <c r="E62" s="275" t="n"/>
      <c r="F62" s="275" t="n"/>
      <c r="G62" s="275" t="n"/>
      <c r="H62" s="275" t="n"/>
      <c r="I62" s="277" t="n"/>
    </row>
    <row r="63" ht="24.95" customHeight="1">
      <c r="A63" s="128" t="n"/>
      <c r="B63" s="263" t="inlineStr">
        <is>
          <t>QTY</t>
        </is>
      </c>
      <c r="C63" s="254" t="inlineStr">
        <is>
          <t>Comments</t>
        </is>
      </c>
      <c r="D63" s="275" t="n"/>
      <c r="E63" s="275" t="n"/>
      <c r="F63" s="275" t="n"/>
      <c r="G63" s="275" t="n"/>
      <c r="H63" s="275" t="n"/>
      <c r="I63" s="277" t="n"/>
    </row>
    <row r="64" ht="24.95" customHeight="1">
      <c r="A64" s="129" t="inlineStr">
        <is>
          <t>INCIDENT</t>
        </is>
      </c>
      <c r="B64" s="263" t="n">
        <v>0</v>
      </c>
      <c r="C64" s="249" t="inlineStr">
        <is>
          <t>NA</t>
        </is>
      </c>
      <c r="D64" s="275" t="n"/>
      <c r="E64" s="275" t="n"/>
      <c r="F64" s="275" t="n"/>
      <c r="G64" s="275" t="n"/>
      <c r="H64" s="275" t="n"/>
      <c r="I64" s="277" t="n"/>
    </row>
    <row r="65" ht="24.95" customHeight="1">
      <c r="A65" s="130" t="inlineStr">
        <is>
          <t>IR</t>
        </is>
      </c>
      <c r="B65" s="131" t="n">
        <v>0</v>
      </c>
      <c r="C65" s="250" t="inlineStr">
        <is>
          <t>NA</t>
        </is>
      </c>
      <c r="D65" s="278" t="n"/>
      <c r="E65" s="278" t="n"/>
      <c r="F65" s="278" t="n"/>
      <c r="G65" s="278" t="n"/>
      <c r="H65" s="278" t="n"/>
      <c r="I65" s="279" t="n"/>
    </row>
    <row r="66" ht="24.95" customHeight="1" thickBot="1">
      <c r="A66" s="132" t="inlineStr">
        <is>
          <t>NCR</t>
        </is>
      </c>
      <c r="B66" s="133" t="n">
        <v>0</v>
      </c>
      <c r="C66" s="251" t="inlineStr">
        <is>
          <t>NA</t>
        </is>
      </c>
      <c r="D66" s="285" t="n"/>
      <c r="E66" s="285" t="n"/>
      <c r="F66" s="285" t="n"/>
      <c r="G66" s="285" t="n"/>
      <c r="H66" s="285" t="n"/>
      <c r="I66" s="286" t="n"/>
    </row>
    <row r="67" ht="20.25" customHeight="1">
      <c r="A67" s="252" t="inlineStr">
        <is>
          <t>COMMUNICATIONS</t>
        </is>
      </c>
      <c r="B67" s="283" t="n"/>
      <c r="C67" s="283" t="n"/>
      <c r="D67" s="283" t="n"/>
      <c r="E67" s="283" t="n"/>
      <c r="F67" s="283" t="n"/>
      <c r="G67" s="283" t="n"/>
      <c r="H67" s="283" t="n"/>
      <c r="I67" s="284" t="n"/>
    </row>
    <row r="68" ht="24.95" customHeight="1">
      <c r="A68" s="253" t="inlineStr">
        <is>
          <t>TGS MB1119-05 Scheme D impletmented</t>
        </is>
      </c>
      <c r="B68" s="275" t="n"/>
      <c r="C68" s="275" t="n"/>
      <c r="D68" s="275" t="n"/>
      <c r="E68" s="275" t="n"/>
      <c r="F68" s="275" t="n"/>
      <c r="G68" s="275" t="n"/>
      <c r="H68" s="275" t="n"/>
      <c r="I68" s="277" t="n"/>
    </row>
    <row r="69" ht="24.95" customHeight="1">
      <c r="A69" s="253" t="n"/>
      <c r="B69" s="275" t="n"/>
      <c r="C69" s="275" t="n"/>
      <c r="D69" s="275" t="n"/>
      <c r="E69" s="275" t="n"/>
      <c r="F69" s="275" t="n"/>
      <c r="G69" s="275" t="n"/>
      <c r="H69" s="275" t="n"/>
      <c r="I69" s="277" t="n"/>
    </row>
    <row r="70" ht="24.95" customHeight="1">
      <c r="A70" s="245" t="inlineStr">
        <is>
          <t>PRODUCTION (CONSTRUCTION STATUS &amp; PROGRESS)</t>
        </is>
      </c>
      <c r="B70" s="275" t="n"/>
      <c r="C70" s="275" t="n"/>
      <c r="D70" s="275" t="n"/>
      <c r="E70" s="275" t="n"/>
      <c r="F70" s="275" t="n"/>
      <c r="G70" s="275" t="n"/>
      <c r="H70" s="275" t="n"/>
      <c r="I70" s="277" t="n"/>
    </row>
    <row r="71" ht="24.95" customHeight="1">
      <c r="A71" s="66" t="inlineStr">
        <is>
          <t>Pushing/Balancing Base-course @Chambers</t>
        </is>
      </c>
      <c r="B71" s="135" t="n"/>
      <c r="C71" s="79" t="n"/>
      <c r="D71" s="79" t="n"/>
      <c r="E71" s="135" t="n"/>
      <c r="F71" s="135" t="n"/>
      <c r="G71" s="135" t="n"/>
      <c r="H71" s="135" t="n"/>
      <c r="I71" s="136" t="n"/>
    </row>
    <row r="72" ht="24.95" customHeight="1">
      <c r="A72" s="66" t="inlineStr">
        <is>
          <t>Soil test@Chambers BC</t>
        </is>
      </c>
      <c r="B72" s="135" t="n"/>
      <c r="C72" s="79" t="n"/>
      <c r="D72" s="79" t="n"/>
      <c r="E72" s="135" t="n"/>
      <c r="F72" s="135" t="n"/>
      <c r="G72" s="135" t="n"/>
      <c r="H72" s="135" t="n"/>
      <c r="I72" s="136" t="n"/>
    </row>
    <row r="73" ht="24.95" customHeight="1">
      <c r="A73" s="66" t="inlineStr">
        <is>
          <t>Balancing verges Lot-117 to 106</t>
        </is>
      </c>
      <c r="B73" s="135" t="n"/>
      <c r="C73" s="79" t="n"/>
      <c r="D73" s="135" t="n"/>
      <c r="E73" s="135" t="n"/>
      <c r="F73" s="135" t="n"/>
      <c r="G73" s="135" t="n"/>
      <c r="H73" s="135" t="n"/>
      <c r="I73" s="136" t="n"/>
    </row>
    <row r="74" ht="24.95" customHeight="1">
      <c r="A74" s="66" t="inlineStr">
        <is>
          <t>Hauling LV Cable @Bayly street</t>
        </is>
      </c>
      <c r="B74" s="135" t="n"/>
      <c r="C74" s="79" t="n"/>
      <c r="D74" s="135" t="n"/>
      <c r="E74" s="135" t="n"/>
      <c r="F74" s="135" t="n"/>
      <c r="G74" s="135" t="n"/>
      <c r="H74" s="135" t="n"/>
      <c r="I74" s="136" t="n"/>
    </row>
    <row r="75" ht="26.1" customHeight="1" thickBot="1">
      <c r="A75" s="246" t="inlineStr">
        <is>
          <t>Photos</t>
        </is>
      </c>
      <c r="B75" s="278" t="n"/>
      <c r="C75" s="278" t="n"/>
      <c r="D75" s="278" t="n"/>
      <c r="E75" s="278" t="n"/>
      <c r="F75" s="278" t="n"/>
      <c r="G75" s="278" t="n"/>
      <c r="H75" s="278" t="n"/>
      <c r="I75" s="279" t="n"/>
    </row>
    <row r="76" ht="23.1" customHeight="1">
      <c r="A76" s="137" t="n"/>
      <c r="B76" s="138" t="n"/>
      <c r="C76" s="138" t="n"/>
      <c r="D76" s="138" t="n"/>
      <c r="E76" s="138" t="n"/>
      <c r="F76" s="138" t="n"/>
      <c r="G76" s="138" t="n"/>
      <c r="H76" s="138" t="n"/>
      <c r="I76" s="139" t="n"/>
    </row>
    <row r="77" ht="23.1"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G96" s="141" t="n"/>
      <c r="H96" s="141" t="n"/>
      <c r="I96" s="142" t="n"/>
    </row>
    <row r="97" ht="15" customHeight="1">
      <c r="A97" s="140" t="n"/>
      <c r="B97" s="141" t="n"/>
      <c r="C97" s="141" t="n"/>
      <c r="D97" s="141" t="n"/>
      <c r="E97" s="141" t="n"/>
      <c r="F97" s="141" t="n"/>
      <c r="G97" s="141" t="n"/>
      <c r="H97" s="141" t="n"/>
      <c r="I97" s="142" t="n"/>
    </row>
    <row r="98" ht="15" customHeight="1">
      <c r="A98" s="140" t="n"/>
      <c r="B98" s="141" t="n"/>
      <c r="C98" s="141" t="n"/>
      <c r="D98" s="141" t="n"/>
      <c r="E98" s="141" t="n"/>
      <c r="F98" s="141" t="n"/>
      <c r="H98" s="141" t="n"/>
      <c r="I98" s="142" t="n"/>
    </row>
    <row r="99" ht="24.95" customFormat="1" customHeight="1" s="8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0" t="n"/>
      <c r="B112" s="141" t="n"/>
      <c r="C112" s="141" t="n"/>
      <c r="D112" s="141" t="n"/>
      <c r="E112" s="141" t="n"/>
      <c r="F112" s="141" t="n"/>
      <c r="G112" s="141" t="n"/>
      <c r="H112" s="141" t="n"/>
      <c r="I112" s="142" t="n"/>
    </row>
    <row r="113" ht="15" customHeight="1">
      <c r="A113" s="140" t="n"/>
      <c r="B113" s="141" t="n"/>
      <c r="C113" s="141" t="n"/>
      <c r="D113" s="141" t="n"/>
      <c r="E113" s="141" t="n"/>
      <c r="F113" s="141" t="n"/>
      <c r="G113" s="141" t="n"/>
      <c r="H113" s="141" t="n"/>
      <c r="I113" s="142" t="n"/>
    </row>
    <row r="114" ht="15" customHeight="1" thickBot="1">
      <c r="A114" s="143" t="n"/>
      <c r="B114" s="144" t="n"/>
      <c r="C114" s="144" t="n"/>
      <c r="D114" s="144" t="n"/>
      <c r="E114" s="144" t="n"/>
      <c r="F114" s="144" t="n"/>
      <c r="G114" s="144" t="n"/>
      <c r="H114" s="144" t="n"/>
      <c r="I114" s="145"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15" customHeight="1">
      <c r="A121" s="140" t="n"/>
      <c r="B121" s="141" t="n"/>
      <c r="C121" s="141" t="n"/>
      <c r="D121" s="141" t="n"/>
      <c r="E121" s="141" t="n"/>
      <c r="F121" s="141" t="n"/>
      <c r="G121" s="141" t="n"/>
      <c r="H121" s="141" t="n"/>
      <c r="I121" s="142" t="n"/>
    </row>
    <row r="122" ht="15" customHeight="1">
      <c r="A122" s="140" t="n"/>
      <c r="B122" s="141" t="n"/>
      <c r="C122" s="141" t="n"/>
      <c r="D122" s="141" t="n"/>
      <c r="E122" s="141" t="n"/>
      <c r="F122" s="141" t="n"/>
      <c r="G122" s="141" t="n"/>
      <c r="H122" s="141" t="n"/>
      <c r="I122" s="142" t="n"/>
    </row>
    <row r="123" ht="24.95" customHeight="1">
      <c r="A123" s="140" t="n"/>
      <c r="B123" s="141" t="n"/>
      <c r="C123" s="141" t="n"/>
      <c r="D123" s="141" t="n"/>
      <c r="E123" s="141" t="n"/>
      <c r="F123" s="141" t="n"/>
      <c r="G123" s="141" t="n"/>
      <c r="H123" s="141" t="n"/>
      <c r="I123" s="142" t="n"/>
    </row>
    <row r="124" ht="15" customHeight="1">
      <c r="A124" s="140" t="n"/>
      <c r="B124" s="141" t="n"/>
      <c r="C124" s="141" t="n"/>
      <c r="D124" s="141" t="n"/>
      <c r="E124" s="141" t="n"/>
      <c r="F124" s="141" t="n"/>
      <c r="G124" s="141" t="n"/>
      <c r="H124" s="141" t="n"/>
      <c r="I124" s="142" t="n"/>
    </row>
    <row r="125" ht="15" customHeight="1">
      <c r="A125" s="140" t="n"/>
      <c r="B125" s="141" t="n"/>
      <c r="C125" s="141" t="n"/>
      <c r="D125" s="141" t="n"/>
      <c r="E125" s="141" t="n"/>
      <c r="F125" s="141" t="n"/>
      <c r="G125" s="141" t="n"/>
      <c r="H125" s="141" t="n"/>
      <c r="I125" s="142" t="n"/>
    </row>
    <row r="126" ht="27.9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row>
    <row r="138" ht="15" customHeight="1">
      <c r="A138" s="140" t="n"/>
      <c r="B138" s="141" t="n"/>
      <c r="C138" s="141" t="n"/>
      <c r="D138" s="141" t="n"/>
      <c r="E138" s="141" t="n"/>
      <c r="F138" s="141" t="n"/>
      <c r="G138" s="141" t="n"/>
      <c r="H138" s="141" t="n"/>
      <c r="I138" s="142" t="n"/>
    </row>
    <row r="139" ht="15" customHeight="1" thickBot="1">
      <c r="A139" s="140" t="n"/>
      <c r="B139" s="141" t="n"/>
      <c r="C139" s="141" t="n"/>
      <c r="D139" s="141" t="n"/>
      <c r="E139" s="141" t="n"/>
      <c r="F139" s="141" t="n"/>
      <c r="G139" s="141" t="n"/>
      <c r="H139" s="141" t="n"/>
      <c r="I139" s="142" t="n"/>
      <c r="J139" s="146"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 customHeight="1">
      <c r="A144" s="140" t="n"/>
      <c r="B144" s="141" t="n"/>
      <c r="C144" s="141" t="n"/>
      <c r="D144" s="141" t="n"/>
      <c r="E144" s="141" t="n"/>
      <c r="F144" s="141" t="n"/>
      <c r="G144" s="141" t="n"/>
      <c r="H144" s="141" t="n"/>
      <c r="I144" s="142" t="n"/>
    </row>
    <row r="145" ht="15" customHeight="1">
      <c r="A145" s="140" t="n"/>
      <c r="B145" s="141" t="n"/>
      <c r="C145" s="141" t="n"/>
      <c r="D145" s="141" t="n"/>
      <c r="E145" s="141" t="n"/>
      <c r="F145" s="141" t="n"/>
      <c r="G145" s="141" t="n"/>
      <c r="H145" s="141" t="n"/>
      <c r="I145" s="142" t="n"/>
    </row>
    <row r="146" ht="15.95" customHeight="1">
      <c r="A146" s="140" t="n"/>
      <c r="B146" s="141" t="n"/>
      <c r="C146" s="141" t="n"/>
      <c r="D146" s="141" t="n"/>
      <c r="E146" s="141" t="n"/>
      <c r="F146" s="141" t="n"/>
      <c r="G146" s="141" t="n"/>
      <c r="H146" s="141" t="n"/>
      <c r="I146" s="142" t="n"/>
    </row>
    <row r="147" ht="30.75" customHeight="1">
      <c r="A147" s="247" t="n"/>
      <c r="E147" s="248" t="n"/>
      <c r="I147" s="271"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A181" s="64" t="n"/>
      <c r="I181" s="65" t="n"/>
    </row>
    <row r="182">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c r="A200" s="64" t="n"/>
      <c r="I200" s="65" t="n"/>
    </row>
    <row r="201" ht="15.95" customHeight="1" thickBot="1">
      <c r="A201" s="59" t="n"/>
      <c r="B201" s="60" t="n"/>
      <c r="C201" s="60" t="n"/>
      <c r="D201" s="60" t="n"/>
      <c r="E201" s="60" t="n"/>
      <c r="F201" s="60" t="n"/>
      <c r="G201" s="60" t="n"/>
      <c r="H201" s="60" t="n"/>
      <c r="I201" s="61" t="n"/>
    </row>
    <row r="202">
      <c r="A202" s="64" t="n"/>
      <c r="I202" s="65" t="n"/>
    </row>
    <row r="203">
      <c r="A203" s="64" t="n"/>
      <c r="I203" s="65" t="n"/>
    </row>
    <row r="204">
      <c r="A204" s="64" t="n"/>
      <c r="I204" s="65" t="n"/>
    </row>
    <row r="205">
      <c r="A205" s="64" t="n"/>
      <c r="I205" s="65" t="n"/>
    </row>
    <row r="206">
      <c r="A206" s="64" t="n"/>
      <c r="I206" s="65" t="n"/>
    </row>
    <row r="207">
      <c r="A207" s="64" t="n"/>
      <c r="I207" s="65" t="n"/>
    </row>
    <row r="208" ht="15.95" customHeight="1" thickBot="1">
      <c r="A208" s="59" t="n"/>
      <c r="B208" s="60" t="n"/>
      <c r="C208" s="60" t="n"/>
      <c r="D208" s="60" t="n"/>
      <c r="E208" s="60" t="n"/>
      <c r="F208" s="60" t="n"/>
      <c r="G208" s="60" t="n"/>
      <c r="H208" s="60" t="n"/>
      <c r="I208" s="61" t="n"/>
    </row>
  </sheetData>
  <mergeCells count="40">
    <mergeCell ref="D49:I49"/>
    <mergeCell ref="B47:C47"/>
    <mergeCell ref="D13:F13"/>
    <mergeCell ref="G13:I13"/>
    <mergeCell ref="A75:I75"/>
    <mergeCell ref="B8:D8"/>
    <mergeCell ref="A49:B49"/>
    <mergeCell ref="B46:C46"/>
    <mergeCell ref="A147:D147"/>
    <mergeCell ref="A56:I56"/>
    <mergeCell ref="D48:I48"/>
    <mergeCell ref="A50:I50"/>
    <mergeCell ref="A12:I12"/>
    <mergeCell ref="D47:I47"/>
    <mergeCell ref="B58:I58"/>
    <mergeCell ref="C66:I66"/>
    <mergeCell ref="B48:C48"/>
    <mergeCell ref="A5:I5"/>
    <mergeCell ref="E147:I147"/>
    <mergeCell ref="B9:D9"/>
    <mergeCell ref="A52:I55"/>
    <mergeCell ref="B61:I61"/>
    <mergeCell ref="B57:I57"/>
    <mergeCell ref="B6:D6"/>
    <mergeCell ref="A62:I62"/>
    <mergeCell ref="A13:C13"/>
    <mergeCell ref="A68:I68"/>
    <mergeCell ref="A10:I10"/>
    <mergeCell ref="A1:I4"/>
    <mergeCell ref="C64:I64"/>
    <mergeCell ref="A67:I67"/>
    <mergeCell ref="B7:D7"/>
    <mergeCell ref="C63:I63"/>
    <mergeCell ref="C65:I65"/>
    <mergeCell ref="A11:I11"/>
    <mergeCell ref="D46:I46"/>
    <mergeCell ref="C59:I59"/>
    <mergeCell ref="A70:I70"/>
    <mergeCell ref="C60:I60"/>
    <mergeCell ref="A69:I69"/>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4" min="0" max="8" man="1"/>
  </rowBreaks>
</worksheet>
</file>

<file path=xl/worksheets/sheet21.xml><?xml version="1.0" encoding="utf-8"?>
<worksheet xmlns="http://schemas.openxmlformats.org/spreadsheetml/2006/main">
  <sheetPr>
    <outlinePr summaryBelow="1" summaryRight="1"/>
    <pageSetUpPr fitToPage="1"/>
  </sheetPr>
  <dimension ref="A1:J208"/>
  <sheetViews>
    <sheetView view="pageBreakPreview" topLeftCell="A25" zoomScale="60" zoomScaleNormal="55" workbookViewId="0">
      <selection activeCell="A69" sqref="A69:I69"/>
    </sheetView>
  </sheetViews>
  <sheetFormatPr baseColWidth="8" defaultColWidth="9.140625" defaultRowHeight="14.4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45892</v>
      </c>
    </row>
    <row r="7" ht="23.1" customHeight="1">
      <c r="A7" s="82" t="inlineStr">
        <is>
          <t>Project Location:</t>
        </is>
      </c>
      <c r="B7" s="267" t="inlineStr">
        <is>
          <t>Geraldton</t>
        </is>
      </c>
      <c r="E7" s="267" t="n"/>
      <c r="F7" s="84" t="n"/>
      <c r="G7" s="84" t="n"/>
      <c r="H7" s="87" t="inlineStr">
        <is>
          <t>Day:</t>
        </is>
      </c>
      <c r="I7" s="88" t="inlineStr">
        <is>
          <t>Saturday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89</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19 degrees    Wind: 54 km/h NW Precip: 0.4mm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10</v>
      </c>
      <c r="G15" s="100" t="inlineStr">
        <is>
          <t>Khegan Brockman</t>
        </is>
      </c>
      <c r="H15" s="97" t="inlineStr">
        <is>
          <t>Labourer</t>
        </is>
      </c>
      <c r="I15" s="101" t="n"/>
    </row>
    <row r="16" ht="23.1" customHeight="1">
      <c r="A16" s="96" t="inlineStr">
        <is>
          <t>GRIFFITHS, Daniel</t>
        </is>
      </c>
      <c r="B16" s="97" t="inlineStr">
        <is>
          <t>Project Manager</t>
        </is>
      </c>
      <c r="C16" s="102" t="n">
        <v>10</v>
      </c>
      <c r="D16" s="100" t="inlineStr">
        <is>
          <t>Hanly,Thomas</t>
        </is>
      </c>
      <c r="E16" s="97" t="inlineStr">
        <is>
          <t>Operator</t>
        </is>
      </c>
      <c r="F16" s="97" t="n">
        <v>10</v>
      </c>
      <c r="G16" s="100" t="inlineStr">
        <is>
          <t>Laurent Levy</t>
        </is>
      </c>
      <c r="H16" s="97" t="inlineStr">
        <is>
          <t>Operator</t>
        </is>
      </c>
      <c r="I16" s="101" t="n">
        <v>10</v>
      </c>
    </row>
    <row r="17" ht="23.1" customHeight="1">
      <c r="A17" s="96" t="inlineStr">
        <is>
          <t>O"SHEA, John</t>
        </is>
      </c>
      <c r="B17" s="97" t="inlineStr">
        <is>
          <t>Senior Project Engineer</t>
        </is>
      </c>
      <c r="C17" s="102" t="n"/>
      <c r="D17" s="103" t="n"/>
      <c r="E17" s="103" t="n"/>
      <c r="F17" s="97" t="n"/>
      <c r="G17" s="100" t="inlineStr">
        <is>
          <t>Daniel McAuffile</t>
        </is>
      </c>
      <c r="H17" s="97" t="inlineStr">
        <is>
          <t>Operator</t>
        </is>
      </c>
      <c r="I17" s="101" t="n"/>
    </row>
    <row r="18" ht="23.1" customHeight="1">
      <c r="A18" s="96" t="inlineStr">
        <is>
          <t>GRIFFITHS, Ashley</t>
        </is>
      </c>
      <c r="B18" s="97" t="inlineStr">
        <is>
          <t>Supervisor</t>
        </is>
      </c>
      <c r="C18" s="102" t="n">
        <v>10</v>
      </c>
      <c r="D18" s="99" t="n"/>
      <c r="E18" s="99" t="n"/>
      <c r="F18" s="97" t="n"/>
      <c r="G18" s="100" t="inlineStr">
        <is>
          <t>Jachai Griffiths</t>
        </is>
      </c>
      <c r="H18" s="97" t="inlineStr">
        <is>
          <t>Operator</t>
        </is>
      </c>
      <c r="I18" s="101" t="n"/>
    </row>
    <row r="19" ht="23.1" customHeight="1">
      <c r="A19" s="96" t="inlineStr">
        <is>
          <t>LOW, June</t>
        </is>
      </c>
      <c r="B19" s="97" t="inlineStr">
        <is>
          <t>HSET</t>
        </is>
      </c>
      <c r="C19" s="102" t="n"/>
      <c r="D19" s="99" t="n"/>
      <c r="E19" s="99" t="n"/>
      <c r="F19" s="97" t="n"/>
      <c r="G19" s="100" t="inlineStr">
        <is>
          <t>O'Brian, Jamie</t>
        </is>
      </c>
      <c r="H19" s="97" t="inlineStr">
        <is>
          <t>Operator</t>
        </is>
      </c>
      <c r="I19" s="101" t="n"/>
    </row>
    <row r="20" ht="23.1" customHeight="1">
      <c r="A20" s="96" t="inlineStr">
        <is>
          <t>SKINNER,Jamie</t>
        </is>
      </c>
      <c r="B20" s="97" t="inlineStr">
        <is>
          <t>Supervisor</t>
        </is>
      </c>
      <c r="C20" s="102" t="n"/>
      <c r="D20" s="99" t="n"/>
      <c r="E20" s="99" t="n"/>
      <c r="F20" s="97" t="n"/>
      <c r="G20" s="100" t="inlineStr">
        <is>
          <t>O'Reilly,James</t>
        </is>
      </c>
      <c r="H20" s="97" t="inlineStr">
        <is>
          <t>Operator</t>
        </is>
      </c>
      <c r="I20" s="101" t="n"/>
    </row>
    <row r="21" ht="23.1" customHeight="1">
      <c r="A21" s="96" t="n"/>
      <c r="B21" s="97" t="n"/>
      <c r="C21" s="102" t="n"/>
      <c r="D21" s="99" t="n"/>
      <c r="E21" s="99" t="n"/>
      <c r="F21" s="97" t="n"/>
      <c r="G21" s="100" t="inlineStr">
        <is>
          <t>Chester, Matt</t>
        </is>
      </c>
      <c r="H21" s="97" t="inlineStr">
        <is>
          <t>Gas Fitter</t>
        </is>
      </c>
      <c r="I21" s="101" t="n"/>
    </row>
    <row r="22" ht="23.1" customHeight="1">
      <c r="A22" s="96" t="n"/>
      <c r="B22" s="97" t="n"/>
      <c r="C22" s="102" t="n"/>
      <c r="D22" s="99" t="n"/>
      <c r="E22" s="99" t="n"/>
      <c r="F22" s="97" t="n"/>
      <c r="G22" s="100" t="inlineStr">
        <is>
          <t>Mounsey, Matt</t>
        </is>
      </c>
      <c r="H22" s="97" t="inlineStr">
        <is>
          <t>Gas Fitter</t>
        </is>
      </c>
      <c r="I22" s="101" t="n"/>
    </row>
    <row r="23" ht="23.1" customHeight="1">
      <c r="A23" s="96" t="n"/>
      <c r="B23" s="97" t="n"/>
      <c r="C23" s="102" t="n"/>
      <c r="D23" s="99" t="n"/>
      <c r="E23" s="99" t="n"/>
      <c r="F23" s="97" t="n"/>
      <c r="G23" s="100" t="inlineStr">
        <is>
          <t>Herring, Levin</t>
        </is>
      </c>
      <c r="H23" s="97" t="inlineStr">
        <is>
          <t>Gas Fitter</t>
        </is>
      </c>
      <c r="I23" s="101" t="n"/>
    </row>
    <row r="24" ht="23.1" customHeight="1">
      <c r="A24" s="96" t="n"/>
      <c r="B24" s="97" t="n"/>
      <c r="C24" s="102" t="n"/>
      <c r="D24" s="99" t="n"/>
      <c r="E24" s="99" t="n"/>
      <c r="F24" s="97" t="n"/>
      <c r="G24" s="100" t="inlineStr">
        <is>
          <t>Mosley,Joshua</t>
        </is>
      </c>
      <c r="H24" s="97" t="inlineStr">
        <is>
          <t>Surveyor</t>
        </is>
      </c>
      <c r="I24" s="101" t="n"/>
    </row>
    <row r="25" ht="23.1" customHeight="1">
      <c r="A25" s="96" t="n"/>
      <c r="B25" s="97" t="n"/>
      <c r="C25" s="102" t="n"/>
      <c r="D25" s="99" t="n"/>
      <c r="E25" s="99" t="n"/>
      <c r="F25" s="97" t="n"/>
      <c r="G25" s="151" t="n"/>
      <c r="H25" s="151" t="n"/>
      <c r="I25" s="107" t="n"/>
    </row>
    <row r="26" ht="23.1" customHeight="1">
      <c r="A26" s="255" t="inlineStr">
        <is>
          <t xml:space="preserve">Total Indirect Personnel onsite: </t>
        </is>
      </c>
      <c r="B26" s="105">
        <f>COUNT(C15:C26)</f>
        <v/>
      </c>
      <c r="C26" s="99" t="n"/>
      <c r="D26" s="99" t="n"/>
      <c r="E26" s="99" t="n"/>
      <c r="F26" s="97" t="n"/>
      <c r="G26" s="152" t="n"/>
      <c r="H26" s="151" t="n"/>
      <c r="I26" s="101" t="n"/>
    </row>
    <row r="27" ht="23.1" customHeight="1">
      <c r="A27" s="255" t="inlineStr">
        <is>
          <t xml:space="preserve">Total Indirect Personnel hours: </t>
        </is>
      </c>
      <c r="B27" s="105">
        <f>SUM(C15:C25)</f>
        <v/>
      </c>
      <c r="C27" s="102" t="n"/>
      <c r="D27" s="99" t="n"/>
      <c r="E27" s="99" t="n"/>
      <c r="F27" s="97" t="n"/>
      <c r="G27" s="106" t="inlineStr">
        <is>
          <t>Total Subcontractor on-site:</t>
        </is>
      </c>
      <c r="H27" s="107" t="n">
        <v>3</v>
      </c>
      <c r="I27" s="101" t="n"/>
    </row>
    <row r="28" ht="23.1" customHeight="1">
      <c r="A28" s="255" t="inlineStr">
        <is>
          <t xml:space="preserve">Total Direct Personnel onsite:  </t>
        </is>
      </c>
      <c r="B28" s="105">
        <f>COUNTIF(F15:F29,"&gt;0")</f>
        <v/>
      </c>
      <c r="C28" s="105" t="n"/>
      <c r="D28" s="99" t="n"/>
      <c r="E28" s="99" t="n"/>
      <c r="F28" s="108" t="n"/>
      <c r="G28" s="106" t="inlineStr">
        <is>
          <t>Total Subcontractor hours:</t>
        </is>
      </c>
      <c r="H28" s="107" t="n">
        <v>27</v>
      </c>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4</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6 Wheel Tipper</t>
        </is>
      </c>
      <c r="E33" s="102" t="inlineStr">
        <is>
          <t>AMG04</t>
        </is>
      </c>
      <c r="F33" s="102" t="n"/>
      <c r="G33" s="102" t="inlineStr">
        <is>
          <t>Sea Container 20ft</t>
        </is>
      </c>
      <c r="H33" s="97" t="n">
        <v>951200</v>
      </c>
      <c r="I33" s="101" t="n">
        <v>1</v>
      </c>
    </row>
    <row r="34" ht="23.1" customHeight="1">
      <c r="A34" s="115" t="inlineStr">
        <is>
          <t>Positrak</t>
        </is>
      </c>
      <c r="B34" s="102" t="inlineStr">
        <is>
          <t>AMG 025</t>
        </is>
      </c>
      <c r="C34" s="97" t="n">
        <v>4</v>
      </c>
      <c r="D34" s="102" t="n"/>
      <c r="E34" s="97" t="n"/>
      <c r="F34" s="102" t="n"/>
      <c r="G34" s="102" t="inlineStr">
        <is>
          <t>Site Sentry Tower</t>
        </is>
      </c>
      <c r="H34" s="102" t="n"/>
      <c r="I34" s="101" t="n">
        <v>2</v>
      </c>
    </row>
    <row r="35" ht="23.1" customHeight="1">
      <c r="A35" s="115" t="inlineStr">
        <is>
          <t>Watercart</t>
        </is>
      </c>
      <c r="B35" s="102" t="inlineStr">
        <is>
          <t>WC04</t>
        </is>
      </c>
      <c r="C35" s="97" t="n"/>
      <c r="D35" s="102" t="n"/>
      <c r="E35" s="102" t="n"/>
      <c r="F35" s="102" t="n"/>
      <c r="G35" s="102" t="inlineStr">
        <is>
          <t>Skip Bin</t>
        </is>
      </c>
      <c r="H35" s="102" t="n"/>
      <c r="I35" s="101" t="n">
        <v>1</v>
      </c>
    </row>
    <row r="36" ht="23.1" customHeight="1">
      <c r="A36" s="115" t="inlineStr">
        <is>
          <t>8T Excavator</t>
        </is>
      </c>
      <c r="B36" s="116" t="inlineStr">
        <is>
          <t>AMG 014</t>
        </is>
      </c>
      <c r="C36" s="97" t="n"/>
      <c r="D36" s="102" t="n"/>
      <c r="E36" s="102" t="n"/>
      <c r="F36" s="102" t="n"/>
      <c r="G36" s="102" t="inlineStr">
        <is>
          <t>Hydrocarbon Bund</t>
        </is>
      </c>
      <c r="H36" s="102" t="n"/>
      <c r="I36" s="101" t="n">
        <v>1</v>
      </c>
    </row>
    <row r="37" ht="23.1" customHeight="1">
      <c r="A37" s="102" t="inlineStr">
        <is>
          <t>Mini Tipper</t>
        </is>
      </c>
      <c r="B37" s="102" t="inlineStr">
        <is>
          <t>SLS05</t>
        </is>
      </c>
      <c r="C37" s="102" t="n">
        <v>4</v>
      </c>
      <c r="D37" s="102" t="n"/>
      <c r="E37" s="102" t="n"/>
      <c r="F37" s="102" t="n"/>
      <c r="G37" s="102" t="inlineStr">
        <is>
          <t>Temp Fence</t>
        </is>
      </c>
      <c r="H37" s="97" t="n"/>
      <c r="I37" s="101" t="n">
        <v>1</v>
      </c>
    </row>
    <row r="38" ht="24" customHeight="1">
      <c r="A38" s="150" t="inlineStr">
        <is>
          <t>1 t Excavator</t>
        </is>
      </c>
      <c r="B38" s="102" t="inlineStr">
        <is>
          <t>SLS03</t>
        </is>
      </c>
      <c r="C38" s="102" t="n"/>
      <c r="D38" s="102" t="n"/>
      <c r="E38" s="102" t="n"/>
      <c r="F38" s="102" t="n"/>
      <c r="G38" s="31" t="n"/>
      <c r="H38" s="31" t="n"/>
      <c r="I38" s="32" t="n"/>
    </row>
    <row r="39" ht="24" customHeight="1">
      <c r="A39" s="115" t="inlineStr">
        <is>
          <t>Padfoot/ Smooth Drum Roller</t>
        </is>
      </c>
      <c r="B39" s="102" t="inlineStr">
        <is>
          <t>RR 03</t>
        </is>
      </c>
      <c r="C39" s="97" t="n"/>
      <c r="D39" s="102" t="n"/>
      <c r="E39" s="102" t="n"/>
      <c r="F39" s="102" t="n"/>
      <c r="G39" s="31" t="n"/>
      <c r="H39" s="31" t="n"/>
      <c r="I39" s="32" t="n"/>
    </row>
    <row r="40" ht="24" customHeight="1">
      <c r="A40" s="115" t="inlineStr">
        <is>
          <t>Multi</t>
        </is>
      </c>
      <c r="B40" s="102" t="n">
        <v>256</v>
      </c>
      <c r="C40" s="97" t="n"/>
      <c r="D40" s="102" t="n"/>
      <c r="E40" s="102" t="n"/>
      <c r="F40" s="102" t="n"/>
      <c r="G40" s="31" t="n"/>
      <c r="H40" s="31" t="n"/>
      <c r="I40" s="32" t="n"/>
    </row>
    <row r="41" ht="24" customHeight="1">
      <c r="A41" s="115" t="inlineStr">
        <is>
          <t>Positrak SSL</t>
        </is>
      </c>
      <c r="B41" s="102" t="inlineStr">
        <is>
          <t>SSL08</t>
        </is>
      </c>
      <c r="C41" s="97" t="n">
        <v>5</v>
      </c>
      <c r="D41" s="102" t="n"/>
      <c r="E41" s="102" t="n"/>
      <c r="F41" s="102" t="n"/>
      <c r="G41" s="31" t="n"/>
      <c r="H41" s="31" t="n"/>
      <c r="I41" s="32" t="n"/>
    </row>
    <row r="42" ht="24" customHeight="1">
      <c r="A42" s="115" t="inlineStr">
        <is>
          <t>Grader</t>
        </is>
      </c>
      <c r="B42" s="102" t="inlineStr">
        <is>
          <t>SLS01</t>
        </is>
      </c>
      <c r="C42" s="97" t="n"/>
      <c r="D42" s="102" t="n"/>
      <c r="E42" s="102" t="n"/>
      <c r="F42" s="102" t="n"/>
      <c r="G42" s="31" t="n"/>
      <c r="H42" s="31" t="n"/>
      <c r="I42" s="32" t="n"/>
    </row>
    <row r="43" ht="23.1" customHeight="1">
      <c r="A43" s="115" t="inlineStr">
        <is>
          <t>5t Excavator</t>
        </is>
      </c>
      <c r="B43" s="102" t="inlineStr">
        <is>
          <t>AMG 007</t>
        </is>
      </c>
      <c r="C43" s="97" t="n"/>
      <c r="D43" s="102" t="n"/>
      <c r="E43" s="102" t="n"/>
      <c r="F43" s="102" t="n"/>
      <c r="G43" s="102" t="n"/>
      <c r="H43" s="97" t="n"/>
      <c r="I43" s="101" t="n"/>
    </row>
    <row r="44" ht="23.1" customHeight="1">
      <c r="A44" s="115" t="inlineStr">
        <is>
          <t>1.5 Excavator</t>
        </is>
      </c>
      <c r="B44" s="102" t="inlineStr">
        <is>
          <t>AMG 009</t>
        </is>
      </c>
      <c r="C44" s="97" t="n"/>
      <c r="D44" s="102" t="n"/>
      <c r="E44" s="102" t="n"/>
      <c r="F44" s="102" t="n"/>
      <c r="G44" s="102" t="n"/>
      <c r="H44" s="97" t="n"/>
      <c r="I44" s="101" t="n"/>
    </row>
    <row r="45" ht="24" customHeight="1">
      <c r="A45" s="115" t="n"/>
      <c r="B45" s="102" t="n"/>
      <c r="C45" s="97" t="n"/>
      <c r="D45" s="31" t="n"/>
      <c r="E45" s="31" t="n"/>
      <c r="F45" s="31" t="n"/>
      <c r="G45" s="31" t="n"/>
      <c r="H45" s="31" t="n"/>
      <c r="I45" s="32" t="n"/>
    </row>
    <row r="46" ht="18" customHeight="1">
      <c r="A46" s="117" t="n">
        <v>0</v>
      </c>
      <c r="B46" s="260" t="inlineStr">
        <is>
          <t xml:space="preserve">Repairs Required </t>
        </is>
      </c>
      <c r="C46" s="276" t="n"/>
      <c r="D46" s="249" t="inlineStr">
        <is>
          <t>N/A</t>
        </is>
      </c>
      <c r="E46" s="275" t="n"/>
      <c r="F46" s="275" t="n"/>
      <c r="G46" s="275" t="n"/>
      <c r="H46" s="275" t="n"/>
      <c r="I46" s="277" t="n"/>
    </row>
    <row r="47" ht="18" customHeight="1">
      <c r="A47" s="118" t="n">
        <v>0</v>
      </c>
      <c r="B47" s="260" t="inlineStr">
        <is>
          <t>Scheduled Service</t>
        </is>
      </c>
      <c r="C47" s="276" t="n"/>
      <c r="D47" s="249" t="inlineStr">
        <is>
          <t>N/A</t>
        </is>
      </c>
      <c r="E47" s="275" t="n"/>
      <c r="F47" s="275" t="n"/>
      <c r="G47" s="275" t="n"/>
      <c r="H47" s="275" t="n"/>
      <c r="I47" s="277" t="n"/>
    </row>
    <row r="48" ht="18" customHeight="1">
      <c r="A48" s="119" t="n">
        <v>0</v>
      </c>
      <c r="B48" s="260" t="inlineStr">
        <is>
          <t>Repairs required but operable</t>
        </is>
      </c>
      <c r="C48" s="276" t="n"/>
      <c r="D48" s="249" t="inlineStr">
        <is>
          <t>N/A</t>
        </is>
      </c>
      <c r="E48" s="275" t="n"/>
      <c r="F48" s="275" t="n"/>
      <c r="G48" s="275" t="n"/>
      <c r="H48" s="275" t="n"/>
      <c r="I48" s="277" t="n"/>
    </row>
    <row r="49" ht="23.1" customHeight="1">
      <c r="A49" s="255" t="inlineStr">
        <is>
          <t xml:space="preserve">Total Plant and Equipment Hours: </t>
        </is>
      </c>
      <c r="B49" s="276" t="n"/>
      <c r="C49" s="120">
        <f>SUM(C32:C45)</f>
        <v/>
      </c>
      <c r="D49" s="256" t="n"/>
      <c r="E49" s="275" t="n"/>
      <c r="F49" s="275" t="n"/>
      <c r="G49" s="275" t="n"/>
      <c r="H49" s="275" t="n"/>
      <c r="I49" s="277" t="n"/>
    </row>
    <row r="50" ht="24.95" customHeight="1">
      <c r="A50" s="245" t="inlineStr">
        <is>
          <t>DELAYS-OPPORTUNITY</t>
        </is>
      </c>
      <c r="B50" s="275" t="n"/>
      <c r="C50" s="275" t="n"/>
      <c r="D50" s="275" t="n"/>
      <c r="E50" s="275" t="n"/>
      <c r="F50" s="275" t="n"/>
      <c r="G50" s="275" t="n"/>
      <c r="H50" s="275" t="n"/>
      <c r="I50" s="277" t="n"/>
    </row>
    <row r="51" ht="20.1" customHeight="1">
      <c r="A51" s="121" t="n"/>
      <c r="B51" s="122" t="n"/>
      <c r="C51" s="122" t="n"/>
      <c r="D51" s="122" t="n"/>
      <c r="E51" s="122" t="n"/>
      <c r="F51" s="122" t="n"/>
      <c r="G51" s="122" t="n"/>
      <c r="H51" s="122" t="n"/>
      <c r="I51" s="123" t="n"/>
    </row>
    <row r="52" ht="15" customHeight="1" thickBot="1">
      <c r="A52" s="244" t="inlineStr">
        <is>
          <t xml:space="preserve">Awaiting COGG confirmation of detail on Centrelink Carpark                             
Awaiting Crossing Details for Forrest Street
Awaiting Direction on Service Clash Forrest Street
Awaiting Feedback on Batters Treatment </t>
        </is>
      </c>
      <c r="B52" s="278" t="n"/>
      <c r="C52" s="278" t="n"/>
      <c r="D52" s="278" t="n"/>
      <c r="E52" s="278" t="n"/>
      <c r="F52" s="278" t="n"/>
      <c r="G52" s="278" t="n"/>
      <c r="H52" s="278" t="n"/>
      <c r="I52" s="279" t="n"/>
    </row>
    <row r="53">
      <c r="A53" s="270" t="n"/>
      <c r="I53" s="271" t="n"/>
    </row>
    <row r="54">
      <c r="A54" s="270" t="n"/>
      <c r="I54" s="271" t="n"/>
    </row>
    <row r="55" ht="44.45" customHeight="1" thickBot="1">
      <c r="A55" s="280" t="n"/>
      <c r="B55" s="281" t="n"/>
      <c r="C55" s="281" t="n"/>
      <c r="D55" s="281" t="n"/>
      <c r="E55" s="281" t="n"/>
      <c r="F55" s="281" t="n"/>
      <c r="G55" s="281" t="n"/>
      <c r="H55" s="281" t="n"/>
      <c r="I55" s="282" t="n"/>
    </row>
    <row r="56" ht="24.95" customHeight="1">
      <c r="A56" s="252" t="inlineStr">
        <is>
          <t>HSEQ MESSAGES</t>
        </is>
      </c>
      <c r="B56" s="283" t="n"/>
      <c r="C56" s="283" t="n"/>
      <c r="D56" s="283" t="n"/>
      <c r="E56" s="283" t="n"/>
      <c r="F56" s="283" t="n"/>
      <c r="G56" s="283" t="n"/>
      <c r="H56" s="283" t="n"/>
      <c r="I56" s="284" t="n"/>
    </row>
    <row r="57" ht="18" customHeight="1">
      <c r="A57" s="124" t="inlineStr">
        <is>
          <t>TCD - Monthly Safety Focus:</t>
        </is>
      </c>
      <c r="B57" s="257" t="inlineStr">
        <is>
          <t>Return to Work</t>
        </is>
      </c>
      <c r="C57" s="275" t="n"/>
      <c r="D57" s="275" t="n"/>
      <c r="E57" s="275" t="n"/>
      <c r="F57" s="275" t="n"/>
      <c r="G57" s="275" t="n"/>
      <c r="H57" s="275" t="n"/>
      <c r="I57" s="276" t="n"/>
    </row>
    <row r="58" ht="24" customHeight="1">
      <c r="A58" s="124" t="inlineStr">
        <is>
          <t>TCD - Daily Safety Focus:</t>
        </is>
      </c>
      <c r="B58" s="258" t="inlineStr">
        <is>
          <t>Fencing and Barracading</t>
        </is>
      </c>
      <c r="C58" s="275" t="n"/>
      <c r="D58" s="275" t="n"/>
      <c r="E58" s="275" t="n"/>
      <c r="F58" s="275" t="n"/>
      <c r="G58" s="275" t="n"/>
      <c r="H58" s="275" t="n"/>
      <c r="I58" s="277" t="n"/>
    </row>
    <row r="59" ht="18" customHeight="1">
      <c r="A59" s="125" t="inlineStr">
        <is>
          <t xml:space="preserve">Hazards Reported: </t>
        </is>
      </c>
      <c r="B59" s="126" t="inlineStr">
        <is>
          <t>Nil</t>
        </is>
      </c>
      <c r="C59" s="258" t="n"/>
      <c r="D59" s="275" t="n"/>
      <c r="E59" s="275" t="n"/>
      <c r="F59" s="275" t="n"/>
      <c r="G59" s="275" t="n"/>
      <c r="H59" s="275" t="n"/>
      <c r="I59" s="277" t="n"/>
    </row>
    <row r="60" ht="18" customHeight="1">
      <c r="A60" s="125" t="inlineStr">
        <is>
          <t>Incident Free Days</t>
        </is>
      </c>
      <c r="B60" s="126" t="n">
        <v>3</v>
      </c>
      <c r="C60" s="257" t="n"/>
      <c r="D60" s="275" t="n"/>
      <c r="E60" s="275" t="n"/>
      <c r="F60" s="275" t="n"/>
      <c r="G60" s="275" t="n"/>
      <c r="H60" s="275" t="n"/>
      <c r="I60" s="276" t="n"/>
    </row>
    <row r="61" ht="18" customHeight="1">
      <c r="A61" s="127" t="inlineStr">
        <is>
          <t>Other Notes</t>
        </is>
      </c>
      <c r="B61" s="259" t="n"/>
      <c r="C61" s="278" t="n"/>
      <c r="D61" s="278" t="n"/>
      <c r="E61" s="278" t="n"/>
      <c r="F61" s="278" t="n"/>
      <c r="G61" s="278" t="n"/>
      <c r="H61" s="278" t="n"/>
      <c r="I61" s="279" t="n"/>
    </row>
    <row r="62" ht="20.25" customHeight="1">
      <c r="A62" s="245" t="inlineStr">
        <is>
          <t xml:space="preserve">INCIDENTS &amp; REPORTS </t>
        </is>
      </c>
      <c r="B62" s="275" t="n"/>
      <c r="C62" s="275" t="n"/>
      <c r="D62" s="275" t="n"/>
      <c r="E62" s="275" t="n"/>
      <c r="F62" s="275" t="n"/>
      <c r="G62" s="275" t="n"/>
      <c r="H62" s="275" t="n"/>
      <c r="I62" s="277" t="n"/>
    </row>
    <row r="63" ht="24.95" customHeight="1">
      <c r="A63" s="128" t="n"/>
      <c r="B63" s="263" t="inlineStr">
        <is>
          <t>QTY</t>
        </is>
      </c>
      <c r="C63" s="254" t="inlineStr">
        <is>
          <t>Comments</t>
        </is>
      </c>
      <c r="D63" s="275" t="n"/>
      <c r="E63" s="275" t="n"/>
      <c r="F63" s="275" t="n"/>
      <c r="G63" s="275" t="n"/>
      <c r="H63" s="275" t="n"/>
      <c r="I63" s="277" t="n"/>
    </row>
    <row r="64" ht="24.95" customHeight="1">
      <c r="A64" s="129" t="inlineStr">
        <is>
          <t>INCIDENT</t>
        </is>
      </c>
      <c r="B64" s="263" t="n">
        <v>0</v>
      </c>
      <c r="C64" s="249" t="inlineStr">
        <is>
          <t>NA</t>
        </is>
      </c>
      <c r="D64" s="275" t="n"/>
      <c r="E64" s="275" t="n"/>
      <c r="F64" s="275" t="n"/>
      <c r="G64" s="275" t="n"/>
      <c r="H64" s="275" t="n"/>
      <c r="I64" s="277" t="n"/>
    </row>
    <row r="65" ht="24.95" customHeight="1">
      <c r="A65" s="130" t="inlineStr">
        <is>
          <t>IR</t>
        </is>
      </c>
      <c r="B65" s="131" t="n">
        <v>0</v>
      </c>
      <c r="C65" s="250" t="inlineStr">
        <is>
          <t>NA</t>
        </is>
      </c>
      <c r="D65" s="278" t="n"/>
      <c r="E65" s="278" t="n"/>
      <c r="F65" s="278" t="n"/>
      <c r="G65" s="278" t="n"/>
      <c r="H65" s="278" t="n"/>
      <c r="I65" s="279" t="n"/>
    </row>
    <row r="66" ht="24.95" customHeight="1" thickBot="1">
      <c r="A66" s="132" t="inlineStr">
        <is>
          <t>NCR</t>
        </is>
      </c>
      <c r="B66" s="133" t="n">
        <v>0</v>
      </c>
      <c r="C66" s="251" t="inlineStr">
        <is>
          <t>NA</t>
        </is>
      </c>
      <c r="D66" s="285" t="n"/>
      <c r="E66" s="285" t="n"/>
      <c r="F66" s="285" t="n"/>
      <c r="G66" s="285" t="n"/>
      <c r="H66" s="285" t="n"/>
      <c r="I66" s="286" t="n"/>
    </row>
    <row r="67" ht="20.25" customHeight="1">
      <c r="A67" s="252" t="inlineStr">
        <is>
          <t>COMMUNICATIONS</t>
        </is>
      </c>
      <c r="B67" s="283" t="n"/>
      <c r="C67" s="283" t="n"/>
      <c r="D67" s="283" t="n"/>
      <c r="E67" s="283" t="n"/>
      <c r="F67" s="283" t="n"/>
      <c r="G67" s="283" t="n"/>
      <c r="H67" s="283" t="n"/>
      <c r="I67" s="284" t="n"/>
    </row>
    <row r="68" ht="24.95" customHeight="1">
      <c r="A68" s="253" t="inlineStr">
        <is>
          <t>TGS MB1119-05 Scheme D implemented</t>
        </is>
      </c>
      <c r="B68" s="275" t="n"/>
      <c r="C68" s="275" t="n"/>
      <c r="D68" s="275" t="n"/>
      <c r="E68" s="275" t="n"/>
      <c r="F68" s="275" t="n"/>
      <c r="G68" s="275" t="n"/>
      <c r="H68" s="275" t="n"/>
      <c r="I68" s="277" t="n"/>
    </row>
    <row r="69" ht="24.95" customHeight="1">
      <c r="A69" s="253" t="n"/>
      <c r="B69" s="275" t="n"/>
      <c r="C69" s="275" t="n"/>
      <c r="D69" s="275" t="n"/>
      <c r="E69" s="275" t="n"/>
      <c r="F69" s="275" t="n"/>
      <c r="G69" s="275" t="n"/>
      <c r="H69" s="275" t="n"/>
      <c r="I69" s="277" t="n"/>
    </row>
    <row r="70" ht="24.95" customHeight="1">
      <c r="A70" s="245" t="inlineStr">
        <is>
          <t>PRODUCTION (CONSTRUCTION STATUS &amp; PROGRESS)</t>
        </is>
      </c>
      <c r="B70" s="275" t="n"/>
      <c r="C70" s="275" t="n"/>
      <c r="D70" s="275" t="n"/>
      <c r="E70" s="275" t="n"/>
      <c r="F70" s="275" t="n"/>
      <c r="G70" s="275" t="n"/>
      <c r="H70" s="275" t="n"/>
      <c r="I70" s="277" t="n"/>
    </row>
    <row r="71" ht="24.95" customHeight="1">
      <c r="A71" s="134" t="inlineStr">
        <is>
          <t>Cleanup of Bayley Street End</t>
        </is>
      </c>
      <c r="B71" s="135" t="n"/>
      <c r="C71" s="79" t="n"/>
      <c r="D71" s="79" t="n"/>
      <c r="E71" s="135" t="n"/>
      <c r="F71" s="135" t="n"/>
      <c r="G71" s="135" t="n"/>
      <c r="H71" s="135" t="n"/>
      <c r="I71" s="136" t="n"/>
    </row>
    <row r="72" ht="24.95" customHeight="1">
      <c r="A72" s="134" t="inlineStr">
        <is>
          <t>Underground Services and Cable Pulling Bayley Street End</t>
        </is>
      </c>
      <c r="B72" s="135" t="n"/>
      <c r="C72" s="79" t="n"/>
      <c r="D72" s="79" t="n"/>
      <c r="E72" s="135" t="n"/>
      <c r="F72" s="135" t="n"/>
      <c r="G72" s="135" t="n"/>
      <c r="H72" s="135" t="n"/>
      <c r="I72" s="136" t="n"/>
    </row>
    <row r="73" ht="24.95" customHeight="1">
      <c r="A73" s="134" t="inlineStr">
        <is>
          <t>Re-construction of Wind Affected Fences</t>
        </is>
      </c>
      <c r="B73" s="135" t="n"/>
      <c r="C73" s="79" t="n"/>
      <c r="D73" s="135" t="n"/>
      <c r="E73" s="135" t="n"/>
      <c r="F73" s="135" t="n"/>
      <c r="G73" s="135" t="n"/>
      <c r="H73" s="135" t="n"/>
      <c r="I73" s="136" t="n"/>
    </row>
    <row r="74" ht="24.95" customHeight="1">
      <c r="A74" s="134" t="inlineStr">
        <is>
          <t>Removal of Brickwork Across Bayley Street</t>
        </is>
      </c>
      <c r="B74" s="135" t="n"/>
      <c r="C74" s="79" t="n"/>
      <c r="D74" s="135" t="n"/>
      <c r="E74" s="135" t="n"/>
      <c r="F74" s="135" t="n"/>
      <c r="G74" s="135" t="n"/>
      <c r="H74" s="135" t="n"/>
      <c r="I74" s="136" t="n"/>
    </row>
    <row r="75" ht="26.1" customHeight="1" thickBot="1">
      <c r="A75" s="246" t="inlineStr">
        <is>
          <t>Photos</t>
        </is>
      </c>
      <c r="B75" s="278" t="n"/>
      <c r="C75" s="278" t="n"/>
      <c r="D75" s="278" t="n"/>
      <c r="E75" s="278" t="n"/>
      <c r="F75" s="278" t="n"/>
      <c r="G75" s="278" t="n"/>
      <c r="H75" s="278" t="n"/>
      <c r="I75" s="279" t="n"/>
    </row>
    <row r="76" ht="23.1" customHeight="1">
      <c r="A76" s="137" t="n"/>
      <c r="B76" s="138" t="n"/>
      <c r="C76" s="138" t="n"/>
      <c r="D76" s="138" t="n"/>
      <c r="E76" s="138" t="n"/>
      <c r="F76" s="138" t="n"/>
      <c r="G76" s="138" t="n"/>
      <c r="H76" s="138" t="n"/>
      <c r="I76" s="139" t="n"/>
    </row>
    <row r="77" ht="23.1"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G96" s="141" t="n"/>
      <c r="H96" s="141" t="n"/>
      <c r="I96" s="142" t="n"/>
    </row>
    <row r="97" ht="15" customHeight="1">
      <c r="A97" s="140" t="n"/>
      <c r="B97" s="141" t="n"/>
      <c r="C97" s="141" t="n"/>
      <c r="D97" s="141" t="n"/>
      <c r="E97" s="141" t="n"/>
      <c r="F97" s="141" t="n"/>
      <c r="G97" s="141" t="n"/>
      <c r="H97" s="141" t="n"/>
      <c r="I97" s="142" t="n"/>
    </row>
    <row r="98" ht="15" customHeight="1">
      <c r="A98" s="140" t="n"/>
      <c r="B98" s="141" t="n"/>
      <c r="C98" s="141" t="n"/>
      <c r="D98" s="141" t="n"/>
      <c r="E98" s="141" t="n"/>
      <c r="F98" s="141" t="n"/>
      <c r="H98" s="141" t="n"/>
      <c r="I98" s="142" t="n"/>
    </row>
    <row r="99" ht="24.95" customFormat="1" customHeight="1" s="8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0" t="n"/>
      <c r="B112" s="141" t="n"/>
      <c r="C112" s="141" t="n"/>
      <c r="D112" s="141" t="n"/>
      <c r="E112" s="141" t="n"/>
      <c r="F112" s="141" t="n"/>
      <c r="G112" s="141" t="n"/>
      <c r="H112" s="141" t="n"/>
      <c r="I112" s="142" t="n"/>
    </row>
    <row r="113" ht="15" customHeight="1">
      <c r="A113" s="140" t="n"/>
      <c r="B113" s="141" t="n"/>
      <c r="C113" s="141" t="n"/>
      <c r="D113" s="141" t="n"/>
      <c r="E113" s="141" t="n"/>
      <c r="F113" s="141" t="n"/>
      <c r="G113" s="141" t="n"/>
      <c r="H113" s="141" t="n"/>
      <c r="I113" s="142" t="n"/>
    </row>
    <row r="114" ht="15" customHeight="1" thickBot="1">
      <c r="A114" s="143" t="n"/>
      <c r="B114" s="144" t="n"/>
      <c r="C114" s="144" t="n"/>
      <c r="D114" s="144" t="n"/>
      <c r="E114" s="144" t="n"/>
      <c r="F114" s="144" t="n"/>
      <c r="G114" s="144" t="n"/>
      <c r="H114" s="144" t="n"/>
      <c r="I114" s="145"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15" customHeight="1">
      <c r="A121" s="140" t="n"/>
      <c r="B121" s="141" t="n"/>
      <c r="C121" s="141" t="n"/>
      <c r="D121" s="141" t="n"/>
      <c r="E121" s="141" t="n"/>
      <c r="F121" s="141" t="n"/>
      <c r="G121" s="141" t="n"/>
      <c r="H121" s="141" t="n"/>
      <c r="I121" s="142" t="n"/>
    </row>
    <row r="122" ht="15" customHeight="1">
      <c r="A122" s="140" t="n"/>
      <c r="B122" s="141" t="n"/>
      <c r="C122" s="141" t="n"/>
      <c r="D122" s="141" t="n"/>
      <c r="E122" s="141" t="n"/>
      <c r="F122" s="141" t="n"/>
      <c r="G122" s="141" t="n"/>
      <c r="H122" s="141" t="n"/>
      <c r="I122" s="142" t="n"/>
    </row>
    <row r="123" ht="24.95" customHeight="1">
      <c r="A123" s="140" t="n"/>
      <c r="B123" s="141" t="n"/>
      <c r="C123" s="141" t="n"/>
      <c r="D123" s="141" t="n"/>
      <c r="E123" s="141" t="n"/>
      <c r="F123" s="141" t="n"/>
      <c r="G123" s="141" t="n"/>
      <c r="H123" s="141" t="n"/>
      <c r="I123" s="142" t="n"/>
    </row>
    <row r="124" ht="15" customHeight="1">
      <c r="A124" s="140" t="n"/>
      <c r="B124" s="141" t="n"/>
      <c r="C124" s="141" t="n"/>
      <c r="D124" s="141" t="n"/>
      <c r="E124" s="141" t="n"/>
      <c r="F124" s="141" t="n"/>
      <c r="G124" s="141" t="n"/>
      <c r="H124" s="141" t="n"/>
      <c r="I124" s="142" t="n"/>
    </row>
    <row r="125" ht="15" customHeight="1">
      <c r="A125" s="140" t="n"/>
      <c r="B125" s="141" t="n"/>
      <c r="C125" s="141" t="n"/>
      <c r="D125" s="141" t="n"/>
      <c r="E125" s="141" t="n"/>
      <c r="F125" s="141" t="n"/>
      <c r="G125" s="141" t="n"/>
      <c r="H125" s="141" t="n"/>
      <c r="I125" s="142" t="n"/>
    </row>
    <row r="126" ht="27.9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row>
    <row r="138" ht="15" customHeight="1">
      <c r="A138" s="140" t="n"/>
      <c r="B138" s="141" t="n"/>
      <c r="C138" s="141" t="n"/>
      <c r="D138" s="141" t="n"/>
      <c r="E138" s="141" t="n"/>
      <c r="F138" s="141" t="n"/>
      <c r="G138" s="141" t="n"/>
      <c r="H138" s="141" t="n"/>
      <c r="I138" s="142" t="n"/>
    </row>
    <row r="139" ht="15" customHeight="1" thickBot="1">
      <c r="A139" s="140" t="n"/>
      <c r="B139" s="141" t="n"/>
      <c r="C139" s="141" t="n"/>
      <c r="D139" s="141" t="n"/>
      <c r="E139" s="141" t="n"/>
      <c r="F139" s="141" t="n"/>
      <c r="G139" s="141" t="n"/>
      <c r="H139" s="141" t="n"/>
      <c r="I139" s="142" t="n"/>
      <c r="J139" s="146"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 customHeight="1">
      <c r="A144" s="140" t="n"/>
      <c r="B144" s="141" t="n"/>
      <c r="C144" s="141" t="n"/>
      <c r="D144" s="141" t="n"/>
      <c r="E144" s="141" t="n"/>
      <c r="F144" s="141" t="n"/>
      <c r="G144" s="141" t="n"/>
      <c r="H144" s="141" t="n"/>
      <c r="I144" s="142" t="n"/>
    </row>
    <row r="145" ht="15" customHeight="1">
      <c r="A145" s="140" t="n"/>
      <c r="B145" s="141" t="n"/>
      <c r="C145" s="141" t="n"/>
      <c r="D145" s="141" t="n"/>
      <c r="E145" s="141" t="n"/>
      <c r="F145" s="141" t="n"/>
      <c r="G145" s="141" t="n"/>
      <c r="H145" s="141" t="n"/>
      <c r="I145" s="142" t="n"/>
    </row>
    <row r="146" ht="15.95" customHeight="1">
      <c r="A146" s="140" t="n"/>
      <c r="B146" s="141" t="n"/>
      <c r="C146" s="141" t="n"/>
      <c r="D146" s="141" t="n"/>
      <c r="E146" s="141" t="n"/>
      <c r="F146" s="141" t="n"/>
      <c r="G146" s="141" t="n"/>
      <c r="H146" s="141" t="n"/>
      <c r="I146" s="142" t="n"/>
    </row>
    <row r="147" ht="30.75" customHeight="1">
      <c r="A147" s="247" t="n"/>
      <c r="E147" s="248" t="n"/>
      <c r="I147" s="271"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A181" s="64" t="n"/>
      <c r="I181" s="65" t="n"/>
    </row>
    <row r="182">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c r="A200" s="64" t="n"/>
      <c r="I200" s="65" t="n"/>
    </row>
    <row r="201" ht="15.95" customHeight="1" thickBot="1">
      <c r="A201" s="59" t="n"/>
      <c r="B201" s="60" t="n"/>
      <c r="C201" s="60" t="n"/>
      <c r="D201" s="60" t="n"/>
      <c r="E201" s="60" t="n"/>
      <c r="F201" s="60" t="n"/>
      <c r="G201" s="60" t="n"/>
      <c r="H201" s="60" t="n"/>
      <c r="I201" s="61" t="n"/>
    </row>
    <row r="202">
      <c r="A202" s="64" t="n"/>
      <c r="I202" s="65" t="n"/>
    </row>
    <row r="203">
      <c r="A203" s="64" t="n"/>
      <c r="I203" s="65" t="n"/>
    </row>
    <row r="204">
      <c r="A204" s="64" t="n"/>
      <c r="I204" s="65" t="n"/>
    </row>
    <row r="205">
      <c r="A205" s="64" t="n"/>
      <c r="I205" s="65" t="n"/>
    </row>
    <row r="206">
      <c r="A206" s="64" t="n"/>
      <c r="I206" s="65" t="n"/>
    </row>
    <row r="207">
      <c r="A207" s="64" t="n"/>
      <c r="I207" s="65" t="n"/>
    </row>
    <row r="208" ht="15.95" customHeight="1" thickBot="1">
      <c r="A208" s="59" t="n"/>
      <c r="B208" s="60" t="n"/>
      <c r="C208" s="60" t="n"/>
      <c r="D208" s="60" t="n"/>
      <c r="E208" s="60" t="n"/>
      <c r="F208" s="60" t="n"/>
      <c r="G208" s="60" t="n"/>
      <c r="H208" s="60" t="n"/>
      <c r="I208" s="61" t="n"/>
    </row>
  </sheetData>
  <mergeCells count="40">
    <mergeCell ref="D49:I49"/>
    <mergeCell ref="B47:C47"/>
    <mergeCell ref="D13:F13"/>
    <mergeCell ref="G13:I13"/>
    <mergeCell ref="A75:I75"/>
    <mergeCell ref="B8:D8"/>
    <mergeCell ref="A49:B49"/>
    <mergeCell ref="B46:C46"/>
    <mergeCell ref="A147:D147"/>
    <mergeCell ref="A56:I56"/>
    <mergeCell ref="D48:I48"/>
    <mergeCell ref="A50:I50"/>
    <mergeCell ref="A12:I12"/>
    <mergeCell ref="D47:I47"/>
    <mergeCell ref="B58:I58"/>
    <mergeCell ref="C66:I66"/>
    <mergeCell ref="B48:C48"/>
    <mergeCell ref="A5:I5"/>
    <mergeCell ref="E147:I147"/>
    <mergeCell ref="B9:D9"/>
    <mergeCell ref="A52:I55"/>
    <mergeCell ref="B61:I61"/>
    <mergeCell ref="B57:I57"/>
    <mergeCell ref="B6:D6"/>
    <mergeCell ref="A62:I62"/>
    <mergeCell ref="A13:C13"/>
    <mergeCell ref="A68:I68"/>
    <mergeCell ref="A10:I10"/>
    <mergeCell ref="A1:I4"/>
    <mergeCell ref="C64:I64"/>
    <mergeCell ref="A67:I67"/>
    <mergeCell ref="B7:D7"/>
    <mergeCell ref="C63:I63"/>
    <mergeCell ref="C65:I65"/>
    <mergeCell ref="A11:I11"/>
    <mergeCell ref="D46:I46"/>
    <mergeCell ref="C59:I59"/>
    <mergeCell ref="A70:I70"/>
    <mergeCell ref="C60:I60"/>
    <mergeCell ref="A69:I69"/>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4" min="0" max="8" man="1"/>
  </rowBreaks>
</worksheet>
</file>

<file path=xl/worksheets/sheet22.xml><?xml version="1.0" encoding="utf-8"?>
<worksheet xmlns="http://schemas.openxmlformats.org/spreadsheetml/2006/main">
  <sheetPr>
    <outlinePr summaryBelow="1" summaryRight="1"/>
    <pageSetUpPr fitToPage="1"/>
  </sheetPr>
  <dimension ref="A1:J209"/>
  <sheetViews>
    <sheetView view="pageBreakPreview" topLeftCell="A5" zoomScale="60" zoomScaleNormal="55" workbookViewId="0">
      <selection activeCell="G15" sqref="G15"/>
    </sheetView>
  </sheetViews>
  <sheetFormatPr baseColWidth="8" defaultColWidth="9.140625" defaultRowHeight="14.4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45894</v>
      </c>
    </row>
    <row r="7" ht="23.1" customHeight="1">
      <c r="A7" s="82" t="inlineStr">
        <is>
          <t>Project Location:</t>
        </is>
      </c>
      <c r="B7" s="267" t="inlineStr">
        <is>
          <t>Geraldton</t>
        </is>
      </c>
      <c r="E7" s="267" t="n"/>
      <c r="F7" s="84" t="n"/>
      <c r="G7" s="84" t="n"/>
      <c r="H7" s="87" t="inlineStr">
        <is>
          <t>Day:</t>
        </is>
      </c>
      <c r="I7" s="88" t="inlineStr">
        <is>
          <t>Monday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90</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15 degrees    Wind: 78 km/h NE Precip: 9.4mm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10</v>
      </c>
      <c r="G15" s="100" t="inlineStr">
        <is>
          <t xml:space="preserve">Brockman, Khegan </t>
        </is>
      </c>
      <c r="H15" s="97" t="inlineStr">
        <is>
          <t>Labourer</t>
        </is>
      </c>
      <c r="I15" s="101" t="n"/>
    </row>
    <row r="16" ht="23.1" customHeight="1">
      <c r="A16" s="96" t="inlineStr">
        <is>
          <t>GRIFFITHS, Daniel</t>
        </is>
      </c>
      <c r="B16" s="97" t="inlineStr">
        <is>
          <t>Project Manager</t>
        </is>
      </c>
      <c r="C16" s="102" t="n">
        <v>11</v>
      </c>
      <c r="D16" s="100" t="inlineStr">
        <is>
          <t>Hanly,Thomas</t>
        </is>
      </c>
      <c r="E16" s="97" t="inlineStr">
        <is>
          <t>Operator</t>
        </is>
      </c>
      <c r="F16" s="97" t="n">
        <v>10</v>
      </c>
      <c r="G16" s="100" t="inlineStr">
        <is>
          <t xml:space="preserve">Levy, Laurent </t>
        </is>
      </c>
      <c r="H16" s="97" t="inlineStr">
        <is>
          <t>Operator</t>
        </is>
      </c>
      <c r="I16" s="101" t="n">
        <v>10</v>
      </c>
    </row>
    <row r="17" ht="23.1" customHeight="1">
      <c r="A17" s="96" t="inlineStr">
        <is>
          <t>O"SHEA, John</t>
        </is>
      </c>
      <c r="B17" s="97" t="inlineStr">
        <is>
          <t>Senior Project Engineer</t>
        </is>
      </c>
      <c r="C17" s="102" t="n"/>
      <c r="D17" s="103" t="n"/>
      <c r="E17" s="103" t="n"/>
      <c r="F17" s="97" t="n"/>
      <c r="G17" s="100" t="inlineStr">
        <is>
          <t xml:space="preserve">McAuffile, Daniel </t>
        </is>
      </c>
      <c r="H17" s="97" t="inlineStr">
        <is>
          <t>Operator</t>
        </is>
      </c>
      <c r="I17" s="101" t="n">
        <v>1</v>
      </c>
    </row>
    <row r="18" ht="23.1" customHeight="1">
      <c r="A18" s="96" t="inlineStr">
        <is>
          <t>GRIFFITHS, Ashley</t>
        </is>
      </c>
      <c r="B18" s="97" t="inlineStr">
        <is>
          <t>Supervisor</t>
        </is>
      </c>
      <c r="C18" s="102" t="n">
        <v>10</v>
      </c>
      <c r="D18" s="99" t="n"/>
      <c r="E18" s="99" t="n"/>
      <c r="F18" s="97" t="n"/>
      <c r="G18" s="100" t="inlineStr">
        <is>
          <t>Jachai Griffiths</t>
        </is>
      </c>
      <c r="H18" s="97" t="inlineStr">
        <is>
          <t>Operator</t>
        </is>
      </c>
      <c r="I18" s="101" t="n"/>
    </row>
    <row r="19" ht="23.1" customHeight="1">
      <c r="A19" s="96" t="inlineStr">
        <is>
          <t>LOW, June</t>
        </is>
      </c>
      <c r="B19" s="97" t="inlineStr">
        <is>
          <t>HSET</t>
        </is>
      </c>
      <c r="C19" s="102" t="n"/>
      <c r="D19" s="99" t="n"/>
      <c r="E19" s="99" t="n"/>
      <c r="F19" s="97" t="n"/>
      <c r="G19" s="100" t="inlineStr">
        <is>
          <t>O'Brian, Jamie</t>
        </is>
      </c>
      <c r="H19" s="97" t="inlineStr">
        <is>
          <t>Operator</t>
        </is>
      </c>
      <c r="I19" s="101" t="n">
        <v>1</v>
      </c>
    </row>
    <row r="20" ht="23.1" customHeight="1">
      <c r="A20" s="96" t="inlineStr">
        <is>
          <t>SKINNER,Jamie</t>
        </is>
      </c>
      <c r="B20" s="97" t="inlineStr">
        <is>
          <t>Supervisor</t>
        </is>
      </c>
      <c r="C20" s="102" t="n"/>
      <c r="D20" s="99" t="n"/>
      <c r="E20" s="99" t="n"/>
      <c r="F20" s="97" t="n"/>
      <c r="G20" s="100" t="inlineStr">
        <is>
          <t>O'Reilly,James</t>
        </is>
      </c>
      <c r="H20" s="97" t="inlineStr">
        <is>
          <t>Operator</t>
        </is>
      </c>
      <c r="I20" s="101" t="n"/>
    </row>
    <row r="21" ht="23.1" customHeight="1">
      <c r="A21" s="96" t="n"/>
      <c r="B21" s="97" t="n"/>
      <c r="C21" s="102" t="n"/>
      <c r="D21" s="99" t="n"/>
      <c r="E21" s="99" t="n"/>
      <c r="F21" s="97" t="n"/>
      <c r="G21" s="100" t="inlineStr">
        <is>
          <t>Chester, Matt</t>
        </is>
      </c>
      <c r="H21" s="97" t="inlineStr">
        <is>
          <t>Gas Fitter</t>
        </is>
      </c>
      <c r="I21" s="101" t="n"/>
    </row>
    <row r="22" ht="23.1" customHeight="1">
      <c r="A22" s="96" t="n"/>
      <c r="B22" s="97" t="n"/>
      <c r="C22" s="102" t="n"/>
      <c r="D22" s="99" t="n"/>
      <c r="E22" s="99" t="n"/>
      <c r="F22" s="97" t="n"/>
      <c r="G22" s="100" t="inlineStr">
        <is>
          <t>Mounsey, Matt</t>
        </is>
      </c>
      <c r="H22" s="97" t="inlineStr">
        <is>
          <t>Gas Fitter</t>
        </is>
      </c>
      <c r="I22" s="101" t="n"/>
    </row>
    <row r="23" ht="23.1" customHeight="1">
      <c r="A23" s="96" t="n"/>
      <c r="B23" s="97" t="n"/>
      <c r="C23" s="102" t="n"/>
      <c r="D23" s="99" t="n"/>
      <c r="E23" s="99" t="n"/>
      <c r="F23" s="97" t="n"/>
      <c r="G23" s="100" t="inlineStr">
        <is>
          <t>Herring, Levin</t>
        </is>
      </c>
      <c r="H23" s="97" t="inlineStr">
        <is>
          <t>Gas Fitter</t>
        </is>
      </c>
      <c r="I23" s="101" t="n"/>
    </row>
    <row r="24" ht="23.1" customHeight="1">
      <c r="A24" s="96" t="n"/>
      <c r="B24" s="97" t="n"/>
      <c r="C24" s="102" t="n"/>
      <c r="D24" s="99" t="n"/>
      <c r="E24" s="99" t="n"/>
      <c r="F24" s="97" t="n"/>
      <c r="G24" s="100" t="inlineStr">
        <is>
          <t>Mosley,Joshua</t>
        </is>
      </c>
      <c r="H24" s="97" t="inlineStr">
        <is>
          <t>Surveyor</t>
        </is>
      </c>
      <c r="I24" s="101" t="n"/>
    </row>
    <row r="25" ht="23.1" customHeight="1">
      <c r="A25" s="96" t="n"/>
      <c r="B25" s="97" t="n"/>
      <c r="C25" s="102" t="n"/>
      <c r="D25" s="99" t="n"/>
      <c r="E25" s="99" t="n"/>
      <c r="F25" s="97" t="n"/>
      <c r="G25" s="151" t="n"/>
      <c r="H25" s="151" t="n"/>
      <c r="I25" s="107" t="n"/>
    </row>
    <row r="26" ht="23.1" customHeight="1">
      <c r="A26" s="255" t="inlineStr">
        <is>
          <t xml:space="preserve">Total Indirect Personnel onsite: </t>
        </is>
      </c>
      <c r="B26" s="105">
        <f>COUNT(C15:C26)</f>
        <v/>
      </c>
      <c r="C26" s="99" t="n"/>
      <c r="D26" s="99" t="n"/>
      <c r="E26" s="99" t="n"/>
      <c r="F26" s="97" t="n"/>
      <c r="G26" s="152" t="n"/>
      <c r="H26" s="151" t="n"/>
      <c r="I26" s="101" t="n"/>
    </row>
    <row r="27" ht="23.1" customHeight="1">
      <c r="A27" s="255" t="inlineStr">
        <is>
          <t xml:space="preserve">Total Indirect Personnel hours: </t>
        </is>
      </c>
      <c r="B27" s="105">
        <f>SUM(C15:C25)</f>
        <v/>
      </c>
      <c r="C27" s="102" t="n"/>
      <c r="D27" s="99" t="n"/>
      <c r="E27" s="99" t="n"/>
      <c r="F27" s="97" t="n"/>
      <c r="G27" s="106" t="inlineStr">
        <is>
          <t>Total Subcontractor on-site:</t>
        </is>
      </c>
      <c r="H27" s="107" t="n">
        <v>3</v>
      </c>
      <c r="I27" s="101" t="n"/>
    </row>
    <row r="28" ht="23.1" customHeight="1">
      <c r="A28" s="255" t="inlineStr">
        <is>
          <t xml:space="preserve">Total Direct Personnel onsite:  </t>
        </is>
      </c>
      <c r="B28" s="105">
        <f>COUNTIF(F15:F29,"&gt;0")</f>
        <v/>
      </c>
      <c r="C28" s="105" t="n"/>
      <c r="D28" s="99" t="n"/>
      <c r="E28" s="99" t="n"/>
      <c r="F28" s="108" t="n"/>
      <c r="G28" s="106" t="inlineStr">
        <is>
          <t>Total Subcontractor hours:</t>
        </is>
      </c>
      <c r="H28" s="107" t="n">
        <v>27</v>
      </c>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6 Wheel Tipper</t>
        </is>
      </c>
      <c r="E33" s="102" t="inlineStr">
        <is>
          <t>AMG04</t>
        </is>
      </c>
      <c r="F33" s="102" t="n"/>
      <c r="G33" s="102" t="inlineStr">
        <is>
          <t>Sea Container 20ft</t>
        </is>
      </c>
      <c r="H33" s="97" t="n">
        <v>951200</v>
      </c>
      <c r="I33" s="101" t="n">
        <v>1</v>
      </c>
    </row>
    <row r="34" ht="23.1" customHeight="1">
      <c r="A34" s="115" t="inlineStr">
        <is>
          <t>Positrak</t>
        </is>
      </c>
      <c r="B34" s="102" t="inlineStr">
        <is>
          <t>AMG 025</t>
        </is>
      </c>
      <c r="C34" s="97" t="n">
        <v>5</v>
      </c>
      <c r="D34" s="102" t="n"/>
      <c r="E34" s="97" t="n"/>
      <c r="F34" s="102" t="n"/>
      <c r="G34" s="102" t="inlineStr">
        <is>
          <t>Site Sentry Tower</t>
        </is>
      </c>
      <c r="H34" s="102" t="n"/>
      <c r="I34" s="101" t="n">
        <v>2</v>
      </c>
    </row>
    <row r="35" ht="23.1" customHeight="1">
      <c r="A35" s="115" t="inlineStr">
        <is>
          <t>Watercart</t>
        </is>
      </c>
      <c r="B35" s="102" t="inlineStr">
        <is>
          <t>WC04</t>
        </is>
      </c>
      <c r="C35" s="97" t="inlineStr">
        <is>
          <t>SD</t>
        </is>
      </c>
      <c r="D35" s="102" t="n"/>
      <c r="E35" s="102" t="n"/>
      <c r="F35" s="102" t="n"/>
      <c r="G35" s="102" t="inlineStr">
        <is>
          <t>Skip Bin</t>
        </is>
      </c>
      <c r="H35" s="102" t="n"/>
      <c r="I35" s="101" t="n">
        <v>1</v>
      </c>
    </row>
    <row r="36" ht="23.1" customHeight="1">
      <c r="A36" s="115" t="inlineStr">
        <is>
          <t>8T Excavator</t>
        </is>
      </c>
      <c r="B36" s="116" t="inlineStr">
        <is>
          <t>AMG 014</t>
        </is>
      </c>
      <c r="C36" s="97" t="n"/>
      <c r="D36" s="102" t="n"/>
      <c r="E36" s="102" t="n"/>
      <c r="F36" s="102" t="n"/>
      <c r="G36" s="102" t="inlineStr">
        <is>
          <t>Hydrocarbon Bund</t>
        </is>
      </c>
      <c r="H36" s="102" t="n"/>
      <c r="I36" s="101" t="n">
        <v>1</v>
      </c>
    </row>
    <row r="37" ht="23.1" customHeight="1">
      <c r="A37" s="102" t="inlineStr">
        <is>
          <t>Mini Tipper</t>
        </is>
      </c>
      <c r="B37" s="102" t="inlineStr">
        <is>
          <t>SLS05</t>
        </is>
      </c>
      <c r="C37" s="102" t="n">
        <v>4</v>
      </c>
      <c r="D37" s="102" t="n"/>
      <c r="E37" s="102" t="n"/>
      <c r="F37" s="102" t="n"/>
      <c r="G37" s="102" t="inlineStr">
        <is>
          <t>Temp Fence</t>
        </is>
      </c>
      <c r="H37" s="97" t="n"/>
      <c r="I37" s="101" t="n">
        <v>1</v>
      </c>
    </row>
    <row r="38" ht="24" customHeight="1">
      <c r="A38" s="150" t="inlineStr">
        <is>
          <t>1 t Excavator</t>
        </is>
      </c>
      <c r="B38" s="102" t="inlineStr">
        <is>
          <t>SLS03</t>
        </is>
      </c>
      <c r="C38" s="102" t="n">
        <v>3</v>
      </c>
      <c r="D38" s="102" t="n"/>
      <c r="E38" s="102" t="n"/>
      <c r="F38" s="102" t="n"/>
      <c r="G38" s="31" t="n"/>
      <c r="H38" s="31" t="n"/>
      <c r="I38" s="32" t="n"/>
    </row>
    <row r="39" ht="24" customHeight="1">
      <c r="A39" s="115" t="inlineStr">
        <is>
          <t>Padfoot/ Smooth Drum Roller</t>
        </is>
      </c>
      <c r="B39" s="102" t="inlineStr">
        <is>
          <t>RR 03</t>
        </is>
      </c>
      <c r="C39" s="97" t="inlineStr">
        <is>
          <t>SD</t>
        </is>
      </c>
      <c r="D39" s="102" t="n"/>
      <c r="E39" s="102" t="n"/>
      <c r="F39" s="102" t="n"/>
      <c r="G39" s="31" t="n"/>
      <c r="H39" s="31" t="n"/>
      <c r="I39" s="32" t="n"/>
    </row>
    <row r="40" ht="24" customHeight="1">
      <c r="A40" s="115" t="inlineStr">
        <is>
          <t>Multi</t>
        </is>
      </c>
      <c r="B40" s="102" t="n">
        <v>256</v>
      </c>
      <c r="C40" s="97" t="n"/>
      <c r="D40" s="102" t="n"/>
      <c r="E40" s="102" t="n"/>
      <c r="F40" s="102" t="n"/>
      <c r="G40" s="31" t="n"/>
      <c r="H40" s="31" t="n"/>
      <c r="I40" s="32" t="n"/>
    </row>
    <row r="41" ht="24" customHeight="1">
      <c r="A41" s="115" t="inlineStr">
        <is>
          <t>Positrak SSL</t>
        </is>
      </c>
      <c r="B41" s="102" t="inlineStr">
        <is>
          <t>SSL08</t>
        </is>
      </c>
      <c r="C41" s="97" t="n">
        <v>3</v>
      </c>
      <c r="D41" s="102" t="n"/>
      <c r="E41" s="102" t="n"/>
      <c r="F41" s="102" t="n"/>
      <c r="G41" s="31" t="n"/>
      <c r="H41" s="31" t="n"/>
      <c r="I41" s="32" t="n"/>
    </row>
    <row r="42" ht="24" customHeight="1">
      <c r="A42" s="115" t="inlineStr">
        <is>
          <t>Grader</t>
        </is>
      </c>
      <c r="B42" s="102" t="inlineStr">
        <is>
          <t>SLS01</t>
        </is>
      </c>
      <c r="C42" s="97" t="inlineStr">
        <is>
          <t>SD</t>
        </is>
      </c>
      <c r="D42" s="102" t="n"/>
      <c r="E42" s="102" t="n"/>
      <c r="F42" s="102" t="n"/>
      <c r="G42" s="31" t="n"/>
      <c r="H42" s="31" t="n"/>
      <c r="I42" s="32" t="n"/>
    </row>
    <row r="43" ht="23.1" customHeight="1">
      <c r="A43" s="115" t="inlineStr">
        <is>
          <t>5t Excavator</t>
        </is>
      </c>
      <c r="B43" s="102" t="inlineStr">
        <is>
          <t>AMG 007</t>
        </is>
      </c>
      <c r="C43" s="97" t="n"/>
      <c r="D43" s="102" t="n"/>
      <c r="E43" s="102" t="n"/>
      <c r="F43" s="102" t="n"/>
      <c r="G43" s="102" t="n"/>
      <c r="H43" s="97" t="n"/>
      <c r="I43" s="101" t="n"/>
    </row>
    <row r="44" ht="23.1" customHeight="1">
      <c r="A44" s="115" t="inlineStr">
        <is>
          <t>1.5 Excavator</t>
        </is>
      </c>
      <c r="B44" s="102" t="inlineStr">
        <is>
          <t>AMG 009</t>
        </is>
      </c>
      <c r="C44" s="97" t="n"/>
      <c r="D44" s="102" t="n"/>
      <c r="E44" s="102" t="n"/>
      <c r="F44" s="102" t="n"/>
      <c r="G44" s="102" t="n"/>
      <c r="H44" s="97" t="n"/>
      <c r="I44" s="101" t="n"/>
    </row>
    <row r="45" ht="24" customHeight="1">
      <c r="A45" s="115" t="n"/>
      <c r="B45" s="102" t="n"/>
      <c r="C45" s="97" t="n"/>
      <c r="D45" s="31" t="n"/>
      <c r="E45" s="31" t="n"/>
      <c r="F45" s="31" t="n"/>
      <c r="G45" s="31" t="n"/>
      <c r="H45" s="31" t="n"/>
      <c r="I45" s="32" t="n"/>
    </row>
    <row r="46" ht="18" customHeight="1">
      <c r="A46" s="117" t="n">
        <v>0</v>
      </c>
      <c r="B46" s="260" t="inlineStr">
        <is>
          <t xml:space="preserve">Repairs Required </t>
        </is>
      </c>
      <c r="C46" s="276" t="n"/>
      <c r="D46" s="249" t="inlineStr">
        <is>
          <t>N/A</t>
        </is>
      </c>
      <c r="E46" s="275" t="n"/>
      <c r="F46" s="275" t="n"/>
      <c r="G46" s="275" t="n"/>
      <c r="H46" s="275" t="n"/>
      <c r="I46" s="277" t="n"/>
    </row>
    <row r="47" ht="18" customHeight="1">
      <c r="A47" s="118" t="n">
        <v>0</v>
      </c>
      <c r="B47" s="260" t="inlineStr">
        <is>
          <t>Scheduled Service</t>
        </is>
      </c>
      <c r="C47" s="276" t="n"/>
      <c r="D47" s="249" t="inlineStr">
        <is>
          <t>N/A</t>
        </is>
      </c>
      <c r="E47" s="275" t="n"/>
      <c r="F47" s="275" t="n"/>
      <c r="G47" s="275" t="n"/>
      <c r="H47" s="275" t="n"/>
      <c r="I47" s="277" t="n"/>
    </row>
    <row r="48" ht="18" customHeight="1">
      <c r="A48" s="119" t="n">
        <v>0</v>
      </c>
      <c r="B48" s="260" t="inlineStr">
        <is>
          <t>Repairs required but operable</t>
        </is>
      </c>
      <c r="C48" s="276" t="n"/>
      <c r="D48" s="249" t="inlineStr">
        <is>
          <t>N/A</t>
        </is>
      </c>
      <c r="E48" s="275" t="n"/>
      <c r="F48" s="275" t="n"/>
      <c r="G48" s="275" t="n"/>
      <c r="H48" s="275" t="n"/>
      <c r="I48" s="277" t="n"/>
    </row>
    <row r="49" ht="23.1" customHeight="1">
      <c r="A49" s="255" t="inlineStr">
        <is>
          <t xml:space="preserve">Total Plant and Equipment Hours: </t>
        </is>
      </c>
      <c r="B49" s="276" t="n"/>
      <c r="C49" s="120">
        <f>SUM(C32:C45)</f>
        <v/>
      </c>
      <c r="D49" s="256" t="n"/>
      <c r="E49" s="275" t="n"/>
      <c r="F49" s="275" t="n"/>
      <c r="G49" s="275" t="n"/>
      <c r="H49" s="275" t="n"/>
      <c r="I49" s="277" t="n"/>
    </row>
    <row r="50" ht="24.95" customHeight="1">
      <c r="A50" s="245" t="inlineStr">
        <is>
          <t>DELAYS-OPPORTUNITY</t>
        </is>
      </c>
      <c r="B50" s="275" t="n"/>
      <c r="C50" s="275" t="n"/>
      <c r="D50" s="275" t="n"/>
      <c r="E50" s="275" t="n"/>
      <c r="F50" s="275" t="n"/>
      <c r="G50" s="275" t="n"/>
      <c r="H50" s="275" t="n"/>
      <c r="I50" s="277" t="n"/>
    </row>
    <row r="51" ht="20.1" customHeight="1">
      <c r="A51" s="121" t="n"/>
      <c r="B51" s="122" t="n"/>
      <c r="C51" s="122" t="n"/>
      <c r="D51" s="122" t="n"/>
      <c r="E51" s="122" t="n"/>
      <c r="F51" s="122" t="n"/>
      <c r="G51" s="122" t="n"/>
      <c r="H51" s="122" t="n"/>
      <c r="I51" s="123" t="n"/>
    </row>
    <row r="52" ht="15" customHeight="1">
      <c r="A52" s="244" t="inlineStr">
        <is>
          <t>Awaiting COGG confirmation on detail of Centrelink Carpark                             
Awaiting Crossing Details for Forrest Street
Awaiting Direction on Service Clash Forrest Street
Awaiting Feedback on Batters Treatment 
Major rain damage Import of Basecourse Stopped-All staff redirected where possible</t>
        </is>
      </c>
      <c r="B52" s="278" t="n"/>
      <c r="C52" s="278" t="n"/>
      <c r="D52" s="278" t="n"/>
      <c r="E52" s="278" t="n"/>
      <c r="F52" s="278" t="n"/>
      <c r="G52" s="278" t="n"/>
      <c r="H52" s="278" t="n"/>
      <c r="I52" s="279" t="n"/>
    </row>
    <row r="53">
      <c r="A53" s="270" t="n"/>
      <c r="I53" s="271" t="n"/>
    </row>
    <row r="54">
      <c r="A54" s="270" t="n"/>
      <c r="I54" s="271" t="n"/>
    </row>
    <row r="55" ht="65.45" customHeight="1">
      <c r="A55" s="280" t="n"/>
      <c r="B55" s="281" t="n"/>
      <c r="C55" s="281" t="n"/>
      <c r="D55" s="281" t="n"/>
      <c r="E55" s="281" t="n"/>
      <c r="F55" s="281" t="n"/>
      <c r="G55" s="281" t="n"/>
      <c r="H55" s="281" t="n"/>
      <c r="I55" s="282" t="n"/>
    </row>
    <row r="56" ht="24.95" customHeight="1">
      <c r="A56" s="252" t="inlineStr">
        <is>
          <t>HSEQ MESSAGES</t>
        </is>
      </c>
      <c r="B56" s="283" t="n"/>
      <c r="C56" s="283" t="n"/>
      <c r="D56" s="283" t="n"/>
      <c r="E56" s="283" t="n"/>
      <c r="F56" s="283" t="n"/>
      <c r="G56" s="283" t="n"/>
      <c r="H56" s="283" t="n"/>
      <c r="I56" s="284" t="n"/>
    </row>
    <row r="57" ht="18" customHeight="1">
      <c r="A57" s="124" t="inlineStr">
        <is>
          <t>TCD - Monthly Safety Focus:</t>
        </is>
      </c>
      <c r="B57" s="257" t="inlineStr">
        <is>
          <t>Return to Work</t>
        </is>
      </c>
      <c r="C57" s="275" t="n"/>
      <c r="D57" s="275" t="n"/>
      <c r="E57" s="275" t="n"/>
      <c r="F57" s="275" t="n"/>
      <c r="G57" s="275" t="n"/>
      <c r="H57" s="275" t="n"/>
      <c r="I57" s="276" t="n"/>
    </row>
    <row r="58" ht="24" customHeight="1">
      <c r="A58" s="124" t="inlineStr">
        <is>
          <t>TCD - Daily Safety Focus:</t>
        </is>
      </c>
      <c r="B58" s="258" t="inlineStr">
        <is>
          <t>Manual Handling</t>
        </is>
      </c>
      <c r="C58" s="275" t="n"/>
      <c r="D58" s="275" t="n"/>
      <c r="E58" s="275" t="n"/>
      <c r="F58" s="275" t="n"/>
      <c r="G58" s="275" t="n"/>
      <c r="H58" s="275" t="n"/>
      <c r="I58" s="277" t="n"/>
    </row>
    <row r="59" ht="18" customHeight="1">
      <c r="A59" s="125" t="inlineStr">
        <is>
          <t xml:space="preserve">Hazards Reported: </t>
        </is>
      </c>
      <c r="B59" s="126" t="inlineStr">
        <is>
          <t>Nil</t>
        </is>
      </c>
      <c r="C59" s="258" t="n"/>
      <c r="D59" s="275" t="n"/>
      <c r="E59" s="275" t="n"/>
      <c r="F59" s="275" t="n"/>
      <c r="G59" s="275" t="n"/>
      <c r="H59" s="275" t="n"/>
      <c r="I59" s="277" t="n"/>
    </row>
    <row r="60" ht="18" customHeight="1">
      <c r="A60" s="125" t="inlineStr">
        <is>
          <t>Incident Free Days</t>
        </is>
      </c>
      <c r="B60" s="126" t="n">
        <v>5</v>
      </c>
      <c r="C60" s="257" t="n"/>
      <c r="D60" s="275" t="n"/>
      <c r="E60" s="275" t="n"/>
      <c r="F60" s="275" t="n"/>
      <c r="G60" s="275" t="n"/>
      <c r="H60" s="275" t="n"/>
      <c r="I60" s="276" t="n"/>
    </row>
    <row r="61" ht="18" customHeight="1">
      <c r="A61" s="127" t="inlineStr">
        <is>
          <t>Other Notes</t>
        </is>
      </c>
      <c r="B61" s="259" t="n"/>
      <c r="C61" s="278" t="n"/>
      <c r="D61" s="278" t="n"/>
      <c r="E61" s="278" t="n"/>
      <c r="F61" s="278" t="n"/>
      <c r="G61" s="278" t="n"/>
      <c r="H61" s="278" t="n"/>
      <c r="I61" s="279" t="n"/>
    </row>
    <row r="62" ht="20.25" customHeight="1">
      <c r="A62" s="245" t="inlineStr">
        <is>
          <t xml:space="preserve">INCIDENTS &amp; REPORTS </t>
        </is>
      </c>
      <c r="B62" s="275" t="n"/>
      <c r="C62" s="275" t="n"/>
      <c r="D62" s="275" t="n"/>
      <c r="E62" s="275" t="n"/>
      <c r="F62" s="275" t="n"/>
      <c r="G62" s="275" t="n"/>
      <c r="H62" s="275" t="n"/>
      <c r="I62" s="277" t="n"/>
    </row>
    <row r="63" ht="24.95" customHeight="1">
      <c r="A63" s="128" t="n"/>
      <c r="B63" s="263" t="inlineStr">
        <is>
          <t>QTY</t>
        </is>
      </c>
      <c r="C63" s="254" t="inlineStr">
        <is>
          <t>Comments</t>
        </is>
      </c>
      <c r="D63" s="275" t="n"/>
      <c r="E63" s="275" t="n"/>
      <c r="F63" s="275" t="n"/>
      <c r="G63" s="275" t="n"/>
      <c r="H63" s="275" t="n"/>
      <c r="I63" s="277" t="n"/>
    </row>
    <row r="64" ht="24.95" customHeight="1">
      <c r="A64" s="129" t="inlineStr">
        <is>
          <t>INCIDENT</t>
        </is>
      </c>
      <c r="B64" s="263" t="n">
        <v>0</v>
      </c>
      <c r="C64" s="249" t="inlineStr">
        <is>
          <t>NA</t>
        </is>
      </c>
      <c r="D64" s="275" t="n"/>
      <c r="E64" s="275" t="n"/>
      <c r="F64" s="275" t="n"/>
      <c r="G64" s="275" t="n"/>
      <c r="H64" s="275" t="n"/>
      <c r="I64" s="277" t="n"/>
    </row>
    <row r="65" ht="24.95" customHeight="1">
      <c r="A65" s="130" t="inlineStr">
        <is>
          <t>IR</t>
        </is>
      </c>
      <c r="B65" s="131" t="n">
        <v>0</v>
      </c>
      <c r="C65" s="250" t="inlineStr">
        <is>
          <t>NA</t>
        </is>
      </c>
      <c r="D65" s="278" t="n"/>
      <c r="E65" s="278" t="n"/>
      <c r="F65" s="278" t="n"/>
      <c r="G65" s="278" t="n"/>
      <c r="H65" s="278" t="n"/>
      <c r="I65" s="279" t="n"/>
    </row>
    <row r="66" ht="24.95" customHeight="1">
      <c r="A66" s="132" t="inlineStr">
        <is>
          <t>NCR</t>
        </is>
      </c>
      <c r="B66" s="133" t="n">
        <v>0</v>
      </c>
      <c r="C66" s="251" t="inlineStr">
        <is>
          <t>NA</t>
        </is>
      </c>
      <c r="D66" s="285" t="n"/>
      <c r="E66" s="285" t="n"/>
      <c r="F66" s="285" t="n"/>
      <c r="G66" s="285" t="n"/>
      <c r="H66" s="285" t="n"/>
      <c r="I66" s="286" t="n"/>
    </row>
    <row r="67" ht="20.25" customHeight="1">
      <c r="A67" s="252" t="inlineStr">
        <is>
          <t>COMMUNICATIONS</t>
        </is>
      </c>
      <c r="B67" s="283" t="n"/>
      <c r="C67" s="283" t="n"/>
      <c r="D67" s="283" t="n"/>
      <c r="E67" s="283" t="n"/>
      <c r="F67" s="283" t="n"/>
      <c r="G67" s="283" t="n"/>
      <c r="H67" s="283" t="n"/>
      <c r="I67" s="284" t="n"/>
    </row>
    <row r="68" ht="24.95" customHeight="1">
      <c r="A68" s="253" t="inlineStr">
        <is>
          <t>TGS MB1119-05 Scheme D implemented</t>
        </is>
      </c>
      <c r="B68" s="275" t="n"/>
      <c r="C68" s="275" t="n"/>
      <c r="D68" s="275" t="n"/>
      <c r="E68" s="275" t="n"/>
      <c r="F68" s="275" t="n"/>
      <c r="G68" s="275" t="n"/>
      <c r="H68" s="275" t="n"/>
      <c r="I68" s="277" t="n"/>
    </row>
    <row r="69" ht="24.95" customHeight="1">
      <c r="A69" s="253" t="n"/>
      <c r="B69" s="275" t="n"/>
      <c r="C69" s="275" t="n"/>
      <c r="D69" s="275" t="n"/>
      <c r="E69" s="275" t="n"/>
      <c r="F69" s="275" t="n"/>
      <c r="G69" s="275" t="n"/>
      <c r="H69" s="275" t="n"/>
      <c r="I69" s="277" t="n"/>
    </row>
    <row r="70" ht="24.95" customHeight="1">
      <c r="A70" s="245" t="inlineStr">
        <is>
          <t>PRODUCTION (CONSTRUCTION STATUS &amp; PROGRESS)</t>
        </is>
      </c>
      <c r="B70" s="275" t="n"/>
      <c r="C70" s="275" t="n"/>
      <c r="D70" s="275" t="n"/>
      <c r="E70" s="275" t="n"/>
      <c r="F70" s="275" t="n"/>
      <c r="G70" s="275" t="n"/>
      <c r="H70" s="275" t="n"/>
      <c r="I70" s="277" t="n"/>
    </row>
    <row r="71" ht="24.95" customHeight="1">
      <c r="A71" s="134" t="inlineStr">
        <is>
          <t>Rain Affected Day- Minimal Production Site Mostly Stood Down</t>
        </is>
      </c>
      <c r="B71" s="135" t="n"/>
      <c r="C71" s="79" t="n"/>
      <c r="D71" s="79" t="n"/>
      <c r="E71" s="135" t="n"/>
      <c r="F71" s="135" t="n"/>
      <c r="G71" s="135" t="n"/>
      <c r="H71" s="135" t="n"/>
      <c r="I71" s="136" t="n"/>
    </row>
    <row r="72" ht="24.95" customHeight="1">
      <c r="A72" s="134" t="inlineStr">
        <is>
          <t>Reconstruction of Fences</t>
        </is>
      </c>
      <c r="B72" s="135" t="n"/>
      <c r="C72" s="79" t="n"/>
      <c r="D72" s="79" t="n"/>
      <c r="E72" s="135" t="n"/>
      <c r="F72" s="135" t="n"/>
      <c r="G72" s="135" t="n"/>
      <c r="H72" s="135" t="n"/>
      <c r="I72" s="136" t="n"/>
    </row>
    <row r="73" ht="24.95" customHeight="1">
      <c r="A73" s="134" t="inlineStr">
        <is>
          <t>Backfilling of Trenches Bayley Street</t>
        </is>
      </c>
      <c r="B73" s="135" t="n"/>
      <c r="C73" s="79" t="n"/>
      <c r="D73" s="79" t="n"/>
      <c r="E73" s="135" t="n"/>
      <c r="F73" s="135" t="n"/>
      <c r="G73" s="135" t="n"/>
      <c r="H73" s="135" t="n"/>
      <c r="I73" s="136" t="n"/>
    </row>
    <row r="74" ht="24.95" customHeight="1">
      <c r="A74" s="134" t="inlineStr">
        <is>
          <t>Dewatering of Site</t>
        </is>
      </c>
      <c r="B74" s="135" t="n"/>
      <c r="C74" s="79" t="n"/>
      <c r="D74" s="135" t="n"/>
      <c r="E74" s="135" t="n"/>
      <c r="F74" s="135" t="n"/>
      <c r="G74" s="135" t="n"/>
      <c r="H74" s="135" t="n"/>
      <c r="I74" s="136" t="n"/>
    </row>
    <row r="75" ht="24.95" customHeight="1">
      <c r="A75" s="134" t="inlineStr">
        <is>
          <t>Minor Tidy Up Works Bayley Street</t>
        </is>
      </c>
      <c r="B75" s="135" t="n"/>
      <c r="C75" s="79" t="n"/>
      <c r="D75" s="135" t="n"/>
      <c r="E75" s="135" t="n"/>
      <c r="F75" s="135" t="n"/>
      <c r="G75" s="135" t="n"/>
      <c r="H75" s="135" t="n"/>
      <c r="I75" s="136" t="n"/>
    </row>
    <row r="76" ht="26.1" customHeight="1">
      <c r="A76" s="246" t="inlineStr">
        <is>
          <t>Photos</t>
        </is>
      </c>
      <c r="B76" s="278" t="n"/>
      <c r="C76" s="278" t="n"/>
      <c r="D76" s="278" t="n"/>
      <c r="E76" s="278" t="n"/>
      <c r="F76" s="278" t="n"/>
      <c r="G76" s="278" t="n"/>
      <c r="H76" s="278" t="n"/>
      <c r="I76" s="279" t="n"/>
    </row>
    <row r="77" ht="23.1" customHeight="1">
      <c r="A77" s="137" t="n"/>
      <c r="B77" s="138" t="n"/>
      <c r="C77" s="138" t="n"/>
      <c r="D77" s="138" t="n"/>
      <c r="E77" s="138" t="n"/>
      <c r="F77" s="138" t="n"/>
      <c r="G77" s="138" t="n"/>
      <c r="H77" s="138" t="n"/>
      <c r="I77" s="139" t="n"/>
    </row>
    <row r="78" ht="23.1"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G96" s="141" t="n"/>
      <c r="H96" s="141" t="n"/>
      <c r="I96" s="142" t="n"/>
    </row>
    <row r="97" ht="15" customHeight="1">
      <c r="A97" s="140" t="n"/>
      <c r="B97" s="141" t="n"/>
      <c r="C97" s="141" t="n"/>
      <c r="D97" s="141" t="n"/>
      <c r="E97" s="141" t="n"/>
      <c r="F97" s="141" t="n"/>
      <c r="G97" s="141" t="n"/>
      <c r="H97" s="141" t="n"/>
      <c r="I97" s="142" t="n"/>
    </row>
    <row r="98" ht="15" customHeight="1">
      <c r="A98" s="140" t="n"/>
      <c r="B98" s="141" t="n"/>
      <c r="C98" s="141" t="n"/>
      <c r="D98" s="141" t="n"/>
      <c r="E98" s="141" t="n"/>
      <c r="F98" s="141" t="n"/>
      <c r="G98" s="141" t="n"/>
      <c r="H98" s="141" t="n"/>
      <c r="I98" s="142" t="n"/>
    </row>
    <row r="99" ht="15" customHeight="1">
      <c r="A99" s="140" t="n"/>
      <c r="B99" s="141" t="n"/>
      <c r="C99" s="141" t="n"/>
      <c r="D99" s="141" t="n"/>
      <c r="E99" s="141" t="n"/>
      <c r="F99" s="141" t="n"/>
      <c r="H99" s="141" t="n"/>
      <c r="I99" s="142" t="n"/>
    </row>
    <row r="100" ht="24.95" customFormat="1" customHeight="1" s="8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0" t="n"/>
      <c r="B112" s="141" t="n"/>
      <c r="C112" s="141" t="n"/>
      <c r="D112" s="141" t="n"/>
      <c r="E112" s="141" t="n"/>
      <c r="F112" s="141" t="n"/>
      <c r="G112" s="141" t="n"/>
      <c r="H112" s="141" t="n"/>
      <c r="I112" s="142" t="n"/>
    </row>
    <row r="113" ht="15" customHeight="1">
      <c r="A113" s="140" t="n"/>
      <c r="B113" s="141" t="n"/>
      <c r="C113" s="141" t="n"/>
      <c r="D113" s="141" t="n"/>
      <c r="E113" s="141" t="n"/>
      <c r="F113" s="141" t="n"/>
      <c r="G113" s="141" t="n"/>
      <c r="H113" s="141" t="n"/>
      <c r="I113" s="142" t="n"/>
    </row>
    <row r="114" ht="15" customHeight="1">
      <c r="A114" s="140" t="n"/>
      <c r="B114" s="141" t="n"/>
      <c r="C114" s="141" t="n"/>
      <c r="D114" s="141" t="n"/>
      <c r="E114" s="141" t="n"/>
      <c r="F114" s="141" t="n"/>
      <c r="G114" s="141" t="n"/>
      <c r="H114" s="141" t="n"/>
      <c r="I114" s="142" t="n"/>
    </row>
    <row r="115" ht="15" customHeight="1">
      <c r="A115" s="143" t="n"/>
      <c r="B115" s="144" t="n"/>
      <c r="C115" s="144" t="n"/>
      <c r="D115" s="144" t="n"/>
      <c r="E115" s="144" t="n"/>
      <c r="F115" s="144" t="n"/>
      <c r="G115" s="144" t="n"/>
      <c r="H115" s="144" t="n"/>
      <c r="I115" s="145"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15" customHeight="1">
      <c r="A121" s="140" t="n"/>
      <c r="B121" s="141" t="n"/>
      <c r="C121" s="141" t="n"/>
      <c r="D121" s="141" t="n"/>
      <c r="E121" s="141" t="n"/>
      <c r="F121" s="141" t="n"/>
      <c r="G121" s="141" t="n"/>
      <c r="H121" s="141" t="n"/>
      <c r="I121" s="142" t="n"/>
    </row>
    <row r="122" ht="1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24.95" customHeight="1">
      <c r="A124" s="140" t="n"/>
      <c r="B124" s="141" t="n"/>
      <c r="C124" s="141" t="n"/>
      <c r="D124" s="141" t="n"/>
      <c r="E124" s="141" t="n"/>
      <c r="F124" s="141" t="n"/>
      <c r="G124" s="141" t="n"/>
      <c r="H124" s="141" t="n"/>
      <c r="I124" s="142" t="n"/>
    </row>
    <row r="125" ht="1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27.9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row>
    <row r="138" ht="15" customHeight="1">
      <c r="A138" s="140" t="n"/>
      <c r="B138" s="141" t="n"/>
      <c r="C138" s="141" t="n"/>
      <c r="D138" s="141" t="n"/>
      <c r="E138" s="141" t="n"/>
      <c r="F138" s="141" t="n"/>
      <c r="G138" s="141" t="n"/>
      <c r="H138" s="141" t="n"/>
      <c r="I138" s="142"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c r="J140" s="146"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 customHeight="1">
      <c r="A144" s="140" t="n"/>
      <c r="B144" s="141" t="n"/>
      <c r="C144" s="141" t="n"/>
      <c r="D144" s="141" t="n"/>
      <c r="E144" s="141" t="n"/>
      <c r="F144" s="141" t="n"/>
      <c r="G144" s="141" t="n"/>
      <c r="H144" s="141" t="n"/>
      <c r="I144" s="142" t="n"/>
    </row>
    <row r="145" ht="15" customHeight="1">
      <c r="A145" s="140" t="n"/>
      <c r="B145" s="141" t="n"/>
      <c r="C145" s="141" t="n"/>
      <c r="D145" s="141" t="n"/>
      <c r="E145" s="141" t="n"/>
      <c r="F145" s="141" t="n"/>
      <c r="G145" s="141" t="n"/>
      <c r="H145" s="141" t="n"/>
      <c r="I145" s="142" t="n"/>
    </row>
    <row r="146" ht="15" customHeight="1">
      <c r="A146" s="140" t="n"/>
      <c r="B146" s="141" t="n"/>
      <c r="C146" s="141" t="n"/>
      <c r="D146" s="141" t="n"/>
      <c r="E146" s="141" t="n"/>
      <c r="F146" s="141" t="n"/>
      <c r="G146" s="141" t="n"/>
      <c r="H146" s="141" t="n"/>
      <c r="I146" s="142" t="n"/>
    </row>
    <row r="147" ht="15.95" customHeight="1">
      <c r="A147" s="140" t="n"/>
      <c r="B147" s="141" t="n"/>
      <c r="C147" s="141" t="n"/>
      <c r="D147" s="141" t="n"/>
      <c r="E147" s="141" t="n"/>
      <c r="F147" s="141" t="n"/>
      <c r="G147" s="141" t="n"/>
      <c r="H147" s="141" t="n"/>
      <c r="I147" s="142" t="n"/>
    </row>
    <row r="148" ht="30.75" customHeight="1">
      <c r="A148" s="247" t="n"/>
      <c r="E148" s="248" t="n"/>
      <c r="I148" s="271"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A181" s="64" t="n"/>
      <c r="I181" s="65" t="n"/>
    </row>
    <row r="182">
      <c r="A182" s="64" t="n"/>
      <c r="I182" s="65" t="n"/>
    </row>
    <row r="183">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c r="A200" s="64" t="n"/>
      <c r="I200" s="65" t="n"/>
    </row>
    <row r="201">
      <c r="A201" s="64" t="n"/>
      <c r="I201" s="65" t="n"/>
    </row>
    <row r="202" ht="15.95" customHeight="1">
      <c r="A202" s="59" t="n"/>
      <c r="B202" s="60" t="n"/>
      <c r="C202" s="60" t="n"/>
      <c r="D202" s="60" t="n"/>
      <c r="E202" s="60" t="n"/>
      <c r="F202" s="60" t="n"/>
      <c r="G202" s="60" t="n"/>
      <c r="H202" s="60" t="n"/>
      <c r="I202" s="61" t="n"/>
    </row>
    <row r="203">
      <c r="A203" s="64" t="n"/>
      <c r="I203" s="65" t="n"/>
    </row>
    <row r="204">
      <c r="A204" s="64" t="n"/>
      <c r="I204" s="65" t="n"/>
    </row>
    <row r="205">
      <c r="A205" s="64" t="n"/>
      <c r="I205" s="65" t="n"/>
    </row>
    <row r="206">
      <c r="A206" s="64" t="n"/>
      <c r="I206" s="65" t="n"/>
    </row>
    <row r="207">
      <c r="A207" s="64" t="n"/>
      <c r="I207" s="65" t="n"/>
    </row>
    <row r="208">
      <c r="A208" s="64" t="n"/>
      <c r="I208" s="65" t="n"/>
    </row>
    <row r="209" ht="15.95" customHeight="1">
      <c r="A209" s="59" t="n"/>
      <c r="B209" s="60" t="n"/>
      <c r="C209" s="60" t="n"/>
      <c r="D209" s="60" t="n"/>
      <c r="E209" s="60" t="n"/>
      <c r="F209" s="60" t="n"/>
      <c r="G209" s="60" t="n"/>
      <c r="H209" s="60" t="n"/>
      <c r="I209" s="61" t="n"/>
    </row>
  </sheetData>
  <mergeCells count="40">
    <mergeCell ref="D49:I49"/>
    <mergeCell ref="B47:C47"/>
    <mergeCell ref="D13:F13"/>
    <mergeCell ref="G13:I13"/>
    <mergeCell ref="A49:B49"/>
    <mergeCell ref="B8:D8"/>
    <mergeCell ref="B46:C46"/>
    <mergeCell ref="A56:I56"/>
    <mergeCell ref="D48:I48"/>
    <mergeCell ref="A12:I12"/>
    <mergeCell ref="A50:I50"/>
    <mergeCell ref="D47:I47"/>
    <mergeCell ref="B58:I58"/>
    <mergeCell ref="C66:I66"/>
    <mergeCell ref="B48:C48"/>
    <mergeCell ref="A5:I5"/>
    <mergeCell ref="A76:I76"/>
    <mergeCell ref="A148:D148"/>
    <mergeCell ref="A52:I55"/>
    <mergeCell ref="B9:D9"/>
    <mergeCell ref="B61:I61"/>
    <mergeCell ref="B57:I57"/>
    <mergeCell ref="A62:I62"/>
    <mergeCell ref="B6:D6"/>
    <mergeCell ref="A13:C13"/>
    <mergeCell ref="E148:I148"/>
    <mergeCell ref="A68:I68"/>
    <mergeCell ref="A10:I10"/>
    <mergeCell ref="C64:I64"/>
    <mergeCell ref="A1:I4"/>
    <mergeCell ref="A67:I67"/>
    <mergeCell ref="B7:D7"/>
    <mergeCell ref="C63:I63"/>
    <mergeCell ref="C65:I65"/>
    <mergeCell ref="A11:I11"/>
    <mergeCell ref="D46:I46"/>
    <mergeCell ref="C59:I59"/>
    <mergeCell ref="A70:I70"/>
    <mergeCell ref="C60:I60"/>
    <mergeCell ref="A69:I69"/>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5" min="0" max="8" man="1"/>
  </rowBreaks>
</worksheet>
</file>

<file path=xl/worksheets/sheet23.xml><?xml version="1.0" encoding="utf-8"?>
<worksheet xmlns="http://schemas.openxmlformats.org/spreadsheetml/2006/main">
  <sheetPr>
    <outlinePr summaryBelow="1" summaryRight="1"/>
    <pageSetUpPr fitToPage="1"/>
  </sheetPr>
  <dimension ref="A1:J207"/>
  <sheetViews>
    <sheetView view="pageBreakPreview" topLeftCell="A11" zoomScale="70" zoomScaleNormal="55" zoomScaleSheetLayoutView="70" workbookViewId="0">
      <selection activeCell="B58" sqref="B58"/>
    </sheetView>
  </sheetViews>
  <sheetFormatPr baseColWidth="8" defaultColWidth="9.140625" defaultRowHeight="14.4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45895</v>
      </c>
    </row>
    <row r="7" ht="23.1" customHeight="1">
      <c r="A7" s="82" t="inlineStr">
        <is>
          <t>Project Location:</t>
        </is>
      </c>
      <c r="B7" s="267" t="inlineStr">
        <is>
          <t>Geraldton</t>
        </is>
      </c>
      <c r="E7" s="267" t="n"/>
      <c r="F7" s="84" t="n"/>
      <c r="G7" s="84" t="n"/>
      <c r="H7" s="87" t="inlineStr">
        <is>
          <t>Day:</t>
        </is>
      </c>
      <c r="I7" s="88" t="inlineStr">
        <is>
          <t>Tuesday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91</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18 degrees  Wind:  44 km/h SW Precip: 12.8mm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11.5</v>
      </c>
      <c r="G15" s="100" t="inlineStr">
        <is>
          <t xml:space="preserve">Brockman,Khegan </t>
        </is>
      </c>
      <c r="H15" s="97" t="inlineStr">
        <is>
          <t>Labourer</t>
        </is>
      </c>
      <c r="I15" s="101" t="n"/>
    </row>
    <row r="16" ht="23.1" customHeight="1">
      <c r="A16" s="96" t="inlineStr">
        <is>
          <t>GRIFFITHS, Daniel</t>
        </is>
      </c>
      <c r="B16" s="97" t="inlineStr">
        <is>
          <t>Project Manager</t>
        </is>
      </c>
      <c r="C16" s="102" t="n">
        <v>11.5</v>
      </c>
      <c r="D16" s="100" t="inlineStr">
        <is>
          <t>Hanly,Thomas</t>
        </is>
      </c>
      <c r="E16" s="97" t="inlineStr">
        <is>
          <t>Operator</t>
        </is>
      </c>
      <c r="F16" s="97" t="n">
        <v>11.5</v>
      </c>
      <c r="G16" s="100" t="inlineStr">
        <is>
          <t xml:space="preserve">Levy, Laurent </t>
        </is>
      </c>
      <c r="H16" s="97" t="inlineStr">
        <is>
          <t>Operator</t>
        </is>
      </c>
      <c r="I16" s="101" t="n"/>
    </row>
    <row r="17" ht="23.1" customHeight="1">
      <c r="A17" s="96" t="inlineStr">
        <is>
          <t>O"SHEA, John</t>
        </is>
      </c>
      <c r="B17" s="97" t="inlineStr">
        <is>
          <t>Senior Project Engineer</t>
        </is>
      </c>
      <c r="C17" s="102" t="n"/>
      <c r="D17" s="103" t="n"/>
      <c r="E17" s="103" t="n"/>
      <c r="F17" s="97" t="n"/>
      <c r="G17" s="100" t="inlineStr">
        <is>
          <t xml:space="preserve">McAuffile, Daniel </t>
        </is>
      </c>
      <c r="H17" s="97" t="inlineStr">
        <is>
          <t>Operator</t>
        </is>
      </c>
      <c r="I17" s="101" t="n">
        <v>5</v>
      </c>
    </row>
    <row r="18" ht="23.1" customHeight="1">
      <c r="A18" s="96" t="inlineStr">
        <is>
          <t>GRIFFITHS, Ashley</t>
        </is>
      </c>
      <c r="B18" s="97" t="inlineStr">
        <is>
          <t>Supervisor</t>
        </is>
      </c>
      <c r="C18" s="102" t="n">
        <v>5</v>
      </c>
      <c r="D18" s="99" t="n"/>
      <c r="E18" s="99" t="n"/>
      <c r="F18" s="97" t="n"/>
      <c r="G18" s="100" t="inlineStr">
        <is>
          <t xml:space="preserve">Griffiths, Jachai </t>
        </is>
      </c>
      <c r="H18" s="97" t="inlineStr">
        <is>
          <t>Operator</t>
        </is>
      </c>
      <c r="I18" s="101" t="n"/>
    </row>
    <row r="19" ht="23.1" customHeight="1">
      <c r="A19" s="96" t="inlineStr">
        <is>
          <t>LOW, June</t>
        </is>
      </c>
      <c r="B19" s="97" t="inlineStr">
        <is>
          <t>HSET</t>
        </is>
      </c>
      <c r="C19" s="102" t="n"/>
      <c r="D19" s="99" t="n"/>
      <c r="E19" s="99" t="n"/>
      <c r="F19" s="97" t="n"/>
      <c r="G19" s="100" t="inlineStr">
        <is>
          <t>O'Brian, Jamie</t>
        </is>
      </c>
      <c r="H19" s="97" t="inlineStr">
        <is>
          <t>Operator</t>
        </is>
      </c>
      <c r="I19" s="101" t="n"/>
    </row>
    <row r="20" ht="23.1" customHeight="1">
      <c r="A20" s="96" t="inlineStr">
        <is>
          <t>SKINNER,Jamie</t>
        </is>
      </c>
      <c r="B20" s="97" t="inlineStr">
        <is>
          <t>Supervisor</t>
        </is>
      </c>
      <c r="C20" s="102" t="n">
        <v>11.5</v>
      </c>
      <c r="D20" s="99" t="n"/>
      <c r="E20" s="99" t="n"/>
      <c r="F20" s="97" t="n"/>
      <c r="G20" s="100" t="inlineStr">
        <is>
          <t>O'Reilly,James</t>
        </is>
      </c>
      <c r="H20" s="97" t="inlineStr">
        <is>
          <t>Operator</t>
        </is>
      </c>
      <c r="I20" s="101" t="n"/>
    </row>
    <row r="21" ht="23.1" customHeight="1">
      <c r="A21" s="96" t="n"/>
      <c r="B21" s="97" t="n"/>
      <c r="C21" s="102" t="n"/>
      <c r="D21" s="99" t="n"/>
      <c r="E21" s="99" t="n"/>
      <c r="F21" s="97" t="n"/>
      <c r="G21" s="100" t="inlineStr">
        <is>
          <t>Chester, Matt</t>
        </is>
      </c>
      <c r="H21" s="97" t="inlineStr">
        <is>
          <t>Gas Fitter</t>
        </is>
      </c>
      <c r="I21" s="101" t="n"/>
    </row>
    <row r="22" ht="23.1" customHeight="1">
      <c r="A22" s="96" t="n"/>
      <c r="B22" s="97" t="n"/>
      <c r="C22" s="102" t="n"/>
      <c r="D22" s="99" t="n"/>
      <c r="E22" s="99" t="n"/>
      <c r="F22" s="97" t="n"/>
      <c r="G22" s="100" t="inlineStr">
        <is>
          <t>Mounsey, Matt</t>
        </is>
      </c>
      <c r="H22" s="97" t="inlineStr">
        <is>
          <t>Gas Fitter</t>
        </is>
      </c>
      <c r="I22" s="101" t="n"/>
    </row>
    <row r="23" ht="23.1" customHeight="1">
      <c r="A23" s="96" t="n"/>
      <c r="B23" s="97" t="n"/>
      <c r="C23" s="102" t="n"/>
      <c r="D23" s="99" t="n"/>
      <c r="E23" s="99" t="n"/>
      <c r="F23" s="97" t="n"/>
      <c r="G23" s="100" t="inlineStr">
        <is>
          <t>Herring, Levin</t>
        </is>
      </c>
      <c r="H23" s="97" t="inlineStr">
        <is>
          <t>Gas Fitter</t>
        </is>
      </c>
      <c r="I23" s="101" t="n"/>
    </row>
    <row r="24" ht="23.1" customHeight="1">
      <c r="A24" s="96" t="n"/>
      <c r="B24" s="97" t="n"/>
      <c r="C24" s="102" t="n"/>
      <c r="D24" s="99" t="n"/>
      <c r="E24" s="99" t="n"/>
      <c r="F24" s="97" t="n"/>
      <c r="G24" s="100" t="inlineStr">
        <is>
          <t>Mosley,Joshua</t>
        </is>
      </c>
      <c r="H24" s="97" t="inlineStr">
        <is>
          <t>Surveyor</t>
        </is>
      </c>
      <c r="I24" s="101" t="n">
        <v>4</v>
      </c>
    </row>
    <row r="25" ht="23.1" customHeight="1">
      <c r="A25" s="96" t="n"/>
      <c r="B25" s="97" t="n"/>
      <c r="C25" s="102" t="n"/>
      <c r="D25" s="99" t="n"/>
      <c r="E25" s="99" t="n"/>
      <c r="F25" s="97" t="n"/>
      <c r="G25" s="151" t="n"/>
      <c r="H25" s="151" t="n"/>
      <c r="I25" s="107" t="n"/>
    </row>
    <row r="26" ht="23.1" customHeight="1">
      <c r="A26" s="255" t="inlineStr">
        <is>
          <t xml:space="preserve">Total Indirect Personnel onsite: </t>
        </is>
      </c>
      <c r="B26" s="105">
        <f>COUNT(C15:C26)</f>
        <v/>
      </c>
      <c r="C26" s="99" t="n"/>
      <c r="D26" s="99" t="n"/>
      <c r="E26" s="99" t="n"/>
      <c r="F26" s="97" t="n"/>
      <c r="G26" s="152" t="n"/>
      <c r="H26" s="151" t="n"/>
      <c r="I26" s="101" t="n"/>
    </row>
    <row r="27" ht="23.1" customHeight="1">
      <c r="A27" s="255" t="inlineStr">
        <is>
          <t xml:space="preserve">Total Indirect Personnel hours: </t>
        </is>
      </c>
      <c r="B27" s="105">
        <f>SUM(C15:C25)</f>
        <v/>
      </c>
      <c r="C27" s="102" t="n"/>
      <c r="D27" s="99" t="n"/>
      <c r="E27" s="99" t="n"/>
      <c r="F27" s="97" t="n"/>
      <c r="G27" s="106" t="inlineStr">
        <is>
          <t>Total Subcontractor on-site:</t>
        </is>
      </c>
      <c r="H27" s="105">
        <f>COUNT(I15:I26)</f>
        <v/>
      </c>
      <c r="I27" s="101" t="n"/>
    </row>
    <row r="28" ht="23.1" customHeight="1">
      <c r="A28" s="255" t="inlineStr">
        <is>
          <t xml:space="preserve">Total Direct Personnel onsite:  </t>
        </is>
      </c>
      <c r="B28" s="105">
        <f>COUNTIF(F15:F29,"&gt;0")</f>
        <v/>
      </c>
      <c r="C28" s="105" t="n"/>
      <c r="D28" s="99" t="n"/>
      <c r="E28" s="99" t="n"/>
      <c r="F28" s="108" t="n"/>
      <c r="G28" s="106" t="inlineStr">
        <is>
          <t>Total Subcontractor hours:</t>
        </is>
      </c>
      <c r="H28" s="105" t="n">
        <v>27</v>
      </c>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6 Wheel Tipper</t>
        </is>
      </c>
      <c r="E33" s="102" t="inlineStr">
        <is>
          <t>AMG04</t>
        </is>
      </c>
      <c r="F33" s="102" t="n"/>
      <c r="G33" s="102" t="inlineStr">
        <is>
          <t>Sea Container 20ft</t>
        </is>
      </c>
      <c r="H33" s="97" t="n">
        <v>951200</v>
      </c>
      <c r="I33" s="101" t="n">
        <v>1</v>
      </c>
    </row>
    <row r="34" ht="23.1" customHeight="1">
      <c r="A34" s="115" t="inlineStr">
        <is>
          <t>Watercart</t>
        </is>
      </c>
      <c r="B34" s="102" t="inlineStr">
        <is>
          <t>WC04</t>
        </is>
      </c>
      <c r="C34" s="97" t="inlineStr">
        <is>
          <t>SD</t>
        </is>
      </c>
      <c r="D34" s="102" t="n"/>
      <c r="E34" s="97" t="n"/>
      <c r="F34" s="102" t="n"/>
      <c r="G34" s="102" t="inlineStr">
        <is>
          <t>Site Sentry Tower</t>
        </is>
      </c>
      <c r="H34" s="102" t="n"/>
      <c r="I34" s="101" t="n">
        <v>2</v>
      </c>
    </row>
    <row r="35" ht="23.1" customHeight="1">
      <c r="A35" s="102" t="inlineStr">
        <is>
          <t>Mini Tipper</t>
        </is>
      </c>
      <c r="B35" s="102" t="inlineStr">
        <is>
          <t>SLS05</t>
        </is>
      </c>
      <c r="C35" s="102" t="n">
        <v>4</v>
      </c>
      <c r="D35" s="102" t="n"/>
      <c r="E35" s="102" t="n"/>
      <c r="F35" s="102" t="n"/>
      <c r="G35" s="102" t="inlineStr">
        <is>
          <t>Skip Bin</t>
        </is>
      </c>
      <c r="H35" s="102" t="n"/>
      <c r="I35" s="101" t="n">
        <v>1</v>
      </c>
    </row>
    <row r="36" ht="23.1" customHeight="1">
      <c r="A36" s="150" t="inlineStr">
        <is>
          <t>1 t Excavator</t>
        </is>
      </c>
      <c r="B36" s="102" t="inlineStr">
        <is>
          <t>SLS03</t>
        </is>
      </c>
      <c r="C36" s="102" t="inlineStr">
        <is>
          <t>SD</t>
        </is>
      </c>
      <c r="D36" s="102" t="n"/>
      <c r="E36" s="102" t="n"/>
      <c r="F36" s="102" t="n"/>
      <c r="G36" s="102" t="inlineStr">
        <is>
          <t>Hydrocarbon Bund</t>
        </is>
      </c>
      <c r="H36" s="102" t="n"/>
      <c r="I36" s="101" t="n">
        <v>1</v>
      </c>
    </row>
    <row r="37" ht="23.1" customHeight="1">
      <c r="A37" s="115" t="inlineStr">
        <is>
          <t>Padfoot/ Smooth Drum Roller</t>
        </is>
      </c>
      <c r="B37" s="102" t="inlineStr">
        <is>
          <t>RR 03</t>
        </is>
      </c>
      <c r="C37" s="97" t="inlineStr">
        <is>
          <t>SD</t>
        </is>
      </c>
      <c r="D37" s="102" t="n"/>
      <c r="E37" s="102" t="n"/>
      <c r="F37" s="102" t="n"/>
      <c r="G37" s="102" t="inlineStr">
        <is>
          <t>Temp Fence</t>
        </is>
      </c>
      <c r="H37" s="97" t="n"/>
      <c r="I37" s="101" t="n">
        <v>1</v>
      </c>
    </row>
    <row r="38" ht="24" customHeight="1">
      <c r="A38" s="115" t="inlineStr">
        <is>
          <t>Multi Roller</t>
        </is>
      </c>
      <c r="B38" s="102" t="n">
        <v>256</v>
      </c>
      <c r="C38" s="97" t="n"/>
      <c r="D38" s="102" t="n"/>
      <c r="E38" s="102" t="n"/>
      <c r="F38" s="102" t="n"/>
      <c r="G38" s="31" t="n"/>
      <c r="H38" s="31" t="n"/>
      <c r="I38" s="32" t="n"/>
    </row>
    <row r="39" ht="24" customHeight="1">
      <c r="A39" s="115" t="inlineStr">
        <is>
          <t>Positrak SSL</t>
        </is>
      </c>
      <c r="B39" s="102" t="inlineStr">
        <is>
          <t>SSL08</t>
        </is>
      </c>
      <c r="C39" s="97" t="n">
        <v>5</v>
      </c>
      <c r="D39" s="102" t="n"/>
      <c r="E39" s="102" t="n"/>
      <c r="F39" s="102" t="n"/>
      <c r="G39" s="31" t="n"/>
      <c r="H39" s="31" t="n"/>
      <c r="I39" s="32" t="n"/>
    </row>
    <row r="40" ht="24" customHeight="1">
      <c r="A40" s="115" t="inlineStr">
        <is>
          <t>Grader</t>
        </is>
      </c>
      <c r="B40" s="102" t="inlineStr">
        <is>
          <t>SLS01</t>
        </is>
      </c>
      <c r="C40" s="97" t="inlineStr">
        <is>
          <t>SD</t>
        </is>
      </c>
      <c r="D40" s="102" t="n"/>
      <c r="E40" s="102" t="n"/>
      <c r="F40" s="102" t="n"/>
      <c r="G40" s="31" t="n"/>
      <c r="H40" s="31" t="n"/>
      <c r="I40" s="32" t="n"/>
    </row>
    <row r="41" ht="24" customHeight="1">
      <c r="A41" s="115" t="inlineStr">
        <is>
          <t>5t Excavator</t>
        </is>
      </c>
      <c r="B41" s="102" t="inlineStr">
        <is>
          <t>AMG 007</t>
        </is>
      </c>
      <c r="C41" s="97" t="n"/>
      <c r="D41" s="102" t="n"/>
      <c r="E41" s="102" t="n"/>
      <c r="F41" s="102" t="n"/>
      <c r="G41" s="31" t="n"/>
      <c r="H41" s="31" t="n"/>
      <c r="I41" s="32" t="n"/>
    </row>
    <row r="42" ht="24" customHeight="1">
      <c r="A42" s="115" t="inlineStr">
        <is>
          <t>1.5 Excavator</t>
        </is>
      </c>
      <c r="B42" s="102" t="inlineStr">
        <is>
          <t>AMG 009</t>
        </is>
      </c>
      <c r="C42" s="97" t="n"/>
      <c r="D42" s="102" t="n"/>
      <c r="E42" s="102" t="n"/>
      <c r="F42" s="102" t="n"/>
      <c r="G42" s="31" t="n"/>
      <c r="H42" s="31" t="n"/>
      <c r="I42" s="32" t="n"/>
    </row>
    <row r="43" ht="24" customHeight="1">
      <c r="A43" s="115" t="n"/>
      <c r="B43" s="102" t="n"/>
      <c r="C43" s="97" t="n"/>
      <c r="D43" s="31" t="n"/>
      <c r="E43" s="31" t="n"/>
      <c r="F43" s="31" t="n"/>
      <c r="G43" s="31" t="n"/>
      <c r="H43" s="31" t="n"/>
      <c r="I43" s="32" t="n"/>
    </row>
    <row r="44" ht="18" customHeight="1">
      <c r="A44" s="117" t="n">
        <v>0</v>
      </c>
      <c r="B44" s="260" t="inlineStr">
        <is>
          <t xml:space="preserve">Repairs Required </t>
        </is>
      </c>
      <c r="C44" s="276" t="n"/>
      <c r="D44" s="249" t="inlineStr">
        <is>
          <t>N/A</t>
        </is>
      </c>
      <c r="E44" s="275" t="n"/>
      <c r="F44" s="275" t="n"/>
      <c r="G44" s="275" t="n"/>
      <c r="H44" s="275" t="n"/>
      <c r="I44" s="277" t="n"/>
    </row>
    <row r="45" ht="18" customHeight="1">
      <c r="A45" s="118" t="n">
        <v>0</v>
      </c>
      <c r="B45" s="260" t="inlineStr">
        <is>
          <t>Scheduled Service</t>
        </is>
      </c>
      <c r="C45" s="276" t="n"/>
      <c r="D45" s="249" t="inlineStr">
        <is>
          <t>N/A</t>
        </is>
      </c>
      <c r="E45" s="275" t="n"/>
      <c r="F45" s="275" t="n"/>
      <c r="G45" s="275" t="n"/>
      <c r="H45" s="275" t="n"/>
      <c r="I45" s="277" t="n"/>
    </row>
    <row r="46" ht="18" customHeight="1">
      <c r="A46" s="119" t="n">
        <v>0</v>
      </c>
      <c r="B46" s="260" t="inlineStr">
        <is>
          <t>Repairs required but operable</t>
        </is>
      </c>
      <c r="C46" s="276" t="n"/>
      <c r="D46" s="249" t="inlineStr">
        <is>
          <t>N/A</t>
        </is>
      </c>
      <c r="E46" s="275" t="n"/>
      <c r="F46" s="275" t="n"/>
      <c r="G46" s="275" t="n"/>
      <c r="H46" s="275" t="n"/>
      <c r="I46" s="277" t="n"/>
    </row>
    <row r="47" ht="23.1" customHeight="1">
      <c r="A47" s="255" t="inlineStr">
        <is>
          <t xml:space="preserve">Total Plant and Equipment Hours: </t>
        </is>
      </c>
      <c r="B47" s="276" t="n"/>
      <c r="C47" s="120">
        <f>SUM(C32:C43)</f>
        <v/>
      </c>
      <c r="D47" s="256" t="n"/>
      <c r="E47" s="275" t="n"/>
      <c r="F47" s="275" t="n"/>
      <c r="G47" s="275" t="n"/>
      <c r="H47" s="275" t="n"/>
      <c r="I47" s="277" t="n"/>
    </row>
    <row r="48" ht="24.95" customHeight="1">
      <c r="A48" s="245" t="inlineStr">
        <is>
          <t>DELAYS-OPPORTUNITY</t>
        </is>
      </c>
      <c r="B48" s="275" t="n"/>
      <c r="C48" s="275" t="n"/>
      <c r="D48" s="275" t="n"/>
      <c r="E48" s="275" t="n"/>
      <c r="F48" s="275" t="n"/>
      <c r="G48" s="275" t="n"/>
      <c r="H48" s="275" t="n"/>
      <c r="I48" s="277" t="n"/>
    </row>
    <row r="49" ht="20.1" customHeight="1">
      <c r="A49" s="121" t="n"/>
      <c r="B49" s="122" t="n"/>
      <c r="C49" s="122" t="n"/>
      <c r="D49" s="122" t="n"/>
      <c r="E49" s="122" t="n"/>
      <c r="F49" s="122" t="n"/>
      <c r="G49" s="122" t="n"/>
      <c r="H49" s="122" t="n"/>
      <c r="I49" s="123" t="n"/>
    </row>
    <row r="50" ht="15" customHeight="1">
      <c r="A50" s="244" t="inlineStr">
        <is>
          <t>Awaiting COGG confirmation on detail of Centrelink Carpark                             
Awaiting confirmation of Kerbing Plan
Awaiting Direction on Service Clash Forrest Street
Awaiting Confirmation on Batters Treatment 
Major rain damage Import of Basecourse Stopped-All staff redirected where possible
Awaiting finalised fencing details
Awaiting COGG confirmation on "Ballast Pile"</t>
        </is>
      </c>
      <c r="B50" s="278" t="n"/>
      <c r="C50" s="278" t="n"/>
      <c r="D50" s="278" t="n"/>
      <c r="E50" s="278" t="n"/>
      <c r="F50" s="278" t="n"/>
      <c r="G50" s="278" t="n"/>
      <c r="H50" s="278" t="n"/>
      <c r="I50" s="279" t="n"/>
    </row>
    <row r="51">
      <c r="A51" s="270" t="n"/>
      <c r="I51" s="271" t="n"/>
    </row>
    <row r="52">
      <c r="A52" s="270" t="n"/>
      <c r="I52" s="271" t="n"/>
    </row>
    <row r="53" ht="118.5" customHeight="1">
      <c r="A53" s="280" t="n"/>
      <c r="B53" s="281" t="n"/>
      <c r="C53" s="281" t="n"/>
      <c r="D53" s="281" t="n"/>
      <c r="E53" s="281" t="n"/>
      <c r="F53" s="281" t="n"/>
      <c r="G53" s="281" t="n"/>
      <c r="H53" s="281" t="n"/>
      <c r="I53" s="282" t="n"/>
    </row>
    <row r="54" ht="24.95" customHeight="1">
      <c r="A54" s="252" t="inlineStr">
        <is>
          <t>HSEQ MESSAGES</t>
        </is>
      </c>
      <c r="B54" s="283" t="n"/>
      <c r="C54" s="283" t="n"/>
      <c r="D54" s="283" t="n"/>
      <c r="E54" s="283" t="n"/>
      <c r="F54" s="283" t="n"/>
      <c r="G54" s="283" t="n"/>
      <c r="H54" s="283" t="n"/>
      <c r="I54" s="284" t="n"/>
    </row>
    <row r="55" ht="18" customHeight="1">
      <c r="A55" s="124" t="inlineStr">
        <is>
          <t>TCD - Monthly Safety Focus:</t>
        </is>
      </c>
      <c r="B55" s="257" t="inlineStr">
        <is>
          <t>Return to Work</t>
        </is>
      </c>
      <c r="C55" s="275" t="n"/>
      <c r="D55" s="275" t="n"/>
      <c r="E55" s="275" t="n"/>
      <c r="F55" s="275" t="n"/>
      <c r="G55" s="275" t="n"/>
      <c r="H55" s="275" t="n"/>
      <c r="I55" s="276" t="n"/>
    </row>
    <row r="56" ht="24" customHeight="1">
      <c r="A56" s="124" t="inlineStr">
        <is>
          <t>TCD - Daily Safety Focus:</t>
        </is>
      </c>
      <c r="B56" s="258" t="inlineStr">
        <is>
          <t>Bunting and Barracading</t>
        </is>
      </c>
      <c r="C56" s="275" t="n"/>
      <c r="D56" s="275" t="n"/>
      <c r="E56" s="275" t="n"/>
      <c r="F56" s="275" t="n"/>
      <c r="G56" s="275" t="n"/>
      <c r="H56" s="275" t="n"/>
      <c r="I56" s="277" t="n"/>
    </row>
    <row r="57" ht="18" customHeight="1">
      <c r="A57" s="125" t="inlineStr">
        <is>
          <t xml:space="preserve">Hazards Reported: </t>
        </is>
      </c>
      <c r="B57" s="126" t="inlineStr">
        <is>
          <t>Nil</t>
        </is>
      </c>
      <c r="C57" s="258" t="n"/>
      <c r="D57" s="275" t="n"/>
      <c r="E57" s="275" t="n"/>
      <c r="F57" s="275" t="n"/>
      <c r="G57" s="275" t="n"/>
      <c r="H57" s="275" t="n"/>
      <c r="I57" s="277" t="n"/>
    </row>
    <row r="58" ht="18" customHeight="1">
      <c r="A58" s="125" t="inlineStr">
        <is>
          <t>Incident Free Days</t>
        </is>
      </c>
      <c r="B58" s="126" t="n">
        <v>6</v>
      </c>
      <c r="C58" s="257" t="n"/>
      <c r="D58" s="275" t="n"/>
      <c r="E58" s="275" t="n"/>
      <c r="F58" s="275" t="n"/>
      <c r="G58" s="275" t="n"/>
      <c r="H58" s="275" t="n"/>
      <c r="I58" s="276" t="n"/>
    </row>
    <row r="59" ht="18" customHeight="1">
      <c r="A59" s="127" t="inlineStr">
        <is>
          <t>Other Notes</t>
        </is>
      </c>
      <c r="B59" s="259" t="n"/>
      <c r="C59" s="278" t="n"/>
      <c r="D59" s="278" t="n"/>
      <c r="E59" s="278" t="n"/>
      <c r="F59" s="278" t="n"/>
      <c r="G59" s="278" t="n"/>
      <c r="H59" s="278" t="n"/>
      <c r="I59" s="279" t="n"/>
    </row>
    <row r="60" ht="20.25" customHeight="1">
      <c r="A60" s="245" t="inlineStr">
        <is>
          <t xml:space="preserve">INCIDENTS &amp; REPORTS </t>
        </is>
      </c>
      <c r="B60" s="275" t="n"/>
      <c r="C60" s="275" t="n"/>
      <c r="D60" s="275" t="n"/>
      <c r="E60" s="275" t="n"/>
      <c r="F60" s="275" t="n"/>
      <c r="G60" s="275" t="n"/>
      <c r="H60" s="275" t="n"/>
      <c r="I60" s="277" t="n"/>
    </row>
    <row r="61" ht="24.95" customHeight="1">
      <c r="A61" s="128" t="n"/>
      <c r="B61" s="263" t="inlineStr">
        <is>
          <t>QTY</t>
        </is>
      </c>
      <c r="C61" s="254" t="inlineStr">
        <is>
          <t>Comments</t>
        </is>
      </c>
      <c r="D61" s="275" t="n"/>
      <c r="E61" s="275" t="n"/>
      <c r="F61" s="275" t="n"/>
      <c r="G61" s="275" t="n"/>
      <c r="H61" s="275" t="n"/>
      <c r="I61" s="277" t="n"/>
    </row>
    <row r="62" ht="24.95" customHeight="1">
      <c r="A62" s="129" t="inlineStr">
        <is>
          <t>INCIDENT</t>
        </is>
      </c>
      <c r="B62" s="263" t="n">
        <v>0</v>
      </c>
      <c r="C62" s="249" t="inlineStr">
        <is>
          <t>NA</t>
        </is>
      </c>
      <c r="D62" s="275" t="n"/>
      <c r="E62" s="275" t="n"/>
      <c r="F62" s="275" t="n"/>
      <c r="G62" s="275" t="n"/>
      <c r="H62" s="275" t="n"/>
      <c r="I62" s="277" t="n"/>
    </row>
    <row r="63" ht="24.95" customHeight="1">
      <c r="A63" s="130" t="inlineStr">
        <is>
          <t>IR</t>
        </is>
      </c>
      <c r="B63" s="131" t="n">
        <v>0</v>
      </c>
      <c r="C63" s="250" t="inlineStr">
        <is>
          <t>NA</t>
        </is>
      </c>
      <c r="D63" s="278" t="n"/>
      <c r="E63" s="278" t="n"/>
      <c r="F63" s="278" t="n"/>
      <c r="G63" s="278" t="n"/>
      <c r="H63" s="278" t="n"/>
      <c r="I63" s="279" t="n"/>
    </row>
    <row r="64" ht="24.95" customHeight="1">
      <c r="A64" s="132" t="inlineStr">
        <is>
          <t>NCR</t>
        </is>
      </c>
      <c r="B64" s="133" t="n">
        <v>0</v>
      </c>
      <c r="C64" s="251" t="inlineStr">
        <is>
          <t>NA</t>
        </is>
      </c>
      <c r="D64" s="285" t="n"/>
      <c r="E64" s="285" t="n"/>
      <c r="F64" s="285" t="n"/>
      <c r="G64" s="285" t="n"/>
      <c r="H64" s="285" t="n"/>
      <c r="I64" s="286" t="n"/>
    </row>
    <row r="65" ht="20.25" customHeight="1">
      <c r="A65" s="252" t="inlineStr">
        <is>
          <t>COMMUNICATIONS</t>
        </is>
      </c>
      <c r="B65" s="283" t="n"/>
      <c r="C65" s="283" t="n"/>
      <c r="D65" s="283" t="n"/>
      <c r="E65" s="283" t="n"/>
      <c r="F65" s="283" t="n"/>
      <c r="G65" s="283" t="n"/>
      <c r="H65" s="283" t="n"/>
      <c r="I65" s="284" t="n"/>
    </row>
    <row r="66" ht="24.95" customHeight="1">
      <c r="A66" s="253" t="inlineStr">
        <is>
          <t>TGS MB1119-05 Scheme D implemented</t>
        </is>
      </c>
      <c r="B66" s="275" t="n"/>
      <c r="C66" s="275" t="n"/>
      <c r="D66" s="275" t="n"/>
      <c r="E66" s="275" t="n"/>
      <c r="F66" s="275" t="n"/>
      <c r="G66" s="275" t="n"/>
      <c r="H66" s="275" t="n"/>
      <c r="I66" s="277" t="n"/>
    </row>
    <row r="67" ht="24.95" customHeight="1">
      <c r="A67" s="253" t="inlineStr">
        <is>
          <t>AMG Civil Demobilised</t>
        </is>
      </c>
      <c r="B67" s="275" t="n"/>
      <c r="C67" s="275" t="n"/>
      <c r="D67" s="275" t="n"/>
      <c r="E67" s="275" t="n"/>
      <c r="F67" s="275" t="n"/>
      <c r="G67" s="275" t="n"/>
      <c r="H67" s="275" t="n"/>
      <c r="I67" s="277" t="n"/>
    </row>
    <row r="68" ht="24.95" customHeight="1">
      <c r="A68" s="245" t="inlineStr">
        <is>
          <t>PRODUCTION (CONSTRUCTION STATUS &amp; PROGRESS)</t>
        </is>
      </c>
      <c r="B68" s="275" t="n"/>
      <c r="C68" s="275" t="n"/>
      <c r="D68" s="275" t="n"/>
      <c r="E68" s="275" t="n"/>
      <c r="F68" s="275" t="n"/>
      <c r="G68" s="275" t="n"/>
      <c r="H68" s="275" t="n"/>
      <c r="I68" s="277" t="n"/>
    </row>
    <row r="69" ht="24.95" customHeight="1">
      <c r="A69" s="134" t="inlineStr">
        <is>
          <t xml:space="preserve">Removal of kerb@Bayly st Tie-in </t>
        </is>
      </c>
      <c r="B69" s="135" t="n"/>
      <c r="C69" s="79" t="n"/>
      <c r="D69" s="79" t="n"/>
      <c r="E69" s="135" t="n"/>
      <c r="F69" s="135" t="n"/>
      <c r="G69" s="135" t="n"/>
      <c r="H69" s="135" t="n"/>
      <c r="I69" s="136" t="n"/>
    </row>
    <row r="70" ht="24.95" customHeight="1">
      <c r="A70" s="134" t="inlineStr">
        <is>
          <t>Rain Affected Day- Minimal Production Site Mostly Stood Down</t>
        </is>
      </c>
      <c r="B70" s="135" t="n"/>
      <c r="C70" s="79" t="n"/>
      <c r="D70" s="79" t="n"/>
      <c r="E70" s="135" t="n"/>
      <c r="F70" s="135" t="n"/>
      <c r="G70" s="135" t="n"/>
      <c r="H70" s="135" t="n"/>
      <c r="I70" s="136" t="n"/>
    </row>
    <row r="71" ht="24.95" customHeight="1">
      <c r="A71" s="134" t="inlineStr">
        <is>
          <t>Verge build up/Widening for Laterials prep</t>
        </is>
      </c>
      <c r="B71" s="135" t="n"/>
      <c r="C71" s="79" t="n"/>
      <c r="D71" s="79" t="n"/>
      <c r="E71" s="135" t="n"/>
      <c r="F71" s="135" t="n"/>
      <c r="G71" s="135" t="n"/>
      <c r="H71" s="135" t="n"/>
      <c r="I71" s="136" t="n"/>
    </row>
    <row r="72" ht="24.95" customHeight="1">
      <c r="A72" s="134" t="inlineStr">
        <is>
          <t xml:space="preserve">Survey mark up of Laterial alignment </t>
        </is>
      </c>
      <c r="B72" s="135" t="n"/>
      <c r="C72" s="79" t="n"/>
      <c r="D72" s="135" t="n"/>
      <c r="E72" s="135" t="n"/>
      <c r="F72" s="135" t="n"/>
      <c r="G72" s="135" t="n"/>
      <c r="H72" s="135" t="n"/>
      <c r="I72" s="136" t="n"/>
    </row>
    <row r="73" ht="24.95" customHeight="1">
      <c r="A73" s="134" t="inlineStr">
        <is>
          <t>Tip Run of excess concrete(kerbing)</t>
        </is>
      </c>
      <c r="B73" s="135" t="n"/>
      <c r="C73" s="79" t="n"/>
      <c r="D73" s="135" t="n"/>
      <c r="E73" s="135" t="n"/>
      <c r="F73" s="135" t="n"/>
      <c r="G73" s="135" t="n"/>
      <c r="H73" s="135" t="n"/>
      <c r="I73" s="136" t="n"/>
    </row>
    <row r="74" ht="26.1" customHeight="1">
      <c r="A74" s="246" t="inlineStr">
        <is>
          <t>Photos</t>
        </is>
      </c>
      <c r="B74" s="278" t="n"/>
      <c r="C74" s="278" t="n"/>
      <c r="D74" s="278" t="n"/>
      <c r="E74" s="278" t="n"/>
      <c r="F74" s="278" t="n"/>
      <c r="G74" s="278" t="n"/>
      <c r="H74" s="278" t="n"/>
      <c r="I74" s="279" t="n"/>
    </row>
    <row r="75" ht="23.1" customHeight="1">
      <c r="A75" s="137" t="n"/>
      <c r="B75" s="138" t="n"/>
      <c r="C75" s="138" t="n"/>
      <c r="D75" s="138" t="n"/>
      <c r="E75" s="138" t="n"/>
      <c r="F75" s="138" t="n"/>
      <c r="G75" s="138" t="n"/>
      <c r="H75" s="138" t="n"/>
      <c r="I75" s="139" t="n"/>
    </row>
    <row r="76" ht="23.1"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G96" s="141" t="n"/>
      <c r="H96" s="141" t="n"/>
      <c r="I96" s="142" t="n"/>
    </row>
    <row r="97" ht="15" customHeight="1">
      <c r="A97" s="140" t="n"/>
      <c r="B97" s="141" t="n"/>
      <c r="C97" s="141" t="n"/>
      <c r="D97" s="141" t="n"/>
      <c r="E97" s="141" t="n"/>
      <c r="F97" s="141" t="n"/>
      <c r="H97" s="141" t="n"/>
      <c r="I97" s="142" t="n"/>
    </row>
    <row r="98" ht="24.95" customFormat="1" customHeight="1" s="8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0" t="n"/>
      <c r="B112" s="141" t="n"/>
      <c r="C112" s="141" t="n"/>
      <c r="D112" s="141" t="n"/>
      <c r="E112" s="141" t="n"/>
      <c r="F112" s="141" t="n"/>
      <c r="G112" s="141" t="n"/>
      <c r="H112" s="141" t="n"/>
      <c r="I112" s="142" t="n"/>
    </row>
    <row r="113" ht="15" customHeight="1">
      <c r="A113" s="143" t="n"/>
      <c r="B113" s="144" t="n"/>
      <c r="C113" s="144" t="n"/>
      <c r="D113" s="144" t="n"/>
      <c r="E113" s="144" t="n"/>
      <c r="F113" s="144" t="n"/>
      <c r="G113" s="144" t="n"/>
      <c r="H113" s="144" t="n"/>
      <c r="I113" s="145"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15" customHeight="1">
      <c r="A121" s="140" t="n"/>
      <c r="B121" s="141" t="n"/>
      <c r="C121" s="141" t="n"/>
      <c r="D121" s="141" t="n"/>
      <c r="E121" s="141" t="n"/>
      <c r="F121" s="141" t="n"/>
      <c r="G121" s="141" t="n"/>
      <c r="H121" s="141" t="n"/>
      <c r="I121" s="142" t="n"/>
    </row>
    <row r="122" ht="24.9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15" customHeight="1">
      <c r="A124" s="140" t="n"/>
      <c r="B124" s="141" t="n"/>
      <c r="C124" s="141" t="n"/>
      <c r="D124" s="141" t="n"/>
      <c r="E124" s="141" t="n"/>
      <c r="F124" s="141" t="n"/>
      <c r="G124" s="141" t="n"/>
      <c r="H124" s="141" t="n"/>
      <c r="I124" s="142" t="n"/>
    </row>
    <row r="125" ht="27.9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row>
    <row r="138" ht="15" customHeight="1">
      <c r="A138" s="140" t="n"/>
      <c r="B138" s="141" t="n"/>
      <c r="C138" s="141" t="n"/>
      <c r="D138" s="141" t="n"/>
      <c r="E138" s="141" t="n"/>
      <c r="F138" s="141" t="n"/>
      <c r="G138" s="141" t="n"/>
      <c r="H138" s="141" t="n"/>
      <c r="I138" s="142" t="n"/>
      <c r="J138" s="146"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 customHeight="1">
      <c r="A144" s="140" t="n"/>
      <c r="B144" s="141" t="n"/>
      <c r="C144" s="141" t="n"/>
      <c r="D144" s="141" t="n"/>
      <c r="E144" s="141" t="n"/>
      <c r="F144" s="141" t="n"/>
      <c r="G144" s="141" t="n"/>
      <c r="H144" s="141" t="n"/>
      <c r="I144" s="142" t="n"/>
    </row>
    <row r="145" ht="15.95" customHeight="1">
      <c r="A145" s="140" t="n"/>
      <c r="B145" s="141" t="n"/>
      <c r="C145" s="141" t="n"/>
      <c r="D145" s="141" t="n"/>
      <c r="E145" s="141" t="n"/>
      <c r="F145" s="141" t="n"/>
      <c r="G145" s="141" t="n"/>
      <c r="H145" s="141" t="n"/>
      <c r="I145" s="142" t="n"/>
    </row>
    <row r="146" ht="30.75" customHeight="1">
      <c r="A146" s="247" t="n"/>
      <c r="E146" s="248" t="n"/>
      <c r="I146" s="271"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ht="15.95" customHeight="1">
      <c r="A200" s="59" t="n"/>
      <c r="B200" s="60" t="n"/>
      <c r="C200" s="60" t="n"/>
      <c r="D200" s="60" t="n"/>
      <c r="E200" s="60" t="n"/>
      <c r="F200" s="60" t="n"/>
      <c r="G200" s="60" t="n"/>
      <c r="H200" s="60" t="n"/>
      <c r="I200" s="61" t="n"/>
    </row>
    <row r="201">
      <c r="A201" s="64" t="n"/>
      <c r="I201" s="65" t="n"/>
    </row>
    <row r="202">
      <c r="A202" s="64" t="n"/>
      <c r="I202" s="65" t="n"/>
    </row>
    <row r="203">
      <c r="A203" s="64" t="n"/>
      <c r="I203" s="65" t="n"/>
    </row>
    <row r="204">
      <c r="A204" s="64" t="n"/>
      <c r="I204" s="65" t="n"/>
    </row>
    <row r="205">
      <c r="A205" s="64" t="n"/>
      <c r="I205" s="65" t="n"/>
    </row>
    <row r="206">
      <c r="A206" s="64" t="n"/>
      <c r="I206" s="65" t="n"/>
    </row>
    <row r="207" ht="15.95" customHeight="1">
      <c r="A207" s="59" t="n"/>
      <c r="B207" s="60" t="n"/>
      <c r="C207" s="60" t="n"/>
      <c r="D207" s="60" t="n"/>
      <c r="E207" s="60" t="n"/>
      <c r="F207" s="60" t="n"/>
      <c r="G207" s="60" t="n"/>
      <c r="H207" s="60" t="n"/>
      <c r="I207" s="61" t="n"/>
    </row>
  </sheetData>
  <mergeCells count="40">
    <mergeCell ref="A65:I65"/>
    <mergeCell ref="C61:I61"/>
    <mergeCell ref="D13:F13"/>
    <mergeCell ref="G13:I13"/>
    <mergeCell ref="B8:D8"/>
    <mergeCell ref="A66:I66"/>
    <mergeCell ref="B46:C46"/>
    <mergeCell ref="B59:I59"/>
    <mergeCell ref="A74:I74"/>
    <mergeCell ref="A12:I12"/>
    <mergeCell ref="C57:I57"/>
    <mergeCell ref="D47:I47"/>
    <mergeCell ref="B56:I56"/>
    <mergeCell ref="A5:I5"/>
    <mergeCell ref="B9:D9"/>
    <mergeCell ref="C62:I62"/>
    <mergeCell ref="B6:D6"/>
    <mergeCell ref="C58:I58"/>
    <mergeCell ref="B44:C44"/>
    <mergeCell ref="A146:D146"/>
    <mergeCell ref="A68:I68"/>
    <mergeCell ref="A13:C13"/>
    <mergeCell ref="A10:I10"/>
    <mergeCell ref="C64:I64"/>
    <mergeCell ref="A1:I4"/>
    <mergeCell ref="A47:B47"/>
    <mergeCell ref="A67:I67"/>
    <mergeCell ref="D44:I44"/>
    <mergeCell ref="B7:D7"/>
    <mergeCell ref="C63:I63"/>
    <mergeCell ref="A48:I48"/>
    <mergeCell ref="A50:I53"/>
    <mergeCell ref="A11:I11"/>
    <mergeCell ref="B55:I55"/>
    <mergeCell ref="A60:I60"/>
    <mergeCell ref="D46:I46"/>
    <mergeCell ref="B45:C45"/>
    <mergeCell ref="D45:I45"/>
    <mergeCell ref="E146:I146"/>
    <mergeCell ref="A54:I54"/>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3" min="0" max="8" man="1"/>
  </rowBreaks>
</worksheet>
</file>

<file path=xl/worksheets/sheet24.xml><?xml version="1.0" encoding="utf-8"?>
<worksheet xmlns="http://schemas.openxmlformats.org/spreadsheetml/2006/main">
  <sheetPr>
    <outlinePr summaryBelow="1" summaryRight="1"/>
    <pageSetUpPr fitToPage="1"/>
  </sheetPr>
  <dimension ref="A1:J206"/>
  <sheetViews>
    <sheetView view="pageBreakPreview" zoomScale="70" zoomScaleNormal="55" zoomScaleSheetLayoutView="70" workbookViewId="0">
      <selection activeCell="C43" sqref="A33:C43"/>
    </sheetView>
  </sheetViews>
  <sheetFormatPr baseColWidth="8" defaultColWidth="9.140625" defaultRowHeight="14.4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45896</v>
      </c>
    </row>
    <row r="7" ht="23.1" customHeight="1">
      <c r="A7" s="82" t="inlineStr">
        <is>
          <t>Project Location:</t>
        </is>
      </c>
      <c r="B7" s="267" t="inlineStr">
        <is>
          <t>Geraldton</t>
        </is>
      </c>
      <c r="E7" s="267" t="n"/>
      <c r="F7" s="84" t="n"/>
      <c r="G7" s="84" t="n"/>
      <c r="H7" s="87" t="inlineStr">
        <is>
          <t>Day:</t>
        </is>
      </c>
      <c r="I7" s="88" t="inlineStr">
        <is>
          <t>Wednesday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92</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61" t="inlineStr">
        <is>
          <t xml:space="preserve">Temperature: 18 degrees  Wind:  31km/h WSW Precip: 2.2mm </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11</v>
      </c>
      <c r="G15" s="100" t="inlineStr">
        <is>
          <t>Khegan Brockman</t>
        </is>
      </c>
      <c r="H15" s="97" t="inlineStr">
        <is>
          <t>Labourer</t>
        </is>
      </c>
      <c r="I15" s="101" t="n"/>
    </row>
    <row r="16" ht="23.1" customHeight="1">
      <c r="A16" s="96" t="inlineStr">
        <is>
          <t>GRIFFITHS, Daniel</t>
        </is>
      </c>
      <c r="B16" s="97" t="inlineStr">
        <is>
          <t>Project Manager</t>
        </is>
      </c>
      <c r="C16" s="102" t="n">
        <v>11.5</v>
      </c>
      <c r="D16" s="100" t="inlineStr">
        <is>
          <t>Hanly,Thomas</t>
        </is>
      </c>
      <c r="E16" s="97" t="inlineStr">
        <is>
          <t>Operator</t>
        </is>
      </c>
      <c r="F16" s="97" t="n">
        <v>11</v>
      </c>
      <c r="G16" s="100" t="inlineStr">
        <is>
          <t>Laurent Levy</t>
        </is>
      </c>
      <c r="H16" s="97" t="inlineStr">
        <is>
          <t>Operator</t>
        </is>
      </c>
      <c r="I16" s="101" t="n"/>
    </row>
    <row r="17" ht="23.1" customHeight="1">
      <c r="A17" s="96" t="inlineStr">
        <is>
          <t>O"SHEA, John</t>
        </is>
      </c>
      <c r="B17" s="97" t="inlineStr">
        <is>
          <t>Senior Project Engineer</t>
        </is>
      </c>
      <c r="C17" s="102" t="n"/>
      <c r="D17" s="103" t="n"/>
      <c r="E17" s="103" t="n"/>
      <c r="F17" s="97" t="n"/>
      <c r="G17" s="100" t="inlineStr">
        <is>
          <t>Daniel McAuffile</t>
        </is>
      </c>
      <c r="H17" s="97" t="inlineStr">
        <is>
          <t>Operator</t>
        </is>
      </c>
      <c r="I17" s="101" t="n">
        <v>10</v>
      </c>
    </row>
    <row r="18" ht="23.1" customHeight="1">
      <c r="A18" s="96" t="inlineStr">
        <is>
          <t>GRIFFITHS, Ashley</t>
        </is>
      </c>
      <c r="B18" s="97" t="inlineStr">
        <is>
          <t>Supervisor</t>
        </is>
      </c>
      <c r="C18" s="102" t="n"/>
      <c r="D18" s="99" t="n"/>
      <c r="E18" s="99" t="n"/>
      <c r="F18" s="97" t="n"/>
      <c r="G18" s="100" t="inlineStr">
        <is>
          <t>Jachai Griffiths</t>
        </is>
      </c>
      <c r="H18" s="97" t="inlineStr">
        <is>
          <t>Operator</t>
        </is>
      </c>
      <c r="I18" s="101" t="n"/>
    </row>
    <row r="19" ht="23.1" customHeight="1">
      <c r="A19" s="96" t="inlineStr">
        <is>
          <t>LOW, June</t>
        </is>
      </c>
      <c r="B19" s="97" t="inlineStr">
        <is>
          <t>HSET</t>
        </is>
      </c>
      <c r="C19" s="102" t="n"/>
      <c r="D19" s="99" t="n"/>
      <c r="E19" s="99" t="n"/>
      <c r="F19" s="97" t="n"/>
      <c r="G19" s="100" t="inlineStr">
        <is>
          <t>O'Brian, Jamie</t>
        </is>
      </c>
      <c r="H19" s="97" t="inlineStr">
        <is>
          <t>Operator</t>
        </is>
      </c>
      <c r="I19" s="101" t="n"/>
    </row>
    <row r="20" ht="23.1" customHeight="1">
      <c r="A20" s="96" t="inlineStr">
        <is>
          <t>SKINNER,Jamie</t>
        </is>
      </c>
      <c r="B20" s="97" t="inlineStr">
        <is>
          <t>Supervisor</t>
        </is>
      </c>
      <c r="C20" s="102" t="n">
        <v>11.5</v>
      </c>
      <c r="D20" s="99" t="n"/>
      <c r="E20" s="99" t="n"/>
      <c r="F20" s="97" t="n"/>
      <c r="G20" s="100" t="inlineStr">
        <is>
          <t>O'Reilly,James</t>
        </is>
      </c>
      <c r="H20" s="97" t="inlineStr">
        <is>
          <t>Operator</t>
        </is>
      </c>
      <c r="I20" s="101" t="n"/>
    </row>
    <row r="21" ht="23.1" customHeight="1">
      <c r="A21" s="96" t="n"/>
      <c r="B21" s="97" t="n"/>
      <c r="C21" s="102" t="n"/>
      <c r="D21" s="99" t="n"/>
      <c r="E21" s="99" t="n"/>
      <c r="F21" s="97" t="n"/>
      <c r="G21" s="100" t="inlineStr">
        <is>
          <t>Chester, Matt</t>
        </is>
      </c>
      <c r="H21" s="97" t="inlineStr">
        <is>
          <t>Gas Fitter</t>
        </is>
      </c>
      <c r="I21" s="101" t="n"/>
    </row>
    <row r="22" ht="23.1" customHeight="1">
      <c r="A22" s="96" t="n"/>
      <c r="B22" s="97" t="n"/>
      <c r="C22" s="102" t="n"/>
      <c r="D22" s="99" t="n"/>
      <c r="E22" s="99" t="n"/>
      <c r="F22" s="97" t="n"/>
      <c r="G22" s="100" t="inlineStr">
        <is>
          <t>Mounsey, Matt</t>
        </is>
      </c>
      <c r="H22" s="97" t="inlineStr">
        <is>
          <t>Gas Fitter</t>
        </is>
      </c>
      <c r="I22" s="101" t="n"/>
    </row>
    <row r="23" ht="23.1" customHeight="1">
      <c r="A23" s="96" t="n"/>
      <c r="B23" s="97" t="n"/>
      <c r="C23" s="102" t="n"/>
      <c r="D23" s="99" t="n"/>
      <c r="E23" s="99" t="n"/>
      <c r="F23" s="97" t="n"/>
      <c r="G23" s="100" t="inlineStr">
        <is>
          <t>Herring, Levin</t>
        </is>
      </c>
      <c r="H23" s="97" t="inlineStr">
        <is>
          <t>Gas Fitter</t>
        </is>
      </c>
      <c r="I23" s="101" t="n"/>
    </row>
    <row r="24" ht="23.1" customHeight="1">
      <c r="A24" s="96" t="n"/>
      <c r="B24" s="97" t="n"/>
      <c r="C24" s="102" t="n"/>
      <c r="D24" s="99" t="n"/>
      <c r="E24" s="99" t="n"/>
      <c r="F24" s="97" t="n"/>
      <c r="G24" s="100" t="inlineStr">
        <is>
          <t>Dixon, Warren</t>
        </is>
      </c>
      <c r="H24" s="97" t="inlineStr">
        <is>
          <t>Irrigation Installer</t>
        </is>
      </c>
      <c r="I24" s="101" t="n">
        <v>4</v>
      </c>
    </row>
    <row r="25" ht="23.1" customHeight="1">
      <c r="A25" s="96" t="n"/>
      <c r="B25" s="97" t="n"/>
      <c r="C25" s="102" t="n"/>
      <c r="D25" s="99" t="n"/>
      <c r="E25" s="99" t="n"/>
      <c r="F25" s="97" t="n"/>
      <c r="G25" s="100" t="inlineStr">
        <is>
          <t>Mosley,Joshua</t>
        </is>
      </c>
      <c r="H25" s="97" t="inlineStr">
        <is>
          <t>Surveyor</t>
        </is>
      </c>
      <c r="I25" s="101" t="n">
        <v>2</v>
      </c>
    </row>
    <row r="26" ht="23.1" customHeight="1">
      <c r="A26" s="96" t="n"/>
      <c r="B26" s="97" t="n"/>
      <c r="C26" s="102" t="n"/>
      <c r="D26" s="99" t="n"/>
      <c r="E26" s="99" t="n"/>
      <c r="F26" s="97" t="n"/>
      <c r="G26" s="151" t="n"/>
      <c r="H26" s="151" t="n"/>
      <c r="I26" s="107" t="n"/>
    </row>
    <row r="27" ht="23.1" customHeight="1">
      <c r="A27" s="255" t="inlineStr">
        <is>
          <t xml:space="preserve">Total Indirect Personnel onsite: </t>
        </is>
      </c>
      <c r="B27" s="105">
        <f>COUNT(C15:C27)</f>
        <v/>
      </c>
      <c r="C27" s="99" t="n"/>
      <c r="D27" s="99" t="n"/>
      <c r="E27" s="99" t="n"/>
      <c r="F27" s="97" t="n"/>
      <c r="G27" s="152" t="n"/>
      <c r="H27" s="151" t="n"/>
      <c r="I27" s="101" t="n"/>
    </row>
    <row r="28" ht="23.1" customHeight="1">
      <c r="A28" s="255" t="inlineStr">
        <is>
          <t xml:space="preserve">Total Indirect Personnel hours: </t>
        </is>
      </c>
      <c r="B28" s="105">
        <f>SUM(C15:C26)</f>
        <v/>
      </c>
      <c r="C28" s="102" t="n"/>
      <c r="D28" s="99" t="n"/>
      <c r="E28" s="99" t="n"/>
      <c r="F28" s="97" t="n"/>
      <c r="G28" s="106" t="inlineStr">
        <is>
          <t>Total Subcontractor on-site:</t>
        </is>
      </c>
      <c r="H28" s="107">
        <f>COUNT(I15:I25)</f>
        <v/>
      </c>
      <c r="I28" s="101" t="n"/>
    </row>
    <row r="29" ht="23.1" customHeight="1">
      <c r="A29" s="255" t="inlineStr">
        <is>
          <t xml:space="preserve">Total Direct Personnel onsite:  </t>
        </is>
      </c>
      <c r="B29" s="105">
        <f>COUNTIF(F15:F30,"&gt;0")</f>
        <v/>
      </c>
      <c r="C29" s="105" t="n"/>
      <c r="D29" s="99" t="n"/>
      <c r="E29" s="99" t="n"/>
      <c r="F29" s="108" t="n"/>
      <c r="G29" s="106" t="inlineStr">
        <is>
          <t>Total Subcontractor hours:</t>
        </is>
      </c>
      <c r="H29" s="107" t="n">
        <v>27</v>
      </c>
      <c r="I29" s="254" t="n"/>
    </row>
    <row r="30" ht="23.1" customHeight="1">
      <c r="A30" s="255" t="inlineStr">
        <is>
          <t xml:space="preserve">Total Direct Personnel hours: </t>
        </is>
      </c>
      <c r="B30" s="105">
        <f>SUM(F15:F30)</f>
        <v/>
      </c>
      <c r="C30" s="105" t="n"/>
      <c r="D30" s="105" t="n"/>
      <c r="E30" s="105" t="n"/>
      <c r="F30" s="105" t="n"/>
      <c r="G30" s="105" t="n"/>
      <c r="H30" s="105" t="n"/>
      <c r="I30" s="254" t="n"/>
    </row>
    <row r="31" ht="24.95" customHeight="1">
      <c r="A31" s="110" t="inlineStr">
        <is>
          <t>PLANT &amp; EQUIPMENT</t>
        </is>
      </c>
      <c r="B31" s="111" t="n"/>
      <c r="C31" s="111" t="n"/>
      <c r="D31" s="111" t="n"/>
      <c r="E31" s="111" t="n"/>
      <c r="F31" s="111" t="n"/>
      <c r="G31" s="111" t="n"/>
      <c r="H31" s="111" t="n"/>
      <c r="I31" s="112" t="n"/>
    </row>
    <row r="32" ht="24" customHeight="1">
      <c r="A32" s="262" t="inlineStr">
        <is>
          <t>Plant</t>
        </is>
      </c>
      <c r="B32" s="263" t="inlineStr">
        <is>
          <t>ID</t>
        </is>
      </c>
      <c r="C32" s="263" t="inlineStr">
        <is>
          <t>Hours</t>
        </is>
      </c>
      <c r="D32" s="263" t="inlineStr">
        <is>
          <t xml:space="preserve"> Vehicles</t>
        </is>
      </c>
      <c r="E32" s="263" t="inlineStr">
        <is>
          <t>ID</t>
        </is>
      </c>
      <c r="F32" s="263" t="inlineStr">
        <is>
          <t>QTY</t>
        </is>
      </c>
      <c r="G32" s="113" t="inlineStr">
        <is>
          <t>Site Facilities</t>
        </is>
      </c>
      <c r="H32" s="113" t="inlineStr">
        <is>
          <t>ID</t>
        </is>
      </c>
      <c r="I32" s="114" t="inlineStr">
        <is>
          <t>Qty</t>
        </is>
      </c>
    </row>
    <row r="33" ht="23.1" customHeight="1">
      <c r="A33" s="96" t="inlineStr">
        <is>
          <t>Komatsu WA320</t>
        </is>
      </c>
      <c r="B33" s="97" t="inlineStr">
        <is>
          <t>FWL18</t>
        </is>
      </c>
      <c r="C33" s="97" t="n">
        <v>5</v>
      </c>
      <c r="D33" s="102" t="inlineStr">
        <is>
          <t>Hilux</t>
        </is>
      </c>
      <c r="E33" s="102" t="inlineStr">
        <is>
          <t>DLV90</t>
        </is>
      </c>
      <c r="F33" s="102" t="n">
        <v>1</v>
      </c>
      <c r="G33" s="102" t="inlineStr">
        <is>
          <t>Office 40ft</t>
        </is>
      </c>
      <c r="H33" s="102" t="n">
        <v>9255540</v>
      </c>
      <c r="I33" s="101" t="n">
        <v>1</v>
      </c>
    </row>
    <row r="34" ht="23.1" customHeight="1">
      <c r="A34" s="96" t="inlineStr">
        <is>
          <t>Wacker Neuson DPU</t>
        </is>
      </c>
      <c r="B34" s="97" t="inlineStr">
        <is>
          <t>DPC15</t>
        </is>
      </c>
      <c r="C34" s="97" t="n"/>
      <c r="D34" s="102" t="inlineStr">
        <is>
          <t>6 Wheel Tipper</t>
        </is>
      </c>
      <c r="E34" s="102" t="inlineStr">
        <is>
          <t>AMG04</t>
        </is>
      </c>
      <c r="F34" s="102" t="n"/>
      <c r="G34" s="102" t="inlineStr">
        <is>
          <t>Sea Container 20ft</t>
        </is>
      </c>
      <c r="H34" s="97" t="n">
        <v>951200</v>
      </c>
      <c r="I34" s="101" t="n">
        <v>1</v>
      </c>
    </row>
    <row r="35" ht="23.1" customHeight="1">
      <c r="A35" s="115" t="inlineStr">
        <is>
          <t>Positrak</t>
        </is>
      </c>
      <c r="B35" s="102" t="inlineStr">
        <is>
          <t>AMG 025</t>
        </is>
      </c>
      <c r="C35" s="97" t="n">
        <v>4</v>
      </c>
      <c r="D35" s="102" t="n"/>
      <c r="E35" s="97" t="n"/>
      <c r="F35" s="102" t="n"/>
      <c r="G35" s="102" t="inlineStr">
        <is>
          <t>Site Sentry Tower</t>
        </is>
      </c>
      <c r="H35" s="102" t="n"/>
      <c r="I35" s="101" t="n">
        <v>2</v>
      </c>
    </row>
    <row r="36" ht="23.1" customHeight="1">
      <c r="A36" s="115" t="inlineStr">
        <is>
          <t>Watercart</t>
        </is>
      </c>
      <c r="B36" s="102" t="inlineStr">
        <is>
          <t>WC04</t>
        </is>
      </c>
      <c r="C36" s="97" t="n">
        <v>5</v>
      </c>
      <c r="D36" s="102" t="n"/>
      <c r="E36" s="102" t="n"/>
      <c r="F36" s="102" t="n"/>
      <c r="G36" s="102" t="inlineStr">
        <is>
          <t>Skip Bin</t>
        </is>
      </c>
      <c r="H36" s="102" t="n"/>
      <c r="I36" s="101" t="n">
        <v>1</v>
      </c>
    </row>
    <row r="37" ht="23.1" customHeight="1">
      <c r="A37" s="115" t="inlineStr">
        <is>
          <t>8T Excavator</t>
        </is>
      </c>
      <c r="B37" s="116" t="inlineStr">
        <is>
          <t>AMG 014</t>
        </is>
      </c>
      <c r="C37" s="97" t="n"/>
      <c r="D37" s="102" t="n"/>
      <c r="E37" s="102" t="n"/>
      <c r="F37" s="102" t="n"/>
      <c r="G37" s="102" t="inlineStr">
        <is>
          <t>Hydrocarbon Bund</t>
        </is>
      </c>
      <c r="H37" s="102" t="n"/>
      <c r="I37" s="101" t="n">
        <v>1</v>
      </c>
    </row>
    <row r="38" ht="23.1" customHeight="1">
      <c r="A38" s="102" t="inlineStr">
        <is>
          <t>Mini Tipper</t>
        </is>
      </c>
      <c r="B38" s="102" t="inlineStr">
        <is>
          <t>SLS05</t>
        </is>
      </c>
      <c r="C38" s="102" t="n">
        <v>4</v>
      </c>
      <c r="D38" s="102" t="n"/>
      <c r="E38" s="102" t="n"/>
      <c r="F38" s="102" t="n"/>
      <c r="G38" s="102" t="inlineStr">
        <is>
          <t>Temp Fence</t>
        </is>
      </c>
      <c r="H38" s="97" t="n"/>
      <c r="I38" s="101" t="n">
        <v>1</v>
      </c>
    </row>
    <row r="39" ht="24" customHeight="1">
      <c r="A39" s="150" t="inlineStr">
        <is>
          <t>1 t Excavator</t>
        </is>
      </c>
      <c r="B39" s="102" t="inlineStr">
        <is>
          <t>SLS03</t>
        </is>
      </c>
      <c r="C39" s="102" t="n"/>
      <c r="D39" s="102" t="n"/>
      <c r="E39" s="102" t="n"/>
      <c r="F39" s="102" t="n"/>
      <c r="G39" s="31" t="n"/>
      <c r="H39" s="31" t="n"/>
      <c r="I39" s="32" t="n"/>
    </row>
    <row r="40" ht="24" customHeight="1">
      <c r="A40" s="115" t="inlineStr">
        <is>
          <t>Padfoot/ Smooth Drum Roller</t>
        </is>
      </c>
      <c r="B40" s="102" t="inlineStr">
        <is>
          <t>RR 03</t>
        </is>
      </c>
      <c r="C40" s="97" t="n"/>
      <c r="D40" s="102" t="n"/>
      <c r="E40" s="102" t="n"/>
      <c r="F40" s="102" t="n"/>
      <c r="G40" s="31" t="n"/>
      <c r="H40" s="31" t="n"/>
      <c r="I40" s="32" t="n"/>
    </row>
    <row r="41" ht="24" customHeight="1">
      <c r="A41" s="115" t="inlineStr">
        <is>
          <t>Multi Roller</t>
        </is>
      </c>
      <c r="B41" s="102" t="n">
        <v>256</v>
      </c>
      <c r="C41" s="97" t="n"/>
      <c r="D41" s="102" t="n"/>
      <c r="E41" s="102" t="n"/>
      <c r="F41" s="102" t="n"/>
      <c r="G41" s="31" t="n"/>
      <c r="H41" s="31" t="n"/>
      <c r="I41" s="32" t="n"/>
    </row>
    <row r="42" ht="24" customHeight="1">
      <c r="A42" s="115" t="inlineStr">
        <is>
          <t>Positrak SSL</t>
        </is>
      </c>
      <c r="B42" s="102" t="inlineStr">
        <is>
          <t>SSL08</t>
        </is>
      </c>
      <c r="C42" s="97" t="n">
        <v>5</v>
      </c>
      <c r="D42" s="102" t="n"/>
      <c r="E42" s="102" t="n"/>
      <c r="F42" s="102" t="n"/>
      <c r="G42" s="31" t="n"/>
      <c r="H42" s="31" t="n"/>
      <c r="I42" s="32" t="n"/>
    </row>
    <row r="43" ht="24" customHeight="1">
      <c r="A43" s="115" t="inlineStr">
        <is>
          <t>Grader</t>
        </is>
      </c>
      <c r="B43" s="102" t="inlineStr">
        <is>
          <t>SLS01</t>
        </is>
      </c>
      <c r="C43" s="97" t="n">
        <v>3</v>
      </c>
      <c r="D43" s="102" t="n"/>
      <c r="E43" s="102" t="n"/>
      <c r="F43" s="102" t="n"/>
      <c r="G43" s="31" t="n"/>
      <c r="H43" s="31" t="n"/>
      <c r="I43" s="32" t="n"/>
    </row>
    <row r="44" ht="24" customHeight="1">
      <c r="A44" s="115" t="n"/>
      <c r="B44" s="102" t="n"/>
      <c r="C44" s="97" t="n"/>
      <c r="D44" s="31" t="n"/>
      <c r="E44" s="31" t="n"/>
      <c r="F44" s="31" t="n"/>
      <c r="G44" s="31" t="n"/>
      <c r="H44" s="31" t="n"/>
      <c r="I44" s="32" t="n"/>
    </row>
    <row r="45" ht="18" customHeight="1">
      <c r="A45" s="117" t="n">
        <v>0</v>
      </c>
      <c r="B45" s="260" t="inlineStr">
        <is>
          <t xml:space="preserve">Repairs Required </t>
        </is>
      </c>
      <c r="C45" s="276" t="n"/>
      <c r="D45" s="249" t="inlineStr">
        <is>
          <t>N/A</t>
        </is>
      </c>
      <c r="E45" s="275" t="n"/>
      <c r="F45" s="275" t="n"/>
      <c r="G45" s="275" t="n"/>
      <c r="H45" s="275" t="n"/>
      <c r="I45" s="277" t="n"/>
    </row>
    <row r="46" ht="18" customHeight="1">
      <c r="A46" s="118" t="n">
        <v>0</v>
      </c>
      <c r="B46" s="260" t="inlineStr">
        <is>
          <t>Scheduled Service</t>
        </is>
      </c>
      <c r="C46" s="276" t="n"/>
      <c r="D46" s="249" t="inlineStr">
        <is>
          <t>N/A</t>
        </is>
      </c>
      <c r="E46" s="275" t="n"/>
      <c r="F46" s="275" t="n"/>
      <c r="G46" s="275" t="n"/>
      <c r="H46" s="275" t="n"/>
      <c r="I46" s="277" t="n"/>
    </row>
    <row r="47" ht="18" customHeight="1">
      <c r="A47" s="119" t="n">
        <v>0</v>
      </c>
      <c r="B47" s="260" t="inlineStr">
        <is>
          <t>Repairs required but operable</t>
        </is>
      </c>
      <c r="C47" s="276" t="n"/>
      <c r="D47" s="249" t="inlineStr">
        <is>
          <t>N/A</t>
        </is>
      </c>
      <c r="E47" s="275" t="n"/>
      <c r="F47" s="275" t="n"/>
      <c r="G47" s="275" t="n"/>
      <c r="H47" s="275" t="n"/>
      <c r="I47" s="277" t="n"/>
    </row>
    <row r="48" ht="23.1" customHeight="1">
      <c r="A48" s="255" t="inlineStr">
        <is>
          <t xml:space="preserve">Total Plant and Equipment Hours: </t>
        </is>
      </c>
      <c r="B48" s="276" t="n"/>
      <c r="C48" s="120">
        <f>SUM(C33:C44)</f>
        <v/>
      </c>
      <c r="D48" s="256" t="n"/>
      <c r="E48" s="275" t="n"/>
      <c r="F48" s="275" t="n"/>
      <c r="G48" s="275" t="n"/>
      <c r="H48" s="275" t="n"/>
      <c r="I48" s="277" t="n"/>
    </row>
    <row r="49" ht="24.95" customHeight="1">
      <c r="A49" s="245" t="inlineStr">
        <is>
          <t>DELAYS-OPPORTUNITY</t>
        </is>
      </c>
      <c r="B49" s="275" t="n"/>
      <c r="C49" s="275" t="n"/>
      <c r="D49" s="275" t="n"/>
      <c r="E49" s="275" t="n"/>
      <c r="F49" s="275" t="n"/>
      <c r="G49" s="275" t="n"/>
      <c r="H49" s="275" t="n"/>
      <c r="I49" s="277" t="n"/>
    </row>
    <row r="50" ht="20.1" customHeight="1">
      <c r="A50" s="121" t="n"/>
      <c r="B50" s="122" t="n"/>
      <c r="C50" s="122" t="n"/>
      <c r="D50" s="122" t="n"/>
      <c r="E50" s="122" t="n"/>
      <c r="F50" s="122" t="n"/>
      <c r="G50" s="122" t="n"/>
      <c r="H50" s="122" t="n"/>
      <c r="I50" s="123" t="n"/>
    </row>
    <row r="51" ht="15" customHeight="1">
      <c r="A51" s="244" t="inlineStr">
        <is>
          <t>Awaiting COGG confirmation on detail of Centrelink Carpark                             
Awaiting confirmation of Kerbing Plan
Awaiting Direction on Service Clash Forrest Street
Awaiting Confirmation on Batters Treatment 
Major rain damage Import of Basecourse Stopped-All staff redirected where possible
Awaiting finalised fencing details
Awaiting COGG confirmation on "Ballast Pile"</t>
        </is>
      </c>
      <c r="B51" s="278" t="n"/>
      <c r="C51" s="278" t="n"/>
      <c r="D51" s="278" t="n"/>
      <c r="E51" s="278" t="n"/>
      <c r="F51" s="278" t="n"/>
      <c r="G51" s="278" t="n"/>
      <c r="H51" s="278" t="n"/>
      <c r="I51" s="279" t="n"/>
    </row>
    <row r="52">
      <c r="A52" s="270" t="n"/>
      <c r="I52" s="271" t="n"/>
    </row>
    <row r="53">
      <c r="A53" s="270" t="n"/>
      <c r="I53" s="271" t="n"/>
    </row>
    <row r="54" ht="117.6" customHeight="1">
      <c r="A54" s="280" t="n"/>
      <c r="B54" s="281" t="n"/>
      <c r="C54" s="281" t="n"/>
      <c r="D54" s="281" t="n"/>
      <c r="E54" s="281" t="n"/>
      <c r="F54" s="281" t="n"/>
      <c r="G54" s="281" t="n"/>
      <c r="H54" s="281" t="n"/>
      <c r="I54" s="282" t="n"/>
    </row>
    <row r="55" ht="24.95" customHeight="1">
      <c r="A55" s="252" t="inlineStr">
        <is>
          <t>HSEQ MESSAGES</t>
        </is>
      </c>
      <c r="B55" s="283" t="n"/>
      <c r="C55" s="283" t="n"/>
      <c r="D55" s="283" t="n"/>
      <c r="E55" s="283" t="n"/>
      <c r="F55" s="283" t="n"/>
      <c r="G55" s="283" t="n"/>
      <c r="H55" s="283" t="n"/>
      <c r="I55" s="284" t="n"/>
    </row>
    <row r="56" ht="18" customHeight="1">
      <c r="A56" s="124" t="inlineStr">
        <is>
          <t>TCD - Monthly Safety Focus:</t>
        </is>
      </c>
      <c r="B56" s="257" t="inlineStr">
        <is>
          <t>Return to Work</t>
        </is>
      </c>
      <c r="C56" s="275" t="n"/>
      <c r="D56" s="275" t="n"/>
      <c r="E56" s="275" t="n"/>
      <c r="F56" s="275" t="n"/>
      <c r="G56" s="275" t="n"/>
      <c r="H56" s="275" t="n"/>
      <c r="I56" s="276" t="n"/>
    </row>
    <row r="57" ht="24" customHeight="1">
      <c r="A57" s="124" t="inlineStr">
        <is>
          <t>TCD - Daily Safety Focus:</t>
        </is>
      </c>
      <c r="B57" s="258" t="inlineStr">
        <is>
          <t>Bunting and Barracading</t>
        </is>
      </c>
      <c r="C57" s="275" t="n"/>
      <c r="D57" s="275" t="n"/>
      <c r="E57" s="275" t="n"/>
      <c r="F57" s="275" t="n"/>
      <c r="G57" s="275" t="n"/>
      <c r="H57" s="275" t="n"/>
      <c r="I57" s="277" t="n"/>
    </row>
    <row r="58" ht="18" customHeight="1">
      <c r="A58" s="125" t="inlineStr">
        <is>
          <t xml:space="preserve">Hazards Reported: </t>
        </is>
      </c>
      <c r="B58" s="126" t="inlineStr">
        <is>
          <t>Nil</t>
        </is>
      </c>
      <c r="C58" s="258" t="n"/>
      <c r="D58" s="275" t="n"/>
      <c r="E58" s="275" t="n"/>
      <c r="F58" s="275" t="n"/>
      <c r="G58" s="275" t="n"/>
      <c r="H58" s="275" t="n"/>
      <c r="I58" s="277" t="n"/>
    </row>
    <row r="59" ht="18" customHeight="1">
      <c r="A59" s="125" t="inlineStr">
        <is>
          <t>Incident Free Days</t>
        </is>
      </c>
      <c r="B59" s="126" t="n">
        <v>7</v>
      </c>
      <c r="C59" s="257" t="n"/>
      <c r="D59" s="275" t="n"/>
      <c r="E59" s="275" t="n"/>
      <c r="F59" s="275" t="n"/>
      <c r="G59" s="275" t="n"/>
      <c r="H59" s="275" t="n"/>
      <c r="I59" s="276" t="n"/>
    </row>
    <row r="60" ht="18" customHeight="1">
      <c r="A60" s="127" t="inlineStr">
        <is>
          <t>Other Notes</t>
        </is>
      </c>
      <c r="B60" s="259" t="n"/>
      <c r="C60" s="278" t="n"/>
      <c r="D60" s="278" t="n"/>
      <c r="E60" s="278" t="n"/>
      <c r="F60" s="278" t="n"/>
      <c r="G60" s="278" t="n"/>
      <c r="H60" s="278" t="n"/>
      <c r="I60" s="279" t="n"/>
    </row>
    <row r="61" ht="20.25" customHeight="1">
      <c r="A61" s="245" t="inlineStr">
        <is>
          <t xml:space="preserve">INCIDENTS &amp; REPORTS </t>
        </is>
      </c>
      <c r="B61" s="275" t="n"/>
      <c r="C61" s="275" t="n"/>
      <c r="D61" s="275" t="n"/>
      <c r="E61" s="275" t="n"/>
      <c r="F61" s="275" t="n"/>
      <c r="G61" s="275" t="n"/>
      <c r="H61" s="275" t="n"/>
      <c r="I61" s="277" t="n"/>
    </row>
    <row r="62" ht="24.95" customHeight="1">
      <c r="A62" s="128" t="n"/>
      <c r="B62" s="263" t="inlineStr">
        <is>
          <t>QTY</t>
        </is>
      </c>
      <c r="C62" s="254" t="inlineStr">
        <is>
          <t>Comments</t>
        </is>
      </c>
      <c r="D62" s="275" t="n"/>
      <c r="E62" s="275" t="n"/>
      <c r="F62" s="275" t="n"/>
      <c r="G62" s="275" t="n"/>
      <c r="H62" s="275" t="n"/>
      <c r="I62" s="277" t="n"/>
    </row>
    <row r="63" ht="24.95" customHeight="1">
      <c r="A63" s="129" t="inlineStr">
        <is>
          <t>INCIDENT</t>
        </is>
      </c>
      <c r="B63" s="263" t="n">
        <v>0</v>
      </c>
      <c r="C63" s="249" t="inlineStr">
        <is>
          <t>NA</t>
        </is>
      </c>
      <c r="D63" s="275" t="n"/>
      <c r="E63" s="275" t="n"/>
      <c r="F63" s="275" t="n"/>
      <c r="G63" s="275" t="n"/>
      <c r="H63" s="275" t="n"/>
      <c r="I63" s="277" t="n"/>
    </row>
    <row r="64" ht="24.95" customHeight="1">
      <c r="A64" s="130" t="inlineStr">
        <is>
          <t>IR</t>
        </is>
      </c>
      <c r="B64" s="131" t="n">
        <v>0</v>
      </c>
      <c r="C64" s="250" t="inlineStr">
        <is>
          <t>NA</t>
        </is>
      </c>
      <c r="D64" s="278" t="n"/>
      <c r="E64" s="278" t="n"/>
      <c r="F64" s="278" t="n"/>
      <c r="G64" s="278" t="n"/>
      <c r="H64" s="278" t="n"/>
      <c r="I64" s="279" t="n"/>
    </row>
    <row r="65" ht="24.95" customHeight="1">
      <c r="A65" s="132" t="inlineStr">
        <is>
          <t>NCR</t>
        </is>
      </c>
      <c r="B65" s="133" t="n">
        <v>0</v>
      </c>
      <c r="C65" s="251" t="inlineStr">
        <is>
          <t>NA</t>
        </is>
      </c>
      <c r="D65" s="285" t="n"/>
      <c r="E65" s="285" t="n"/>
      <c r="F65" s="285" t="n"/>
      <c r="G65" s="285" t="n"/>
      <c r="H65" s="285" t="n"/>
      <c r="I65" s="286" t="n"/>
    </row>
    <row r="66" ht="20.25" customHeight="1">
      <c r="A66" s="252" t="inlineStr">
        <is>
          <t>COMMUNICATIONS</t>
        </is>
      </c>
      <c r="B66" s="283" t="n"/>
      <c r="C66" s="283" t="n"/>
      <c r="D66" s="283" t="n"/>
      <c r="E66" s="283" t="n"/>
      <c r="F66" s="283" t="n"/>
      <c r="G66" s="283" t="n"/>
      <c r="H66" s="283" t="n"/>
      <c r="I66" s="284" t="n"/>
    </row>
    <row r="67" ht="24.95" customHeight="1">
      <c r="A67" s="253" t="inlineStr">
        <is>
          <t>TGS MB1119-05 Scheme D impletmented</t>
        </is>
      </c>
      <c r="B67" s="275" t="n"/>
      <c r="C67" s="275" t="n"/>
      <c r="D67" s="275" t="n"/>
      <c r="E67" s="275" t="n"/>
      <c r="F67" s="275" t="n"/>
      <c r="G67" s="275" t="n"/>
      <c r="H67" s="275" t="n"/>
      <c r="I67" s="277" t="n"/>
    </row>
    <row r="68" ht="24.95" customHeight="1">
      <c r="A68" s="253" t="n"/>
      <c r="B68" s="275" t="n"/>
      <c r="C68" s="275" t="n"/>
      <c r="D68" s="275" t="n"/>
      <c r="E68" s="275" t="n"/>
      <c r="F68" s="275" t="n"/>
      <c r="G68" s="275" t="n"/>
      <c r="H68" s="275" t="n"/>
      <c r="I68" s="277" t="n"/>
    </row>
    <row r="69" ht="24.95" customHeight="1">
      <c r="A69" s="245" t="inlineStr">
        <is>
          <t>PRODUCTION (CONSTRUCTION STATUS &amp; PROGRESS)</t>
        </is>
      </c>
      <c r="B69" s="275" t="n"/>
      <c r="C69" s="275" t="n"/>
      <c r="D69" s="275" t="n"/>
      <c r="E69" s="275" t="n"/>
      <c r="F69" s="275" t="n"/>
      <c r="G69" s="275" t="n"/>
      <c r="H69" s="275" t="n"/>
      <c r="I69" s="277" t="n"/>
    </row>
    <row r="70" ht="24.95" customHeight="1">
      <c r="A70" s="134" t="inlineStr">
        <is>
          <t>Lateral Installations</t>
        </is>
      </c>
      <c r="B70" s="135" t="n"/>
      <c r="C70" s="79" t="n"/>
      <c r="D70" s="79" t="n"/>
      <c r="E70" s="79" t="n"/>
      <c r="F70" s="135" t="n"/>
      <c r="G70" s="135" t="n"/>
      <c r="H70" s="135" t="n"/>
      <c r="I70" s="136" t="n"/>
    </row>
    <row r="71" ht="24.95" customHeight="1">
      <c r="A71" s="134" t="inlineStr">
        <is>
          <t>Rain Affected Day- Minimal Production Site Mostly Stood Down</t>
        </is>
      </c>
      <c r="B71" s="135" t="n"/>
      <c r="C71" s="79" t="n"/>
      <c r="D71" s="79" t="n"/>
      <c r="E71" s="79" t="n"/>
      <c r="F71" s="135" t="n"/>
      <c r="G71" s="135" t="n"/>
      <c r="H71" s="135" t="n"/>
      <c r="I71" s="136" t="n"/>
    </row>
    <row r="72" ht="24.95" customHeight="1">
      <c r="A72" s="134" t="inlineStr">
        <is>
          <t>Rain Affected Day</t>
        </is>
      </c>
      <c r="B72" s="135" t="n"/>
      <c r="C72" s="79" t="n"/>
      <c r="D72" s="135" t="n"/>
      <c r="E72" s="135" t="n"/>
      <c r="F72" s="135" t="n"/>
      <c r="G72" s="135" t="n"/>
      <c r="H72" s="135" t="n"/>
      <c r="I72" s="136" t="n"/>
    </row>
    <row r="73" ht="26.1" customHeight="1">
      <c r="A73" s="246" t="inlineStr">
        <is>
          <t>Photos</t>
        </is>
      </c>
      <c r="B73" s="278" t="n"/>
      <c r="C73" s="278" t="n"/>
      <c r="D73" s="278" t="n"/>
      <c r="E73" s="278" t="n"/>
      <c r="F73" s="278" t="n"/>
      <c r="G73" s="278" t="n"/>
      <c r="H73" s="278" t="n"/>
      <c r="I73" s="279" t="n"/>
    </row>
    <row r="74" ht="23.1" customHeight="1">
      <c r="A74" s="137" t="n"/>
      <c r="B74" s="138" t="n"/>
      <c r="C74" s="138" t="n"/>
      <c r="D74" s="138" t="n"/>
      <c r="E74" s="138" t="n"/>
      <c r="F74" s="138" t="n"/>
      <c r="G74" s="138" t="n"/>
      <c r="H74" s="138" t="n"/>
      <c r="I74" s="139" t="n"/>
    </row>
    <row r="75" ht="23.1" customHeight="1">
      <c r="A75" s="140" t="n"/>
      <c r="B75" s="141" t="n"/>
      <c r="C75" s="141" t="n"/>
      <c r="D75" s="141" t="n"/>
      <c r="E75" s="141" t="n"/>
      <c r="F75" s="141" t="n"/>
      <c r="G75" s="141" t="n"/>
      <c r="H75" s="141" t="n"/>
      <c r="I75" s="142" t="n"/>
    </row>
    <row r="76" ht="15"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H96" s="141" t="n"/>
      <c r="I96" s="142" t="n"/>
    </row>
    <row r="97" ht="24.95" customFormat="1" customHeight="1" s="81">
      <c r="A97" s="140" t="n"/>
      <c r="B97" s="141" t="n"/>
      <c r="C97" s="141" t="n"/>
      <c r="D97" s="141" t="n"/>
      <c r="E97" s="141" t="n"/>
      <c r="F97" s="141" t="n"/>
      <c r="G97" s="141" t="n"/>
      <c r="H97" s="141" t="n"/>
      <c r="I97" s="142" t="n"/>
    </row>
    <row r="98" ht="15" customHeight="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3" t="n"/>
      <c r="B112" s="144" t="n"/>
      <c r="C112" s="144" t="n"/>
      <c r="D112" s="144" t="n"/>
      <c r="E112" s="144" t="n"/>
      <c r="F112" s="144" t="n"/>
      <c r="G112" s="144" t="n"/>
      <c r="H112" s="144" t="n"/>
      <c r="I112" s="145" t="n"/>
    </row>
    <row r="113" ht="15" customHeight="1">
      <c r="A113" s="140" t="n"/>
      <c r="B113" s="141" t="n"/>
      <c r="C113" s="141" t="n"/>
      <c r="D113" s="141" t="n"/>
      <c r="E113" s="141" t="n"/>
      <c r="F113" s="141" t="n"/>
      <c r="G113" s="141" t="n"/>
      <c r="H113" s="141" t="n"/>
      <c r="I113" s="142"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24.95" customHeight="1">
      <c r="A121" s="140" t="n"/>
      <c r="B121" s="141" t="n"/>
      <c r="C121" s="141" t="n"/>
      <c r="D121" s="141" t="n"/>
      <c r="E121" s="141" t="n"/>
      <c r="F121" s="141" t="n"/>
      <c r="G121" s="141" t="n"/>
      <c r="H121" s="141" t="n"/>
      <c r="I121" s="142" t="n"/>
    </row>
    <row r="122" ht="1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27.95" customHeight="1">
      <c r="A124" s="140" t="n"/>
      <c r="B124" s="141" t="n"/>
      <c r="C124" s="141" t="n"/>
      <c r="D124" s="141" t="n"/>
      <c r="E124" s="141" t="n"/>
      <c r="F124" s="141" t="n"/>
      <c r="G124" s="141" t="n"/>
      <c r="H124" s="141" t="n"/>
      <c r="I124" s="142" t="n"/>
    </row>
    <row r="125" ht="1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c r="J137" s="146" t="n"/>
    </row>
    <row r="138" ht="15" customHeight="1">
      <c r="A138" s="140" t="n"/>
      <c r="B138" s="141" t="n"/>
      <c r="C138" s="141" t="n"/>
      <c r="D138" s="141" t="n"/>
      <c r="E138" s="141" t="n"/>
      <c r="F138" s="141" t="n"/>
      <c r="G138" s="141" t="n"/>
      <c r="H138" s="141" t="n"/>
      <c r="I138" s="142"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95" customHeight="1">
      <c r="A144" s="140" t="n"/>
      <c r="B144" s="141" t="n"/>
      <c r="C144" s="141" t="n"/>
      <c r="D144" s="141" t="n"/>
      <c r="E144" s="141" t="n"/>
      <c r="F144" s="141" t="n"/>
      <c r="G144" s="141" t="n"/>
      <c r="H144" s="141" t="n"/>
      <c r="I144" s="142" t="n"/>
    </row>
    <row r="145" ht="30.75" customHeight="1">
      <c r="A145" s="247" t="n"/>
      <c r="E145" s="248" t="n"/>
      <c r="I145" s="271" t="n"/>
    </row>
    <row r="146">
      <c r="A146" s="64" t="n"/>
      <c r="I146" s="65"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I180" s="65" t="n"/>
    </row>
    <row r="181">
      <c r="A181" s="64" t="n"/>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ht="15.95" customHeight="1">
      <c r="A199" s="59" t="n"/>
      <c r="B199" s="60" t="n"/>
      <c r="C199" s="60" t="n"/>
      <c r="D199" s="60" t="n"/>
      <c r="E199" s="60" t="n"/>
      <c r="F199" s="60" t="n"/>
      <c r="G199" s="60" t="n"/>
      <c r="H199" s="60" t="n"/>
      <c r="I199" s="61" t="n"/>
    </row>
    <row r="200">
      <c r="A200" s="64" t="n"/>
      <c r="I200" s="65" t="n"/>
    </row>
    <row r="201">
      <c r="A201" s="64" t="n"/>
      <c r="I201" s="65" t="n"/>
    </row>
    <row r="202">
      <c r="A202" s="64" t="n"/>
      <c r="I202" s="65" t="n"/>
    </row>
    <row r="203">
      <c r="A203" s="64" t="n"/>
      <c r="I203" s="65" t="n"/>
    </row>
    <row r="204">
      <c r="A204" s="64" t="n"/>
      <c r="I204" s="65" t="n"/>
    </row>
    <row r="205">
      <c r="A205" s="64" t="n"/>
      <c r="I205" s="65" t="n"/>
    </row>
    <row r="206" ht="15.95" customHeight="1">
      <c r="A206" s="59" t="n"/>
      <c r="B206" s="60" t="n"/>
      <c r="C206" s="60" t="n"/>
      <c r="D206" s="60" t="n"/>
      <c r="E206" s="60" t="n"/>
      <c r="F206" s="60" t="n"/>
      <c r="G206" s="60" t="n"/>
      <c r="H206" s="60" t="n"/>
      <c r="I206" s="61" t="n"/>
    </row>
  </sheetData>
  <mergeCells count="40">
    <mergeCell ref="A48:B48"/>
    <mergeCell ref="B47:C47"/>
    <mergeCell ref="D13:F13"/>
    <mergeCell ref="G13:I13"/>
    <mergeCell ref="B8:D8"/>
    <mergeCell ref="A66:I66"/>
    <mergeCell ref="B46:C46"/>
    <mergeCell ref="D48:I48"/>
    <mergeCell ref="A55:I55"/>
    <mergeCell ref="A12:I12"/>
    <mergeCell ref="D47:I47"/>
    <mergeCell ref="B56:I56"/>
    <mergeCell ref="A5:I5"/>
    <mergeCell ref="A51:I54"/>
    <mergeCell ref="B9:D9"/>
    <mergeCell ref="B60:I60"/>
    <mergeCell ref="C62:I62"/>
    <mergeCell ref="B57:I57"/>
    <mergeCell ref="B6:D6"/>
    <mergeCell ref="C58:I58"/>
    <mergeCell ref="A13:C13"/>
    <mergeCell ref="A68:I68"/>
    <mergeCell ref="A10:I10"/>
    <mergeCell ref="C64:I64"/>
    <mergeCell ref="A1:I4"/>
    <mergeCell ref="A67:I67"/>
    <mergeCell ref="B7:D7"/>
    <mergeCell ref="C65:I65"/>
    <mergeCell ref="C63:I63"/>
    <mergeCell ref="A73:I73"/>
    <mergeCell ref="A49:I49"/>
    <mergeCell ref="A11:I11"/>
    <mergeCell ref="D46:I46"/>
    <mergeCell ref="A145:D145"/>
    <mergeCell ref="C59:I59"/>
    <mergeCell ref="B45:C45"/>
    <mergeCell ref="D45:I45"/>
    <mergeCell ref="A61:I61"/>
    <mergeCell ref="A69:I69"/>
    <mergeCell ref="E145:I145"/>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2" min="0" max="8" man="1"/>
  </rowBreaks>
</worksheet>
</file>

<file path=xl/worksheets/sheet25.xml><?xml version="1.0" encoding="utf-8"?>
<worksheet xmlns="http://schemas.openxmlformats.org/spreadsheetml/2006/main">
  <sheetPr>
    <outlinePr summaryBelow="1" summaryRight="1"/>
    <pageSetUpPr fitToPage="1"/>
  </sheetPr>
  <dimension ref="A1:J207"/>
  <sheetViews>
    <sheetView view="pageBreakPreview" topLeftCell="A6" zoomScale="70" zoomScaleNormal="55" zoomScaleSheetLayoutView="70" workbookViewId="0">
      <selection activeCell="A51" sqref="A51:I54"/>
    </sheetView>
  </sheetViews>
  <sheetFormatPr baseColWidth="8" defaultColWidth="9.140625" defaultRowHeight="14.4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45897</v>
      </c>
    </row>
    <row r="7" ht="23.1" customHeight="1">
      <c r="A7" s="82" t="inlineStr">
        <is>
          <t>Project Location:</t>
        </is>
      </c>
      <c r="B7" s="267" t="inlineStr">
        <is>
          <t>Geraldton</t>
        </is>
      </c>
      <c r="E7" s="267" t="n"/>
      <c r="F7" s="84" t="n"/>
      <c r="G7" s="84" t="n"/>
      <c r="H7" s="87" t="inlineStr">
        <is>
          <t>Day:</t>
        </is>
      </c>
      <c r="I7" s="88" t="inlineStr">
        <is>
          <t>Thursday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93</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17 degrees  Wind:  31km/h WSW Precip: 1mm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11.5</v>
      </c>
      <c r="G15" s="100" t="inlineStr">
        <is>
          <t>Khegan Brockman</t>
        </is>
      </c>
      <c r="H15" s="97" t="inlineStr">
        <is>
          <t>Labourer</t>
        </is>
      </c>
      <c r="I15" s="101" t="n">
        <v>10</v>
      </c>
    </row>
    <row r="16" ht="23.1" customHeight="1">
      <c r="A16" s="96" t="inlineStr">
        <is>
          <t>GRIFFITHS, Daniel</t>
        </is>
      </c>
      <c r="B16" s="97" t="inlineStr">
        <is>
          <t>Project Manager</t>
        </is>
      </c>
      <c r="C16" s="102" t="n">
        <v>11.5</v>
      </c>
      <c r="D16" s="100" t="inlineStr">
        <is>
          <t>Hanly,Thomas</t>
        </is>
      </c>
      <c r="E16" s="97" t="inlineStr">
        <is>
          <t>Operator</t>
        </is>
      </c>
      <c r="F16" s="97" t="n">
        <v>11.5</v>
      </c>
      <c r="G16" s="100" t="inlineStr">
        <is>
          <t>Daniel McAuffile</t>
        </is>
      </c>
      <c r="H16" s="97" t="inlineStr">
        <is>
          <t>Operator</t>
        </is>
      </c>
      <c r="I16" s="101" t="n">
        <v>10</v>
      </c>
    </row>
    <row r="17" ht="23.1" customHeight="1">
      <c r="A17" s="96" t="inlineStr">
        <is>
          <t>O"SHEA, John</t>
        </is>
      </c>
      <c r="B17" s="97" t="inlineStr">
        <is>
          <t>Senior Project Engineer</t>
        </is>
      </c>
      <c r="C17" s="102" t="n"/>
      <c r="D17" s="103" t="n"/>
      <c r="E17" s="103" t="n"/>
      <c r="F17" s="97" t="n"/>
      <c r="G17" s="100" t="inlineStr">
        <is>
          <t>Jachai Griffiths</t>
        </is>
      </c>
      <c r="H17" s="97" t="inlineStr">
        <is>
          <t>Operator</t>
        </is>
      </c>
      <c r="I17" s="101" t="n"/>
    </row>
    <row r="18" ht="23.1" customHeight="1">
      <c r="A18" s="96" t="inlineStr">
        <is>
          <t>GRIFFITHS, Ashley</t>
        </is>
      </c>
      <c r="B18" s="97" t="inlineStr">
        <is>
          <t>Supervisor</t>
        </is>
      </c>
      <c r="C18" s="102" t="n"/>
      <c r="D18" s="99" t="n"/>
      <c r="E18" s="99" t="n"/>
      <c r="F18" s="97" t="n"/>
      <c r="G18" s="100" t="inlineStr">
        <is>
          <t>O'Brian, Jamie</t>
        </is>
      </c>
      <c r="H18" s="97" t="inlineStr">
        <is>
          <t>Operator</t>
        </is>
      </c>
      <c r="I18" s="101" t="n">
        <v>10</v>
      </c>
    </row>
    <row r="19" ht="23.1" customHeight="1">
      <c r="A19" s="96" t="inlineStr">
        <is>
          <t>LOW, June</t>
        </is>
      </c>
      <c r="B19" s="97" t="inlineStr">
        <is>
          <t>HSET</t>
        </is>
      </c>
      <c r="C19" s="102" t="n"/>
      <c r="D19" s="99" t="n"/>
      <c r="E19" s="99" t="n"/>
      <c r="F19" s="97" t="n"/>
      <c r="G19" s="100" t="inlineStr">
        <is>
          <t>O'Reilly,James</t>
        </is>
      </c>
      <c r="H19" s="97" t="inlineStr">
        <is>
          <t>Operator</t>
        </is>
      </c>
      <c r="I19" s="101" t="n"/>
    </row>
    <row r="20" ht="23.1" customHeight="1">
      <c r="A20" s="96" t="inlineStr">
        <is>
          <t>SKINNER,Jamie</t>
        </is>
      </c>
      <c r="B20" s="97" t="inlineStr">
        <is>
          <t>Supervisor</t>
        </is>
      </c>
      <c r="C20" s="102" t="n">
        <v>11.5</v>
      </c>
      <c r="D20" s="99" t="n"/>
      <c r="E20" s="99" t="n"/>
      <c r="F20" s="97" t="n"/>
      <c r="G20" s="100" t="inlineStr">
        <is>
          <t>Dixon, Warren</t>
        </is>
      </c>
      <c r="H20" s="97" t="inlineStr">
        <is>
          <t>Irrigation Installer</t>
        </is>
      </c>
      <c r="I20" s="101" t="n">
        <v>2</v>
      </c>
    </row>
    <row r="21" ht="23.1" customHeight="1">
      <c r="A21" s="96" t="n"/>
      <c r="B21" s="97" t="n"/>
      <c r="C21" s="102" t="n"/>
      <c r="D21" s="99" t="n"/>
      <c r="E21" s="99" t="n"/>
      <c r="F21" s="97" t="n"/>
      <c r="G21" s="100" t="inlineStr">
        <is>
          <t>Mosley,Joshua</t>
        </is>
      </c>
      <c r="H21" s="97" t="inlineStr">
        <is>
          <t>Surveyor</t>
        </is>
      </c>
      <c r="I21" s="101" t="n">
        <v>2</v>
      </c>
    </row>
    <row r="22" ht="23.1" customHeight="1">
      <c r="A22" s="96" t="n"/>
      <c r="B22" s="97" t="n"/>
      <c r="C22" s="102" t="n"/>
      <c r="D22" s="99" t="n"/>
      <c r="E22" s="99" t="n"/>
      <c r="F22" s="97" t="n"/>
    </row>
    <row r="23" ht="23.1" customHeight="1">
      <c r="A23" s="96" t="n"/>
      <c r="B23" s="97" t="n"/>
      <c r="C23" s="102" t="n"/>
      <c r="D23" s="99" t="n"/>
      <c r="E23" s="99" t="n"/>
      <c r="F23" s="97" t="n"/>
      <c r="G23" s="100" t="n"/>
      <c r="H23" s="97" t="n"/>
      <c r="I23" s="101" t="n"/>
    </row>
    <row r="24" ht="23.1" customHeight="1">
      <c r="A24" s="96" t="n"/>
      <c r="B24" s="97" t="n"/>
      <c r="C24" s="102" t="n"/>
      <c r="D24" s="99" t="n"/>
      <c r="E24" s="99" t="n"/>
      <c r="F24" s="97" t="n"/>
      <c r="G24" s="100" t="n"/>
      <c r="H24" s="97" t="n"/>
      <c r="I24" s="101" t="n"/>
    </row>
    <row r="25" ht="23.1" customHeight="1">
      <c r="A25" s="96" t="n"/>
      <c r="B25" s="97" t="n"/>
      <c r="C25" s="102" t="n"/>
      <c r="D25" s="99" t="n"/>
      <c r="E25" s="99" t="n"/>
      <c r="F25" s="97" t="n"/>
      <c r="G25" s="100" t="n"/>
      <c r="H25" s="97" t="n"/>
      <c r="I25" s="101" t="n"/>
    </row>
    <row r="26" ht="23.1" customHeight="1">
      <c r="A26" s="255" t="inlineStr">
        <is>
          <t xml:space="preserve">Total Indirect Personnel onsite: </t>
        </is>
      </c>
      <c r="B26" s="105">
        <f>COUNT(C15:C26)</f>
        <v/>
      </c>
      <c r="C26" s="99" t="n"/>
      <c r="D26" s="99" t="n"/>
      <c r="E26" s="99" t="n"/>
      <c r="F26" s="97" t="n"/>
      <c r="G26" s="152" t="n"/>
      <c r="H26" s="151" t="n"/>
      <c r="I26" s="101" t="n"/>
    </row>
    <row r="27" ht="23.1" customHeight="1">
      <c r="A27" s="255" t="inlineStr">
        <is>
          <t xml:space="preserve">Total Indirect Personnel hours: </t>
        </is>
      </c>
      <c r="B27" s="105">
        <f>SUM(C15:C25)</f>
        <v/>
      </c>
      <c r="C27" s="102" t="n"/>
      <c r="D27" s="99" t="n"/>
      <c r="E27" s="99" t="n"/>
      <c r="F27" s="97" t="n"/>
      <c r="G27" s="106" t="inlineStr">
        <is>
          <t>Total Subcontractor on-site:</t>
        </is>
      </c>
      <c r="H27" s="107">
        <f>COUNT(I15:I25)</f>
        <v/>
      </c>
      <c r="I27" s="101" t="n"/>
    </row>
    <row r="28" ht="23.1" customHeight="1">
      <c r="A28" s="255" t="inlineStr">
        <is>
          <t xml:space="preserve">Total Direct Personnel onsite:  </t>
        </is>
      </c>
      <c r="B28" s="105">
        <f>COUNTIF(F15:F29,"&gt;0")</f>
        <v/>
      </c>
      <c r="C28" s="105" t="n"/>
      <c r="D28" s="99" t="n"/>
      <c r="E28" s="99" t="n"/>
      <c r="F28" s="108" t="n"/>
      <c r="G28" s="106" t="inlineStr">
        <is>
          <t>Total Subcontractor hours:</t>
        </is>
      </c>
      <c r="H28" s="107">
        <f>SUM(I15:I25)</f>
        <v/>
      </c>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6 Wheel Tipper</t>
        </is>
      </c>
      <c r="E33" s="102" t="inlineStr">
        <is>
          <t>AMG04</t>
        </is>
      </c>
      <c r="F33" s="102" t="n"/>
      <c r="G33" s="102" t="inlineStr">
        <is>
          <t>Sea Container 20ft</t>
        </is>
      </c>
      <c r="H33" s="97" t="n">
        <v>951200</v>
      </c>
      <c r="I33" s="101" t="n">
        <v>1</v>
      </c>
    </row>
    <row r="34" ht="23.1" customHeight="1">
      <c r="A34" s="115" t="inlineStr">
        <is>
          <t>Positrak</t>
        </is>
      </c>
      <c r="B34" s="102" t="inlineStr">
        <is>
          <t>AMG 025</t>
        </is>
      </c>
      <c r="C34" s="97" t="n">
        <v>2</v>
      </c>
      <c r="D34" s="102" t="n"/>
      <c r="E34" s="97" t="n"/>
      <c r="F34" s="102" t="n"/>
      <c r="G34" s="102" t="inlineStr">
        <is>
          <t>Site Sentry Tower</t>
        </is>
      </c>
      <c r="H34" s="102" t="n"/>
      <c r="I34" s="101" t="n">
        <v>2</v>
      </c>
    </row>
    <row r="35" ht="23.1" customHeight="1">
      <c r="A35" s="115" t="inlineStr">
        <is>
          <t>Watercart</t>
        </is>
      </c>
      <c r="B35" s="102" t="inlineStr">
        <is>
          <t>WC04</t>
        </is>
      </c>
      <c r="C35" s="97" t="n">
        <v>9</v>
      </c>
      <c r="D35" s="102" t="n"/>
      <c r="E35" s="102" t="n"/>
      <c r="F35" s="102" t="n"/>
      <c r="G35" s="102" t="inlineStr">
        <is>
          <t>Skip Bin</t>
        </is>
      </c>
      <c r="H35" s="102" t="n"/>
      <c r="I35" s="101" t="n">
        <v>1</v>
      </c>
    </row>
    <row r="36" ht="23.1" customHeight="1">
      <c r="A36" s="115" t="inlineStr">
        <is>
          <t>8T Excavator</t>
        </is>
      </c>
      <c r="B36" s="116" t="inlineStr">
        <is>
          <t>AMG 014</t>
        </is>
      </c>
      <c r="C36" s="97" t="n"/>
      <c r="D36" s="102" t="n"/>
      <c r="E36" s="102" t="n"/>
      <c r="F36" s="102" t="n"/>
      <c r="G36" s="102" t="inlineStr">
        <is>
          <t>Hydrocarbon Bund</t>
        </is>
      </c>
      <c r="H36" s="102" t="n"/>
      <c r="I36" s="101" t="n">
        <v>1</v>
      </c>
    </row>
    <row r="37" ht="23.1" customHeight="1">
      <c r="A37" s="102" t="inlineStr">
        <is>
          <t>Mini Tipper</t>
        </is>
      </c>
      <c r="B37" s="102" t="inlineStr">
        <is>
          <t>SLS05</t>
        </is>
      </c>
      <c r="C37" s="102" t="n"/>
      <c r="D37" s="102" t="n"/>
      <c r="E37" s="102" t="n"/>
      <c r="F37" s="102" t="n"/>
      <c r="G37" s="102" t="inlineStr">
        <is>
          <t>Temp Fence</t>
        </is>
      </c>
      <c r="H37" s="97" t="n"/>
      <c r="I37" s="101" t="n">
        <v>1</v>
      </c>
    </row>
    <row r="38" ht="24" customHeight="1">
      <c r="A38" s="150" t="inlineStr">
        <is>
          <t>1 t Excavator</t>
        </is>
      </c>
      <c r="B38" s="102" t="inlineStr">
        <is>
          <t>SLS03</t>
        </is>
      </c>
      <c r="C38" s="102" t="n"/>
      <c r="D38" s="102" t="n"/>
      <c r="E38" s="102" t="n"/>
      <c r="F38" s="102" t="n"/>
      <c r="G38" s="31" t="n"/>
      <c r="H38" s="31" t="n"/>
      <c r="I38" s="32" t="n"/>
    </row>
    <row r="39" ht="24" customHeight="1">
      <c r="A39" s="115" t="inlineStr">
        <is>
          <t>Padfoot/ Smooth Drum Roller</t>
        </is>
      </c>
      <c r="B39" s="102" t="inlineStr">
        <is>
          <t>RR 03</t>
        </is>
      </c>
      <c r="C39" s="97" t="n">
        <v>5</v>
      </c>
      <c r="D39" s="102" t="n"/>
      <c r="E39" s="102" t="n"/>
      <c r="F39" s="102" t="n"/>
      <c r="G39" s="31" t="n"/>
      <c r="H39" s="31" t="n"/>
      <c r="I39" s="32" t="n"/>
    </row>
    <row r="40" ht="24" customHeight="1">
      <c r="A40" s="115" t="inlineStr">
        <is>
          <t>Multi Roller</t>
        </is>
      </c>
      <c r="B40" s="102" t="n">
        <v>256</v>
      </c>
      <c r="C40" s="97" t="n"/>
      <c r="D40" s="102" t="n"/>
      <c r="E40" s="102" t="n"/>
      <c r="F40" s="102" t="n"/>
      <c r="G40" s="31" t="n"/>
      <c r="H40" s="31" t="n"/>
      <c r="I40" s="32" t="n"/>
    </row>
    <row r="41" ht="24" customHeight="1">
      <c r="A41" s="115" t="inlineStr">
        <is>
          <t>Positrak SSL</t>
        </is>
      </c>
      <c r="B41" s="102" t="inlineStr">
        <is>
          <t>SSL08</t>
        </is>
      </c>
      <c r="C41" s="97" t="n">
        <v>5</v>
      </c>
      <c r="D41" s="102" t="n"/>
      <c r="E41" s="102" t="n"/>
      <c r="F41" s="102" t="n"/>
      <c r="G41" s="31" t="n"/>
      <c r="H41" s="31" t="n"/>
      <c r="I41" s="32" t="n"/>
    </row>
    <row r="42" ht="24" customHeight="1">
      <c r="A42" s="115" t="inlineStr">
        <is>
          <t>Grader</t>
        </is>
      </c>
      <c r="B42" s="102" t="inlineStr">
        <is>
          <t>SLS01</t>
        </is>
      </c>
      <c r="C42" s="97" t="n">
        <v>9</v>
      </c>
      <c r="D42" s="102" t="n"/>
      <c r="E42" s="102" t="n"/>
      <c r="F42" s="102" t="n"/>
      <c r="G42" s="31" t="n"/>
      <c r="H42" s="31" t="n"/>
      <c r="I42" s="32" t="n"/>
    </row>
    <row r="43" ht="23.1" customHeight="1">
      <c r="A43" s="115" t="inlineStr">
        <is>
          <t>5t Excavator</t>
        </is>
      </c>
      <c r="B43" s="102" t="inlineStr">
        <is>
          <t>AMG 007</t>
        </is>
      </c>
      <c r="C43" s="97" t="n"/>
      <c r="D43" s="102" t="n"/>
      <c r="E43" s="102" t="n"/>
      <c r="F43" s="102" t="n"/>
      <c r="G43" s="102" t="n"/>
      <c r="H43" s="97" t="n"/>
      <c r="I43" s="101" t="n"/>
    </row>
    <row r="44" ht="23.1" customHeight="1">
      <c r="A44" s="115" t="inlineStr">
        <is>
          <t>1.5 Excavator</t>
        </is>
      </c>
      <c r="B44" s="102" t="inlineStr">
        <is>
          <t>AMG 009</t>
        </is>
      </c>
      <c r="C44" s="97" t="n"/>
      <c r="D44" s="102" t="n"/>
      <c r="E44" s="102" t="n"/>
      <c r="F44" s="102" t="n"/>
      <c r="G44" s="102" t="n"/>
      <c r="H44" s="97" t="n"/>
      <c r="I44" s="101" t="n"/>
    </row>
    <row r="45" ht="24" customHeight="1">
      <c r="A45" s="115" t="n"/>
      <c r="B45" s="102" t="n"/>
      <c r="C45" s="97" t="n"/>
      <c r="D45" s="31" t="n"/>
      <c r="E45" s="31" t="n"/>
      <c r="F45" s="31" t="n"/>
      <c r="G45" s="31" t="n"/>
      <c r="H45" s="31" t="n"/>
      <c r="I45" s="32" t="n"/>
    </row>
    <row r="46" ht="18" customHeight="1">
      <c r="A46" s="117" t="n">
        <v>0</v>
      </c>
      <c r="B46" s="260" t="inlineStr">
        <is>
          <t xml:space="preserve">Repairs Required </t>
        </is>
      </c>
      <c r="C46" s="276" t="n"/>
      <c r="D46" s="249" t="inlineStr">
        <is>
          <t>N/A</t>
        </is>
      </c>
      <c r="E46" s="275" t="n"/>
      <c r="F46" s="275" t="n"/>
      <c r="G46" s="275" t="n"/>
      <c r="H46" s="275" t="n"/>
      <c r="I46" s="277" t="n"/>
    </row>
    <row r="47" ht="18" customHeight="1">
      <c r="A47" s="118" t="n">
        <v>0</v>
      </c>
      <c r="B47" s="260" t="inlineStr">
        <is>
          <t>Scheduled Service</t>
        </is>
      </c>
      <c r="C47" s="276" t="n"/>
      <c r="D47" s="249" t="inlineStr">
        <is>
          <t>N/A</t>
        </is>
      </c>
      <c r="E47" s="275" t="n"/>
      <c r="F47" s="275" t="n"/>
      <c r="G47" s="275" t="n"/>
      <c r="H47" s="275" t="n"/>
      <c r="I47" s="277" t="n"/>
    </row>
    <row r="48" ht="18" customHeight="1">
      <c r="A48" s="119" t="n">
        <v>0</v>
      </c>
      <c r="B48" s="260" t="inlineStr">
        <is>
          <t>Repairs required but operable</t>
        </is>
      </c>
      <c r="C48" s="276" t="n"/>
      <c r="D48" s="249" t="inlineStr">
        <is>
          <t>N/A</t>
        </is>
      </c>
      <c r="E48" s="275" t="n"/>
      <c r="F48" s="275" t="n"/>
      <c r="G48" s="275" t="n"/>
      <c r="H48" s="275" t="n"/>
      <c r="I48" s="277" t="n"/>
    </row>
    <row r="49" ht="23.1" customHeight="1">
      <c r="A49" s="255" t="inlineStr">
        <is>
          <t xml:space="preserve">Total Plant and Equipment Hours: </t>
        </is>
      </c>
      <c r="B49" s="276" t="n"/>
      <c r="C49" s="120">
        <f>SUM(C32:C45)</f>
        <v/>
      </c>
      <c r="D49" s="256" t="n"/>
      <c r="E49" s="275" t="n"/>
      <c r="F49" s="275" t="n"/>
      <c r="G49" s="275" t="n"/>
      <c r="H49" s="275" t="n"/>
      <c r="I49" s="277" t="n"/>
    </row>
    <row r="50" ht="24.95" customHeight="1">
      <c r="A50" s="245" t="inlineStr">
        <is>
          <t>DELAYS-OPPORTUNITY</t>
        </is>
      </c>
      <c r="B50" s="275" t="n"/>
      <c r="C50" s="275" t="n"/>
      <c r="D50" s="275" t="n"/>
      <c r="E50" s="275" t="n"/>
      <c r="F50" s="275" t="n"/>
      <c r="G50" s="275" t="n"/>
      <c r="H50" s="275" t="n"/>
      <c r="I50" s="277" t="n"/>
    </row>
    <row r="51" ht="15" customHeight="1">
      <c r="A51" s="244" t="inlineStr">
        <is>
          <t>Awaiting COGG confirmation on detail of Centrelink Carpark                             
Awaiting Kerbing Plan being Amended by TCD
Awaiting Direction on Service Clash Forrest Street
Awaiting Confirmation on Batters Treatment 
Import of Basecourse Recommenced
Awaiting finalised fencing details
Awaiting COGG confirmation on "Ballast Pile"
Instructions Provided for Laneway Sewer, Drainage and Light Pole Removal</t>
        </is>
      </c>
      <c r="B51" s="278" t="n"/>
      <c r="C51" s="278" t="n"/>
      <c r="D51" s="278" t="n"/>
      <c r="E51" s="278" t="n"/>
      <c r="F51" s="278" t="n"/>
      <c r="G51" s="278" t="n"/>
      <c r="H51" s="278" t="n"/>
      <c r="I51" s="279" t="n"/>
    </row>
    <row r="52" ht="51.6" customHeight="1">
      <c r="A52" s="270" t="n"/>
      <c r="I52" s="271" t="n"/>
    </row>
    <row r="53" ht="65.09999999999999" customHeight="1">
      <c r="A53" s="270" t="n"/>
      <c r="I53" s="271" t="n"/>
    </row>
    <row r="54" ht="44.45" customHeight="1" thickBot="1">
      <c r="A54" s="280" t="n"/>
      <c r="B54" s="281" t="n"/>
      <c r="C54" s="281" t="n"/>
      <c r="D54" s="281" t="n"/>
      <c r="E54" s="281" t="n"/>
      <c r="F54" s="281" t="n"/>
      <c r="G54" s="281" t="n"/>
      <c r="H54" s="281" t="n"/>
      <c r="I54" s="282" t="n"/>
    </row>
    <row r="55" ht="24.95" customHeight="1">
      <c r="A55" s="252" t="inlineStr">
        <is>
          <t>HSEQ MESSAGES</t>
        </is>
      </c>
      <c r="B55" s="283" t="n"/>
      <c r="C55" s="283" t="n"/>
      <c r="D55" s="283" t="n"/>
      <c r="E55" s="283" t="n"/>
      <c r="F55" s="283" t="n"/>
      <c r="G55" s="283" t="n"/>
      <c r="H55" s="283" t="n"/>
      <c r="I55" s="284" t="n"/>
    </row>
    <row r="56" ht="18" customHeight="1">
      <c r="A56" s="124" t="inlineStr">
        <is>
          <t>TCD - Monthly Safety Focus:</t>
        </is>
      </c>
      <c r="B56" s="257" t="inlineStr">
        <is>
          <t>Return to Work</t>
        </is>
      </c>
      <c r="C56" s="275" t="n"/>
      <c r="D56" s="275" t="n"/>
      <c r="E56" s="275" t="n"/>
      <c r="F56" s="275" t="n"/>
      <c r="G56" s="275" t="n"/>
      <c r="H56" s="275" t="n"/>
      <c r="I56" s="276" t="n"/>
    </row>
    <row r="57" ht="24" customHeight="1">
      <c r="A57" s="124" t="inlineStr">
        <is>
          <t>TCD - Daily Safety Focus:</t>
        </is>
      </c>
      <c r="B57" s="258" t="inlineStr">
        <is>
          <t>Simops</t>
        </is>
      </c>
      <c r="C57" s="275" t="n"/>
      <c r="D57" s="275" t="n"/>
      <c r="E57" s="275" t="n"/>
      <c r="F57" s="275" t="n"/>
      <c r="G57" s="275" t="n"/>
      <c r="H57" s="275" t="n"/>
      <c r="I57" s="277" t="n"/>
    </row>
    <row r="58" ht="18" customHeight="1">
      <c r="A58" s="125" t="inlineStr">
        <is>
          <t xml:space="preserve">Hazards Reported: </t>
        </is>
      </c>
      <c r="B58" s="126" t="inlineStr">
        <is>
          <t>Nil</t>
        </is>
      </c>
      <c r="C58" s="258" t="n"/>
      <c r="D58" s="275" t="n"/>
      <c r="E58" s="275" t="n"/>
      <c r="F58" s="275" t="n"/>
      <c r="G58" s="275" t="n"/>
      <c r="H58" s="275" t="n"/>
      <c r="I58" s="277" t="n"/>
    </row>
    <row r="59" ht="18" customHeight="1">
      <c r="A59" s="125" t="inlineStr">
        <is>
          <t>Incident Free Days</t>
        </is>
      </c>
      <c r="B59" s="126" t="n">
        <v>8</v>
      </c>
      <c r="C59" s="257" t="n"/>
      <c r="D59" s="275" t="n"/>
      <c r="E59" s="275" t="n"/>
      <c r="F59" s="275" t="n"/>
      <c r="G59" s="275" t="n"/>
      <c r="H59" s="275" t="n"/>
      <c r="I59" s="276" t="n"/>
    </row>
    <row r="60" ht="18" customHeight="1">
      <c r="A60" s="127" t="inlineStr">
        <is>
          <t>Other Notes</t>
        </is>
      </c>
      <c r="B60" s="259" t="n"/>
      <c r="C60" s="278" t="n"/>
      <c r="D60" s="278" t="n"/>
      <c r="E60" s="278" t="n"/>
      <c r="F60" s="278" t="n"/>
      <c r="G60" s="278" t="n"/>
      <c r="H60" s="278" t="n"/>
      <c r="I60" s="279" t="n"/>
    </row>
    <row r="61" ht="20.25" customHeight="1">
      <c r="A61" s="245" t="inlineStr">
        <is>
          <t xml:space="preserve">INCIDENTS &amp; REPORTS </t>
        </is>
      </c>
      <c r="B61" s="275" t="n"/>
      <c r="C61" s="275" t="n"/>
      <c r="D61" s="275" t="n"/>
      <c r="E61" s="275" t="n"/>
      <c r="F61" s="275" t="n"/>
      <c r="G61" s="275" t="n"/>
      <c r="H61" s="275" t="n"/>
      <c r="I61" s="277" t="n"/>
    </row>
    <row r="62" ht="24.95" customHeight="1">
      <c r="A62" s="128" t="n"/>
      <c r="B62" s="263" t="inlineStr">
        <is>
          <t>QTY</t>
        </is>
      </c>
      <c r="C62" s="254" t="inlineStr">
        <is>
          <t>Comments</t>
        </is>
      </c>
      <c r="D62" s="275" t="n"/>
      <c r="E62" s="275" t="n"/>
      <c r="F62" s="275" t="n"/>
      <c r="G62" s="275" t="n"/>
      <c r="H62" s="275" t="n"/>
      <c r="I62" s="277" t="n"/>
    </row>
    <row r="63" ht="24.95" customHeight="1">
      <c r="A63" s="129" t="inlineStr">
        <is>
          <t>INCIDENT</t>
        </is>
      </c>
      <c r="B63" s="263" t="n">
        <v>0</v>
      </c>
      <c r="C63" s="249" t="inlineStr">
        <is>
          <t>NA</t>
        </is>
      </c>
      <c r="D63" s="275" t="n"/>
      <c r="E63" s="275" t="n"/>
      <c r="F63" s="275" t="n"/>
      <c r="G63" s="275" t="n"/>
      <c r="H63" s="275" t="n"/>
      <c r="I63" s="277" t="n"/>
    </row>
    <row r="64" ht="24.95" customHeight="1">
      <c r="A64" s="130" t="inlineStr">
        <is>
          <t>IR</t>
        </is>
      </c>
      <c r="B64" s="131" t="n">
        <v>0</v>
      </c>
      <c r="C64" s="250" t="inlineStr">
        <is>
          <t>NA</t>
        </is>
      </c>
      <c r="D64" s="278" t="n"/>
      <c r="E64" s="278" t="n"/>
      <c r="F64" s="278" t="n"/>
      <c r="G64" s="278" t="n"/>
      <c r="H64" s="278" t="n"/>
      <c r="I64" s="279" t="n"/>
    </row>
    <row r="65" ht="24.95" customHeight="1" thickBot="1">
      <c r="A65" s="132" t="inlineStr">
        <is>
          <t>NCR</t>
        </is>
      </c>
      <c r="B65" s="133" t="n">
        <v>0</v>
      </c>
      <c r="C65" s="251" t="inlineStr">
        <is>
          <t>NA</t>
        </is>
      </c>
      <c r="D65" s="285" t="n"/>
      <c r="E65" s="285" t="n"/>
      <c r="F65" s="285" t="n"/>
      <c r="G65" s="285" t="n"/>
      <c r="H65" s="285" t="n"/>
      <c r="I65" s="286" t="n"/>
    </row>
    <row r="66" ht="20.25" customHeight="1">
      <c r="A66" s="252" t="inlineStr">
        <is>
          <t>COMMUNICATIONS</t>
        </is>
      </c>
      <c r="B66" s="283" t="n"/>
      <c r="C66" s="283" t="n"/>
      <c r="D66" s="283" t="n"/>
      <c r="E66" s="283" t="n"/>
      <c r="F66" s="283" t="n"/>
      <c r="G66" s="283" t="n"/>
      <c r="H66" s="283" t="n"/>
      <c r="I66" s="284" t="n"/>
    </row>
    <row r="67" ht="24.95" customHeight="1">
      <c r="A67" s="253" t="inlineStr">
        <is>
          <t>TGS MB1119-05 Scheme D implemented</t>
        </is>
      </c>
      <c r="B67" s="275" t="n"/>
      <c r="C67" s="275" t="n"/>
      <c r="D67" s="275" t="n"/>
      <c r="E67" s="275" t="n"/>
      <c r="F67" s="275" t="n"/>
      <c r="G67" s="275" t="n"/>
      <c r="H67" s="275" t="n"/>
      <c r="I67" s="277" t="n"/>
    </row>
    <row r="68" ht="24.95" customHeight="1">
      <c r="A68" s="253" t="n"/>
      <c r="B68" s="275" t="n"/>
      <c r="C68" s="275" t="n"/>
      <c r="D68" s="275" t="n"/>
      <c r="E68" s="275" t="n"/>
      <c r="F68" s="275" t="n"/>
      <c r="G68" s="275" t="n"/>
      <c r="H68" s="275" t="n"/>
      <c r="I68" s="277" t="n"/>
    </row>
    <row r="69" ht="24.95" customHeight="1">
      <c r="A69" s="245" t="inlineStr">
        <is>
          <t>PRODUCTION (CONSTRUCTION STATUS &amp; PROGRESS)</t>
        </is>
      </c>
      <c r="B69" s="275" t="n"/>
      <c r="C69" s="275" t="n"/>
      <c r="D69" s="275" t="n"/>
      <c r="E69" s="275" t="n"/>
      <c r="F69" s="275" t="n"/>
      <c r="G69" s="275" t="n"/>
      <c r="H69" s="275" t="n"/>
      <c r="I69" s="277" t="n"/>
    </row>
    <row r="70" ht="24.95" customHeight="1">
      <c r="A70" s="134" t="inlineStr">
        <is>
          <t>Lateral Trenching and Install</t>
        </is>
      </c>
      <c r="B70" s="135" t="n"/>
      <c r="C70" s="79" t="n"/>
      <c r="D70" s="79" t="n"/>
      <c r="E70" s="79" t="n"/>
      <c r="F70" s="135" t="n"/>
      <c r="G70" s="135" t="n"/>
      <c r="H70" s="135" t="n"/>
      <c r="I70" s="136" t="n"/>
    </row>
    <row r="71" ht="24.95" customHeight="1">
      <c r="A71" s="134" t="inlineStr">
        <is>
          <t>Importing Base-course @ Bayley Lot 106 Heading south</t>
        </is>
      </c>
      <c r="B71" s="135" t="n"/>
      <c r="C71" s="79" t="n"/>
      <c r="D71" s="135" t="n"/>
      <c r="E71" s="135" t="n"/>
      <c r="F71" s="135" t="n"/>
      <c r="G71" s="135" t="n"/>
      <c r="H71" s="135" t="n"/>
      <c r="I71" s="136" t="n"/>
    </row>
    <row r="72" ht="24.95" customHeight="1">
      <c r="A72" s="79" t="inlineStr">
        <is>
          <t xml:space="preserve">Construction of access track from Bayley to Lot 106 to eliminate contamination </t>
        </is>
      </c>
      <c r="B72" s="135" t="n"/>
      <c r="C72" s="79" t="n"/>
      <c r="D72" s="135" t="n"/>
      <c r="E72" s="135" t="n"/>
      <c r="F72" s="135" t="n"/>
      <c r="G72" s="135" t="n"/>
      <c r="H72" s="135" t="n"/>
      <c r="I72" s="136" t="n"/>
    </row>
    <row r="73" ht="24.95" customHeight="1">
      <c r="A73" s="79" t="inlineStr">
        <is>
          <t>Installation of 100mm sleeve for irrigation underneath concrete ramp</t>
        </is>
      </c>
      <c r="B73" s="135" t="n"/>
      <c r="C73" s="79" t="n"/>
      <c r="D73" s="135" t="n"/>
      <c r="E73" s="135" t="n"/>
      <c r="F73" s="135" t="n"/>
      <c r="G73" s="135" t="n"/>
      <c r="H73" s="135" t="n"/>
      <c r="I73" s="136" t="n"/>
    </row>
    <row r="74" ht="26.1" customHeight="1" thickBot="1">
      <c r="A74" s="246" t="inlineStr">
        <is>
          <t>Photos</t>
        </is>
      </c>
      <c r="B74" s="278" t="n"/>
      <c r="C74" s="278" t="n"/>
      <c r="D74" s="278" t="n"/>
      <c r="E74" s="278" t="n"/>
      <c r="F74" s="278" t="n"/>
      <c r="G74" s="278" t="n"/>
      <c r="H74" s="278" t="n"/>
      <c r="I74" s="279" t="n"/>
    </row>
    <row r="75" ht="23.1" customHeight="1">
      <c r="A75" s="137" t="n"/>
      <c r="B75" s="138" t="n"/>
      <c r="C75" s="138" t="n"/>
      <c r="D75" s="138" t="n"/>
      <c r="E75" s="138" t="n"/>
      <c r="F75" s="138" t="n"/>
      <c r="G75" s="138" t="n"/>
      <c r="H75" s="138" t="n"/>
      <c r="I75" s="139" t="n"/>
    </row>
    <row r="76" ht="23.1"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G96" s="141" t="n"/>
      <c r="H96" s="141" t="n"/>
      <c r="I96" s="142" t="n"/>
    </row>
    <row r="97" ht="15" customHeight="1">
      <c r="A97" s="140" t="n"/>
      <c r="B97" s="141" t="n"/>
      <c r="C97" s="141" t="n"/>
      <c r="D97" s="141" t="n"/>
      <c r="E97" s="141" t="n"/>
      <c r="F97" s="141" t="n"/>
      <c r="H97" s="141" t="n"/>
      <c r="I97" s="142" t="n"/>
    </row>
    <row r="98" ht="24.95" customFormat="1" customHeight="1" s="8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0" t="n"/>
      <c r="B112" s="141" t="n"/>
      <c r="C112" s="141" t="n"/>
      <c r="D112" s="141" t="n"/>
      <c r="E112" s="141" t="n"/>
      <c r="F112" s="141" t="n"/>
      <c r="G112" s="141" t="n"/>
      <c r="H112" s="141" t="n"/>
      <c r="I112" s="142" t="n"/>
    </row>
    <row r="113" ht="15" customHeight="1" thickBot="1">
      <c r="A113" s="143" t="n"/>
      <c r="B113" s="144" t="n"/>
      <c r="C113" s="144" t="n"/>
      <c r="D113" s="144" t="n"/>
      <c r="E113" s="144" t="n"/>
      <c r="F113" s="144" t="n"/>
      <c r="G113" s="144" t="n"/>
      <c r="H113" s="144" t="n"/>
      <c r="I113" s="145"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15" customHeight="1">
      <c r="A121" s="140" t="n"/>
      <c r="B121" s="141" t="n"/>
      <c r="C121" s="141" t="n"/>
      <c r="D121" s="141" t="n"/>
      <c r="E121" s="141" t="n"/>
      <c r="F121" s="141" t="n"/>
      <c r="G121" s="141" t="n"/>
      <c r="H121" s="141" t="n"/>
      <c r="I121" s="142" t="n"/>
    </row>
    <row r="122" ht="24.9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15" customHeight="1">
      <c r="A124" s="140" t="n"/>
      <c r="B124" s="141" t="n"/>
      <c r="C124" s="141" t="n"/>
      <c r="D124" s="141" t="n"/>
      <c r="E124" s="141" t="n"/>
      <c r="F124" s="141" t="n"/>
      <c r="G124" s="141" t="n"/>
      <c r="H124" s="141" t="n"/>
      <c r="I124" s="142" t="n"/>
    </row>
    <row r="125" ht="27.9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row>
    <row r="138" ht="15" customHeight="1" thickBot="1">
      <c r="A138" s="140" t="n"/>
      <c r="B138" s="141" t="n"/>
      <c r="C138" s="141" t="n"/>
      <c r="D138" s="141" t="n"/>
      <c r="E138" s="141" t="n"/>
      <c r="F138" s="141" t="n"/>
      <c r="G138" s="141" t="n"/>
      <c r="H138" s="141" t="n"/>
      <c r="I138" s="142" t="n"/>
      <c r="J138" s="146"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 customHeight="1">
      <c r="A144" s="140" t="n"/>
      <c r="B144" s="141" t="n"/>
      <c r="C144" s="141" t="n"/>
      <c r="D144" s="141" t="n"/>
      <c r="E144" s="141" t="n"/>
      <c r="F144" s="141" t="n"/>
      <c r="G144" s="141" t="n"/>
      <c r="H144" s="141" t="n"/>
      <c r="I144" s="142" t="n"/>
    </row>
    <row r="145" ht="15.95" customHeight="1">
      <c r="A145" s="140" t="n"/>
      <c r="B145" s="141" t="n"/>
      <c r="C145" s="141" t="n"/>
      <c r="D145" s="141" t="n"/>
      <c r="E145" s="141" t="n"/>
      <c r="F145" s="141" t="n"/>
      <c r="G145" s="141" t="n"/>
      <c r="H145" s="141" t="n"/>
      <c r="I145" s="142" t="n"/>
    </row>
    <row r="146" ht="30.75" customHeight="1">
      <c r="A146" s="247" t="n"/>
      <c r="E146" s="248" t="n"/>
      <c r="I146" s="271"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ht="15.95" customHeight="1" thickBot="1">
      <c r="A200" s="59" t="n"/>
      <c r="B200" s="60" t="n"/>
      <c r="C200" s="60" t="n"/>
      <c r="D200" s="60" t="n"/>
      <c r="E200" s="60" t="n"/>
      <c r="F200" s="60" t="n"/>
      <c r="G200" s="60" t="n"/>
      <c r="H200" s="60" t="n"/>
      <c r="I200" s="61" t="n"/>
    </row>
    <row r="201">
      <c r="A201" s="64" t="n"/>
      <c r="I201" s="65" t="n"/>
    </row>
    <row r="202">
      <c r="A202" s="64" t="n"/>
      <c r="I202" s="65" t="n"/>
    </row>
    <row r="203">
      <c r="A203" s="64" t="n"/>
      <c r="I203" s="65" t="n"/>
    </row>
    <row r="204">
      <c r="A204" s="64" t="n"/>
      <c r="I204" s="65" t="n"/>
    </row>
    <row r="205">
      <c r="A205" s="64" t="n"/>
      <c r="I205" s="65" t="n"/>
    </row>
    <row r="206">
      <c r="A206" s="64" t="n"/>
      <c r="I206" s="65" t="n"/>
    </row>
    <row r="207" ht="15.95" customHeight="1" thickBot="1">
      <c r="A207" s="59" t="n"/>
      <c r="B207" s="60" t="n"/>
      <c r="C207" s="60" t="n"/>
      <c r="D207" s="60" t="n"/>
      <c r="E207" s="60" t="n"/>
      <c r="F207" s="60" t="n"/>
      <c r="G207" s="60" t="n"/>
      <c r="H207" s="60" t="n"/>
      <c r="I207" s="61" t="n"/>
    </row>
  </sheetData>
  <mergeCells count="40">
    <mergeCell ref="D49:I49"/>
    <mergeCell ref="B47:C47"/>
    <mergeCell ref="D13:F13"/>
    <mergeCell ref="G13:I13"/>
    <mergeCell ref="B8:D8"/>
    <mergeCell ref="A49:B49"/>
    <mergeCell ref="A66:I66"/>
    <mergeCell ref="B46:C46"/>
    <mergeCell ref="D48:I48"/>
    <mergeCell ref="A74:I74"/>
    <mergeCell ref="A55:I55"/>
    <mergeCell ref="A50:I50"/>
    <mergeCell ref="A12:I12"/>
    <mergeCell ref="D47:I47"/>
    <mergeCell ref="B56:I56"/>
    <mergeCell ref="A69:I69"/>
    <mergeCell ref="B48:C48"/>
    <mergeCell ref="A5:I5"/>
    <mergeCell ref="A51:I54"/>
    <mergeCell ref="B9:D9"/>
    <mergeCell ref="B60:I60"/>
    <mergeCell ref="C62:I62"/>
    <mergeCell ref="B57:I57"/>
    <mergeCell ref="B6:D6"/>
    <mergeCell ref="C58:I58"/>
    <mergeCell ref="A13:C13"/>
    <mergeCell ref="A146:D146"/>
    <mergeCell ref="A68:I68"/>
    <mergeCell ref="A10:I10"/>
    <mergeCell ref="A1:I4"/>
    <mergeCell ref="C64:I64"/>
    <mergeCell ref="A67:I67"/>
    <mergeCell ref="B7:D7"/>
    <mergeCell ref="C63:I63"/>
    <mergeCell ref="C65:I65"/>
    <mergeCell ref="A11:I11"/>
    <mergeCell ref="D46:I46"/>
    <mergeCell ref="C59:I59"/>
    <mergeCell ref="A61:I61"/>
    <mergeCell ref="E146:I146"/>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3" min="0" max="8" man="1"/>
  </rowBreaks>
</worksheet>
</file>

<file path=xl/worksheets/sheet26.xml><?xml version="1.0" encoding="utf-8"?>
<worksheet xmlns="http://schemas.openxmlformats.org/spreadsheetml/2006/main">
  <sheetPr>
    <outlinePr summaryBelow="1" summaryRight="1"/>
    <pageSetUpPr fitToPage="1"/>
  </sheetPr>
  <dimension ref="A1:J207"/>
  <sheetViews>
    <sheetView view="pageBreakPreview" zoomScale="40" zoomScaleNormal="55" zoomScaleSheetLayoutView="40" workbookViewId="0">
      <selection activeCell="D18" sqref="D18"/>
    </sheetView>
  </sheetViews>
  <sheetFormatPr baseColWidth="8" defaultColWidth="9.140625" defaultRowHeight="14.4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45898</v>
      </c>
    </row>
    <row r="7" ht="23.1" customHeight="1">
      <c r="A7" s="82" t="inlineStr">
        <is>
          <t>Project Location:</t>
        </is>
      </c>
      <c r="B7" s="267" t="inlineStr">
        <is>
          <t>Geraldton</t>
        </is>
      </c>
      <c r="E7" s="267" t="n"/>
      <c r="F7" s="84" t="n"/>
      <c r="G7" s="84" t="n"/>
      <c r="H7" s="87" t="inlineStr">
        <is>
          <t>Day:</t>
        </is>
      </c>
      <c r="I7" s="88" t="inlineStr">
        <is>
          <t>Friday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94</v>
      </c>
      <c r="C9" s="273" t="n"/>
      <c r="D9" s="273" t="n"/>
      <c r="E9" s="264" t="n"/>
      <c r="F9" s="91" t="n"/>
      <c r="G9" s="91" t="n"/>
      <c r="H9" s="87" t="inlineStr">
        <is>
          <t>Finish:</t>
        </is>
      </c>
      <c r="I9" s="89" t="n">
        <v>0.75</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19 degrees  Wind:  37km/h E Precip: 0.2 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11</v>
      </c>
      <c r="G15" s="100" t="inlineStr">
        <is>
          <t>Khegan Brockman</t>
        </is>
      </c>
      <c r="H15" s="97" t="inlineStr">
        <is>
          <t>Labourer</t>
        </is>
      </c>
      <c r="I15" s="101" t="n">
        <v>10</v>
      </c>
    </row>
    <row r="16" ht="23.1" customHeight="1">
      <c r="A16" s="96" t="inlineStr">
        <is>
          <t>GRIFFITHS, Daniel</t>
        </is>
      </c>
      <c r="B16" s="97" t="inlineStr">
        <is>
          <t>Project Manager</t>
        </is>
      </c>
      <c r="C16" s="102" t="n">
        <v>11.5</v>
      </c>
      <c r="D16" s="100" t="inlineStr">
        <is>
          <t>Hanly,Thomas</t>
        </is>
      </c>
      <c r="E16" s="97" t="inlineStr">
        <is>
          <t>Operator</t>
        </is>
      </c>
      <c r="F16" s="97" t="n">
        <v>11</v>
      </c>
      <c r="G16" s="100" t="inlineStr">
        <is>
          <t>Daniel McAuffile</t>
        </is>
      </c>
      <c r="H16" s="97" t="inlineStr">
        <is>
          <t>Operator</t>
        </is>
      </c>
      <c r="I16" s="101" t="n">
        <v>10</v>
      </c>
    </row>
    <row r="17" ht="23.1" customHeight="1">
      <c r="A17" s="96" t="inlineStr">
        <is>
          <t>O"SHEA, John</t>
        </is>
      </c>
      <c r="B17" s="97" t="inlineStr">
        <is>
          <t>Senior Project Engineer</t>
        </is>
      </c>
      <c r="C17" s="102" t="n"/>
      <c r="D17" s="103" t="n"/>
      <c r="E17" s="103" t="n"/>
      <c r="F17" s="97" t="n"/>
      <c r="G17" s="100" t="inlineStr">
        <is>
          <t>Jachai Griffiths</t>
        </is>
      </c>
      <c r="H17" s="97" t="inlineStr">
        <is>
          <t>Operator</t>
        </is>
      </c>
      <c r="I17" s="101" t="n"/>
    </row>
    <row r="18" ht="23.1" customHeight="1">
      <c r="A18" s="96" t="inlineStr">
        <is>
          <t>GRIFFITHS, Ashley</t>
        </is>
      </c>
      <c r="B18" s="97" t="inlineStr">
        <is>
          <t>Supervisor</t>
        </is>
      </c>
      <c r="C18" s="102" t="n"/>
      <c r="D18" s="99" t="n"/>
      <c r="E18" s="99" t="n"/>
      <c r="F18" s="97" t="n"/>
      <c r="G18" s="100" t="inlineStr">
        <is>
          <t>O'Brian, Jamie</t>
        </is>
      </c>
      <c r="H18" s="97" t="inlineStr">
        <is>
          <t>Operator</t>
        </is>
      </c>
      <c r="I18" s="101" t="n">
        <v>10</v>
      </c>
    </row>
    <row r="19" ht="23.1" customHeight="1">
      <c r="A19" s="96" t="inlineStr">
        <is>
          <t>LOW, June</t>
        </is>
      </c>
      <c r="B19" s="97" t="inlineStr">
        <is>
          <t>HSET</t>
        </is>
      </c>
      <c r="C19" s="102" t="n"/>
      <c r="D19" s="99" t="n"/>
      <c r="E19" s="99" t="n"/>
      <c r="F19" s="97" t="n"/>
      <c r="G19" s="100" t="inlineStr">
        <is>
          <t>O'Reilly,James</t>
        </is>
      </c>
      <c r="H19" s="97" t="inlineStr">
        <is>
          <t>Operator</t>
        </is>
      </c>
      <c r="I19" s="101" t="n"/>
    </row>
    <row r="20" ht="23.1" customHeight="1">
      <c r="A20" s="96" t="inlineStr">
        <is>
          <t>SKINNER,Jamie</t>
        </is>
      </c>
      <c r="B20" s="97" t="inlineStr">
        <is>
          <t>Supervisor</t>
        </is>
      </c>
      <c r="C20" s="102" t="n">
        <v>11.5</v>
      </c>
      <c r="D20" s="99" t="n"/>
      <c r="E20" s="99" t="n"/>
      <c r="F20" s="97" t="n"/>
      <c r="G20" s="100" t="inlineStr">
        <is>
          <t>Dixon, Warren</t>
        </is>
      </c>
      <c r="H20" s="97" t="inlineStr">
        <is>
          <t>Irrigation Installer</t>
        </is>
      </c>
      <c r="I20" s="101" t="n">
        <v>5</v>
      </c>
    </row>
    <row r="21" ht="23.1" customHeight="1">
      <c r="A21" s="96" t="n"/>
      <c r="B21" s="97" t="n"/>
      <c r="C21" s="102" t="n"/>
      <c r="D21" s="99" t="n"/>
      <c r="E21" s="99" t="n"/>
      <c r="F21" s="97" t="n"/>
      <c r="G21" s="100" t="inlineStr">
        <is>
          <t>Mosley,Joshua</t>
        </is>
      </c>
      <c r="H21" s="97" t="inlineStr">
        <is>
          <t>Surveyor</t>
        </is>
      </c>
      <c r="I21" s="101" t="n">
        <v>2</v>
      </c>
    </row>
    <row r="22" ht="23.1" customHeight="1">
      <c r="A22" s="96" t="n"/>
      <c r="B22" s="97" t="n"/>
      <c r="C22" s="102" t="n"/>
      <c r="D22" s="99" t="n"/>
      <c r="E22" s="99" t="n"/>
      <c r="F22" s="97" t="n"/>
      <c r="G22" s="100" t="n"/>
      <c r="H22" s="97" t="n"/>
      <c r="I22" s="101" t="n"/>
    </row>
    <row r="23" ht="23.1" customHeight="1">
      <c r="A23" s="96" t="n"/>
      <c r="B23" s="97" t="n"/>
      <c r="C23" s="102" t="n"/>
      <c r="D23" s="99" t="n"/>
      <c r="E23" s="99" t="n"/>
      <c r="F23" s="97" t="n"/>
      <c r="G23" s="100" t="n"/>
      <c r="H23" s="97" t="n"/>
      <c r="I23" s="101" t="n"/>
    </row>
    <row r="24" ht="23.1" customHeight="1">
      <c r="A24" s="96" t="n"/>
      <c r="B24" s="97" t="n"/>
      <c r="C24" s="102" t="n"/>
      <c r="D24" s="99" t="n"/>
      <c r="E24" s="99" t="n"/>
      <c r="F24" s="97" t="n"/>
      <c r="G24" s="100" t="n"/>
      <c r="H24" s="97" t="n"/>
      <c r="I24" s="101" t="n"/>
    </row>
    <row r="25" ht="23.1" customHeight="1">
      <c r="A25" s="96" t="n"/>
      <c r="B25" s="97" t="n"/>
      <c r="C25" s="102" t="n"/>
      <c r="D25" s="99" t="n"/>
      <c r="E25" s="99" t="n"/>
      <c r="F25" s="97" t="n"/>
      <c r="G25" s="151" t="n"/>
      <c r="H25" s="151" t="n"/>
      <c r="I25" s="107" t="n"/>
    </row>
    <row r="26" ht="23.1" customHeight="1">
      <c r="A26" s="255" t="inlineStr">
        <is>
          <t xml:space="preserve">Total Indirect Personnel onsite: </t>
        </is>
      </c>
      <c r="B26" s="105">
        <f>COUNT(C15:C26)</f>
        <v/>
      </c>
      <c r="C26" s="99" t="n"/>
      <c r="D26" s="99" t="n"/>
      <c r="E26" s="99" t="n"/>
      <c r="F26" s="97" t="n"/>
      <c r="G26" s="152" t="n"/>
      <c r="H26" s="151" t="n"/>
      <c r="I26" s="101" t="n"/>
    </row>
    <row r="27" ht="23.1" customHeight="1">
      <c r="A27" s="255" t="inlineStr">
        <is>
          <t xml:space="preserve">Total Indirect Personnel hours: </t>
        </is>
      </c>
      <c r="B27" s="105">
        <f>SUM(C15:C25)</f>
        <v/>
      </c>
      <c r="C27" s="102" t="n"/>
      <c r="D27" s="99" t="n"/>
      <c r="E27" s="99" t="n"/>
      <c r="F27" s="97" t="n"/>
      <c r="G27" s="106" t="inlineStr">
        <is>
          <t>Total Subcontractor on-site:</t>
        </is>
      </c>
      <c r="H27" s="107">
        <f>COUNT(I15:I25)</f>
        <v/>
      </c>
      <c r="I27" s="101" t="n"/>
    </row>
    <row r="28" ht="23.1" customHeight="1">
      <c r="A28" s="255" t="inlineStr">
        <is>
          <t xml:space="preserve">Total Direct Personnel onsite:  </t>
        </is>
      </c>
      <c r="B28" s="105">
        <f>COUNTIF(F15:F29,"&gt;0")</f>
        <v/>
      </c>
      <c r="C28" s="105" t="n"/>
      <c r="D28" s="99" t="n"/>
      <c r="E28" s="99" t="n"/>
      <c r="F28" s="108" t="n"/>
      <c r="G28" s="106" t="inlineStr">
        <is>
          <t>Total Subcontractor hours:</t>
        </is>
      </c>
      <c r="H28" s="107">
        <f>SUM(I15:I25)</f>
        <v/>
      </c>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n"/>
      <c r="E33" s="102" t="n"/>
      <c r="F33" s="102" t="n"/>
      <c r="G33" s="102" t="inlineStr">
        <is>
          <t>Sea Container 20ft</t>
        </is>
      </c>
      <c r="H33" s="97" t="n">
        <v>951200</v>
      </c>
      <c r="I33" s="101" t="n">
        <v>1</v>
      </c>
    </row>
    <row r="34" ht="23.1" customHeight="1">
      <c r="A34" s="115" t="inlineStr">
        <is>
          <t>Watercart</t>
        </is>
      </c>
      <c r="B34" s="102" t="inlineStr">
        <is>
          <t>WC04</t>
        </is>
      </c>
      <c r="C34" s="97" t="n">
        <v>9</v>
      </c>
      <c r="D34" s="102" t="n"/>
      <c r="E34" s="97" t="n"/>
      <c r="F34" s="102" t="n"/>
      <c r="G34" s="102" t="inlineStr">
        <is>
          <t>Site Sentry Tower</t>
        </is>
      </c>
      <c r="H34" s="102" t="n"/>
      <c r="I34" s="101" t="n">
        <v>2</v>
      </c>
    </row>
    <row r="35" ht="23.1" customHeight="1">
      <c r="A35" s="115" t="inlineStr">
        <is>
          <t>8T Excavator</t>
        </is>
      </c>
      <c r="B35" s="116" t="inlineStr">
        <is>
          <t>AMG 014</t>
        </is>
      </c>
      <c r="C35" s="97" t="n"/>
      <c r="D35" s="102" t="n"/>
      <c r="E35" s="102" t="n"/>
      <c r="F35" s="102" t="n"/>
      <c r="G35" s="102" t="inlineStr">
        <is>
          <t>Skip Bin</t>
        </is>
      </c>
      <c r="H35" s="102" t="n"/>
      <c r="I35" s="101" t="n">
        <v>1</v>
      </c>
    </row>
    <row r="36" ht="23.1" customHeight="1">
      <c r="A36" s="102" t="inlineStr">
        <is>
          <t>Mini Tipper</t>
        </is>
      </c>
      <c r="B36" s="102" t="inlineStr">
        <is>
          <t>SLS05</t>
        </is>
      </c>
      <c r="C36" s="102" t="n"/>
      <c r="D36" s="102" t="n"/>
      <c r="E36" s="102" t="n"/>
      <c r="F36" s="102" t="n"/>
      <c r="G36" s="102" t="inlineStr">
        <is>
          <t>Hydrocarbon Bund</t>
        </is>
      </c>
      <c r="H36" s="102" t="n"/>
      <c r="I36" s="101" t="n">
        <v>1</v>
      </c>
    </row>
    <row r="37" ht="23.1" customHeight="1">
      <c r="A37" s="150" t="inlineStr">
        <is>
          <t>1 t Excavator</t>
        </is>
      </c>
      <c r="B37" s="102" t="inlineStr">
        <is>
          <t>SLS03</t>
        </is>
      </c>
      <c r="C37" s="102" t="n"/>
      <c r="D37" s="102" t="n"/>
      <c r="E37" s="102" t="n"/>
      <c r="F37" s="102" t="n"/>
      <c r="G37" s="102" t="inlineStr">
        <is>
          <t>Temp Fence</t>
        </is>
      </c>
      <c r="H37" s="97" t="n"/>
      <c r="I37" s="101" t="n">
        <v>1</v>
      </c>
    </row>
    <row r="38" ht="24" customHeight="1">
      <c r="A38" s="150" t="inlineStr">
        <is>
          <t>14t Excavator with GPS</t>
        </is>
      </c>
      <c r="B38" s="102" t="inlineStr">
        <is>
          <t>EX197</t>
        </is>
      </c>
      <c r="C38" s="102" t="n">
        <v>2</v>
      </c>
      <c r="D38" s="102" t="n"/>
      <c r="E38" s="102" t="n"/>
      <c r="F38" s="102" t="n"/>
      <c r="G38" s="31" t="n"/>
      <c r="H38" s="31" t="n"/>
      <c r="I38" s="32" t="n"/>
    </row>
    <row r="39" ht="24" customHeight="1">
      <c r="A39" s="150" t="inlineStr">
        <is>
          <t>5t Excavator</t>
        </is>
      </c>
      <c r="B39" s="102" t="inlineStr">
        <is>
          <t>A118</t>
        </is>
      </c>
      <c r="C39" s="102" t="n"/>
      <c r="D39" s="102" t="n"/>
      <c r="E39" s="102" t="n"/>
      <c r="F39" s="102" t="n"/>
      <c r="G39" s="31" t="n"/>
      <c r="H39" s="31" t="n"/>
      <c r="I39" s="32" t="n"/>
    </row>
    <row r="40" ht="24" customHeight="1">
      <c r="A40" s="115" t="inlineStr">
        <is>
          <t>Padfoot/ Smooth Drum Roller</t>
        </is>
      </c>
      <c r="B40" s="102" t="inlineStr">
        <is>
          <t>RR 03</t>
        </is>
      </c>
      <c r="C40" s="97" t="n">
        <v>5</v>
      </c>
      <c r="D40" s="102" t="n"/>
      <c r="E40" s="102" t="n"/>
      <c r="F40" s="102" t="n"/>
      <c r="G40" s="31" t="n"/>
      <c r="H40" s="31" t="n"/>
      <c r="I40" s="32" t="n"/>
    </row>
    <row r="41" ht="24" customHeight="1">
      <c r="A41" s="115" t="inlineStr">
        <is>
          <t>Multi Roller</t>
        </is>
      </c>
      <c r="B41" s="102" t="n">
        <v>256</v>
      </c>
      <c r="C41" s="97" t="n">
        <v>5</v>
      </c>
      <c r="D41" s="102" t="n"/>
      <c r="E41" s="102" t="n"/>
      <c r="F41" s="102" t="n"/>
      <c r="G41" s="31" t="n"/>
      <c r="H41" s="31" t="n"/>
      <c r="I41" s="32" t="n"/>
    </row>
    <row r="42" ht="24" customHeight="1">
      <c r="A42" s="115" t="inlineStr">
        <is>
          <t>Positrak SSL</t>
        </is>
      </c>
      <c r="B42" s="102" t="inlineStr">
        <is>
          <t>SSL08</t>
        </is>
      </c>
      <c r="C42" s="97" t="n">
        <v>5</v>
      </c>
      <c r="D42" s="102" t="n"/>
      <c r="E42" s="102" t="n"/>
      <c r="F42" s="102" t="n"/>
      <c r="G42" s="31" t="n"/>
      <c r="H42" s="31" t="n"/>
      <c r="I42" s="32" t="n"/>
    </row>
    <row r="43" ht="24" customHeight="1">
      <c r="A43" s="115" t="inlineStr">
        <is>
          <t>Grader</t>
        </is>
      </c>
      <c r="B43" s="102" t="inlineStr">
        <is>
          <t>SLS01</t>
        </is>
      </c>
      <c r="C43" s="97" t="n">
        <v>9</v>
      </c>
      <c r="D43" s="102" t="n"/>
      <c r="E43" s="102" t="n"/>
      <c r="F43" s="102" t="n"/>
      <c r="G43" s="31" t="n"/>
      <c r="H43" s="31" t="n"/>
      <c r="I43" s="32" t="n"/>
    </row>
    <row r="44" ht="24" customHeight="1">
      <c r="A44" s="115" t="n"/>
      <c r="B44" s="102" t="n"/>
      <c r="C44" s="97" t="n"/>
      <c r="D44" s="31" t="n"/>
      <c r="E44" s="31" t="n"/>
      <c r="F44" s="31" t="n"/>
      <c r="G44" s="31" t="n"/>
      <c r="H44" s="31" t="n"/>
      <c r="I44" s="32" t="n"/>
    </row>
    <row r="45" ht="18" customHeight="1">
      <c r="A45" s="117" t="n">
        <v>0</v>
      </c>
      <c r="B45" s="260" t="inlineStr">
        <is>
          <t xml:space="preserve">Repairs Required </t>
        </is>
      </c>
      <c r="C45" s="276" t="n"/>
      <c r="D45" s="249" t="inlineStr">
        <is>
          <t>N/A</t>
        </is>
      </c>
      <c r="E45" s="275" t="n"/>
      <c r="F45" s="275" t="n"/>
      <c r="G45" s="275" t="n"/>
      <c r="H45" s="275" t="n"/>
      <c r="I45" s="277" t="n"/>
    </row>
    <row r="46" ht="18" customHeight="1">
      <c r="A46" s="118" t="n">
        <v>0</v>
      </c>
      <c r="B46" s="260" t="inlineStr">
        <is>
          <t>Scheduled Service</t>
        </is>
      </c>
      <c r="C46" s="276" t="n"/>
      <c r="D46" s="249" t="inlineStr">
        <is>
          <t>N/A</t>
        </is>
      </c>
      <c r="E46" s="275" t="n"/>
      <c r="F46" s="275" t="n"/>
      <c r="G46" s="275" t="n"/>
      <c r="H46" s="275" t="n"/>
      <c r="I46" s="277" t="n"/>
    </row>
    <row r="47" ht="18" customHeight="1">
      <c r="A47" s="119" t="n">
        <v>0</v>
      </c>
      <c r="B47" s="260" t="n"/>
      <c r="C47" s="276" t="n"/>
      <c r="D47" s="249" t="inlineStr">
        <is>
          <t>N/A</t>
        </is>
      </c>
      <c r="E47" s="275" t="n"/>
      <c r="F47" s="275" t="n"/>
      <c r="G47" s="275" t="n"/>
      <c r="H47" s="275" t="n"/>
      <c r="I47" s="277" t="n"/>
    </row>
    <row r="48" ht="23.1" customHeight="1">
      <c r="A48" s="255" t="inlineStr">
        <is>
          <t xml:space="preserve">Total Plant and Equipment Hours: </t>
        </is>
      </c>
      <c r="B48" s="276" t="n"/>
      <c r="C48" s="120">
        <f>SUM(C32:C44)</f>
        <v/>
      </c>
      <c r="D48" s="256" t="n"/>
      <c r="E48" s="275" t="n"/>
      <c r="F48" s="275" t="n"/>
      <c r="G48" s="275" t="n"/>
      <c r="H48" s="275" t="n"/>
      <c r="I48" s="277" t="n"/>
    </row>
    <row r="49" ht="24.95" customHeight="1">
      <c r="A49" s="245" t="inlineStr">
        <is>
          <t>DELAYS-OPPORTUNITY</t>
        </is>
      </c>
      <c r="B49" s="275" t="n"/>
      <c r="C49" s="275" t="n"/>
      <c r="D49" s="275" t="n"/>
      <c r="E49" s="275" t="n"/>
      <c r="F49" s="275" t="n"/>
      <c r="G49" s="275" t="n"/>
      <c r="H49" s="275" t="n"/>
      <c r="I49" s="277" t="n"/>
    </row>
    <row r="50" ht="20.1" customHeight="1">
      <c r="A50" s="121" t="n"/>
      <c r="B50" s="122" t="n"/>
      <c r="C50" s="122" t="n"/>
      <c r="D50" s="122" t="n"/>
      <c r="E50" s="122" t="n"/>
      <c r="F50" s="122" t="n"/>
      <c r="G50" s="122" t="n"/>
      <c r="H50" s="122" t="n"/>
      <c r="I50" s="123" t="n"/>
    </row>
    <row r="51" ht="15" customHeight="1">
      <c r="A51" s="244" t="inlineStr">
        <is>
          <t>Awaiting COGG confirmation on detail of Centrelink Carpark                             
Awaiting Kerbing Plan being Amended by TCD
Awaiting Direction on Service Clash Forrest Street
Awaiting Confirmation on Batters Treatment 
Awaiting finalised fencing details
Awaiting COGG confirmation on "Ballast Pile"
Instructions Provided for Laneway Sewer, Drainage and Light Pole Removal</t>
        </is>
      </c>
      <c r="B51" s="278" t="n"/>
      <c r="C51" s="278" t="n"/>
      <c r="D51" s="278" t="n"/>
      <c r="E51" s="278" t="n"/>
      <c r="F51" s="278" t="n"/>
      <c r="G51" s="278" t="n"/>
      <c r="H51" s="278" t="n"/>
      <c r="I51" s="279" t="n"/>
    </row>
    <row r="52">
      <c r="A52" s="270" t="n"/>
      <c r="I52" s="271" t="n"/>
    </row>
    <row r="53" ht="49.5" customHeight="1">
      <c r="A53" s="270" t="n"/>
      <c r="I53" s="271" t="n"/>
    </row>
    <row r="54" ht="80.09999999999999" customHeight="1">
      <c r="A54" s="280" t="n"/>
      <c r="B54" s="281" t="n"/>
      <c r="C54" s="281" t="n"/>
      <c r="D54" s="281" t="n"/>
      <c r="E54" s="281" t="n"/>
      <c r="F54" s="281" t="n"/>
      <c r="G54" s="281" t="n"/>
      <c r="H54" s="281" t="n"/>
      <c r="I54" s="282" t="n"/>
    </row>
    <row r="55" ht="24.95" customHeight="1">
      <c r="A55" s="252" t="inlineStr">
        <is>
          <t>HSEQ MESSAGES</t>
        </is>
      </c>
      <c r="B55" s="283" t="n"/>
      <c r="C55" s="283" t="n"/>
      <c r="D55" s="283" t="n"/>
      <c r="E55" s="283" t="n"/>
      <c r="F55" s="283" t="n"/>
      <c r="G55" s="283" t="n"/>
      <c r="H55" s="283" t="n"/>
      <c r="I55" s="284" t="n"/>
    </row>
    <row r="56" ht="18" customHeight="1">
      <c r="A56" s="124" t="inlineStr">
        <is>
          <t>TCD - Monthly Safety Focus:</t>
        </is>
      </c>
      <c r="B56" s="257" t="inlineStr">
        <is>
          <t>Return to Work</t>
        </is>
      </c>
      <c r="C56" s="275" t="n"/>
      <c r="D56" s="275" t="n"/>
      <c r="E56" s="275" t="n"/>
      <c r="F56" s="275" t="n"/>
      <c r="G56" s="275" t="n"/>
      <c r="H56" s="275" t="n"/>
      <c r="I56" s="276" t="n"/>
    </row>
    <row r="57" ht="24" customHeight="1">
      <c r="A57" s="124" t="inlineStr">
        <is>
          <t>TCD - Daily Safety Focus:</t>
        </is>
      </c>
      <c r="B57" s="258" t="inlineStr">
        <is>
          <t>Simops</t>
        </is>
      </c>
      <c r="C57" s="275" t="n"/>
      <c r="D57" s="275" t="n"/>
      <c r="E57" s="275" t="n"/>
      <c r="F57" s="275" t="n"/>
      <c r="G57" s="275" t="n"/>
      <c r="H57" s="275" t="n"/>
      <c r="I57" s="277" t="n"/>
    </row>
    <row r="58" ht="18" customHeight="1">
      <c r="A58" s="125" t="inlineStr">
        <is>
          <t xml:space="preserve">Hazards Reported: </t>
        </is>
      </c>
      <c r="B58" s="126" t="inlineStr">
        <is>
          <t>Nil</t>
        </is>
      </c>
      <c r="C58" s="258" t="n"/>
      <c r="D58" s="275" t="n"/>
      <c r="E58" s="275" t="n"/>
      <c r="F58" s="275" t="n"/>
      <c r="G58" s="275" t="n"/>
      <c r="H58" s="275" t="n"/>
      <c r="I58" s="277" t="n"/>
    </row>
    <row r="59" ht="18" customHeight="1">
      <c r="A59" s="125" t="inlineStr">
        <is>
          <t>Incident Free Days</t>
        </is>
      </c>
      <c r="B59" s="126" t="n">
        <v>9</v>
      </c>
      <c r="C59" s="257" t="n"/>
      <c r="D59" s="275" t="n"/>
      <c r="E59" s="275" t="n"/>
      <c r="F59" s="275" t="n"/>
      <c r="G59" s="275" t="n"/>
      <c r="H59" s="275" t="n"/>
      <c r="I59" s="276" t="n"/>
    </row>
    <row r="60" ht="18" customHeight="1">
      <c r="A60" s="127" t="inlineStr">
        <is>
          <t>Other Notes</t>
        </is>
      </c>
      <c r="B60" s="259" t="n"/>
      <c r="C60" s="278" t="n"/>
      <c r="D60" s="278" t="n"/>
      <c r="E60" s="278" t="n"/>
      <c r="F60" s="278" t="n"/>
      <c r="G60" s="278" t="n"/>
      <c r="H60" s="278" t="n"/>
      <c r="I60" s="279" t="n"/>
    </row>
    <row r="61" ht="20.25" customHeight="1">
      <c r="A61" s="245" t="inlineStr">
        <is>
          <t xml:space="preserve">INCIDENTS &amp; REPORTS </t>
        </is>
      </c>
      <c r="B61" s="275" t="n"/>
      <c r="C61" s="275" t="n"/>
      <c r="D61" s="275" t="n"/>
      <c r="E61" s="275" t="n"/>
      <c r="F61" s="275" t="n"/>
      <c r="G61" s="275" t="n"/>
      <c r="H61" s="275" t="n"/>
      <c r="I61" s="277" t="n"/>
    </row>
    <row r="62" ht="24.95" customHeight="1">
      <c r="A62" s="128" t="n"/>
      <c r="B62" s="263" t="inlineStr">
        <is>
          <t>QTY</t>
        </is>
      </c>
      <c r="C62" s="254" t="inlineStr">
        <is>
          <t>Comments</t>
        </is>
      </c>
      <c r="D62" s="275" t="n"/>
      <c r="E62" s="275" t="n"/>
      <c r="F62" s="275" t="n"/>
      <c r="G62" s="275" t="n"/>
      <c r="H62" s="275" t="n"/>
      <c r="I62" s="277" t="n"/>
    </row>
    <row r="63" ht="24.95" customHeight="1">
      <c r="A63" s="129" t="inlineStr">
        <is>
          <t>INCIDENT</t>
        </is>
      </c>
      <c r="B63" s="263" t="n">
        <v>0</v>
      </c>
      <c r="C63" s="249" t="inlineStr">
        <is>
          <t>NA</t>
        </is>
      </c>
      <c r="D63" s="275" t="n"/>
      <c r="E63" s="275" t="n"/>
      <c r="F63" s="275" t="n"/>
      <c r="G63" s="275" t="n"/>
      <c r="H63" s="275" t="n"/>
      <c r="I63" s="277" t="n"/>
    </row>
    <row r="64" ht="24.95" customHeight="1">
      <c r="A64" s="130" t="inlineStr">
        <is>
          <t>IR</t>
        </is>
      </c>
      <c r="B64" s="131" t="n">
        <v>0</v>
      </c>
      <c r="C64" s="250" t="inlineStr">
        <is>
          <t>NA</t>
        </is>
      </c>
      <c r="D64" s="278" t="n"/>
      <c r="E64" s="278" t="n"/>
      <c r="F64" s="278" t="n"/>
      <c r="G64" s="278" t="n"/>
      <c r="H64" s="278" t="n"/>
      <c r="I64" s="279" t="n"/>
    </row>
    <row r="65" ht="24.95" customHeight="1">
      <c r="A65" s="132" t="inlineStr">
        <is>
          <t>NCR</t>
        </is>
      </c>
      <c r="B65" s="133" t="n">
        <v>0</v>
      </c>
      <c r="C65" s="251" t="inlineStr">
        <is>
          <t>NA</t>
        </is>
      </c>
      <c r="D65" s="285" t="n"/>
      <c r="E65" s="285" t="n"/>
      <c r="F65" s="285" t="n"/>
      <c r="G65" s="285" t="n"/>
      <c r="H65" s="285" t="n"/>
      <c r="I65" s="286" t="n"/>
    </row>
    <row r="66" ht="20.25" customHeight="1">
      <c r="A66" s="252" t="inlineStr">
        <is>
          <t>COMMUNICATIONS</t>
        </is>
      </c>
      <c r="B66" s="283" t="n"/>
      <c r="C66" s="283" t="n"/>
      <c r="D66" s="283" t="n"/>
      <c r="E66" s="283" t="n"/>
      <c r="F66" s="283" t="n"/>
      <c r="G66" s="283" t="n"/>
      <c r="H66" s="283" t="n"/>
      <c r="I66" s="284" t="n"/>
    </row>
    <row r="67" ht="24.95" customHeight="1">
      <c r="A67" s="253" t="inlineStr">
        <is>
          <t>TGS MB1119-05 Scheme D impletmented</t>
        </is>
      </c>
      <c r="B67" s="275" t="n"/>
      <c r="C67" s="275" t="n"/>
      <c r="D67" s="275" t="n"/>
      <c r="E67" s="275" t="n"/>
      <c r="F67" s="275" t="n"/>
      <c r="G67" s="275" t="n"/>
      <c r="H67" s="275" t="n"/>
      <c r="I67" s="277" t="n"/>
    </row>
    <row r="68" ht="24.95" customHeight="1">
      <c r="A68" s="253" t="n"/>
      <c r="B68" s="275" t="n"/>
      <c r="C68" s="275" t="n"/>
      <c r="D68" s="275" t="n"/>
      <c r="E68" s="275" t="n"/>
      <c r="F68" s="275" t="n"/>
      <c r="G68" s="275" t="n"/>
      <c r="H68" s="275" t="n"/>
      <c r="I68" s="277" t="n"/>
    </row>
    <row r="69" ht="24.95" customHeight="1">
      <c r="A69" s="245" t="inlineStr">
        <is>
          <t>PRODUCTION (CONSTRUCTION STATUS &amp; PROGRESS)</t>
        </is>
      </c>
      <c r="B69" s="275" t="n"/>
      <c r="C69" s="275" t="n"/>
      <c r="D69" s="275" t="n"/>
      <c r="E69" s="275" t="n"/>
      <c r="F69" s="275" t="n"/>
      <c r="G69" s="275" t="n"/>
      <c r="H69" s="275" t="n"/>
      <c r="I69" s="277" t="n"/>
    </row>
    <row r="70" ht="24.95" customHeight="1">
      <c r="A70" s="134" t="inlineStr">
        <is>
          <t>Import of Basecourse@Lot 106 heading south</t>
        </is>
      </c>
      <c r="B70" s="135" t="n"/>
      <c r="C70" s="79" t="n"/>
      <c r="D70" s="79" t="n"/>
      <c r="E70" s="79" t="n"/>
      <c r="F70" s="135" t="n"/>
      <c r="G70" s="135" t="n"/>
      <c r="H70" s="135" t="n"/>
      <c r="I70" s="136" t="n"/>
    </row>
    <row r="71" ht="24.95" customHeight="1">
      <c r="A71" s="134" t="inlineStr">
        <is>
          <t>Commence Lateral trenching from@Lot 106 heading south(East side)</t>
        </is>
      </c>
      <c r="B71" s="135" t="n"/>
      <c r="C71" s="79" t="n"/>
      <c r="D71" s="79" t="n"/>
      <c r="E71" s="135" t="n"/>
      <c r="F71" s="135" t="n"/>
      <c r="G71" s="135" t="n"/>
      <c r="H71" s="135" t="n"/>
      <c r="I71" s="136" t="n"/>
    </row>
    <row r="72" ht="24.95" customHeight="1">
      <c r="A72" s="134" t="inlineStr">
        <is>
          <t>Balancing/Compacting Base-course layer@Lot 106 to Forrest st</t>
        </is>
      </c>
      <c r="B72" s="135" t="n"/>
      <c r="C72" s="79" t="n"/>
      <c r="D72" s="135" t="n"/>
      <c r="E72" s="135" t="n"/>
      <c r="F72" s="135" t="n"/>
      <c r="G72" s="135" t="n"/>
      <c r="H72" s="135" t="n"/>
      <c r="I72" s="136" t="n"/>
    </row>
    <row r="73" ht="24.95" customHeight="1">
      <c r="A73" s="134" t="inlineStr">
        <is>
          <t>Solenoid trench open for Box install</t>
        </is>
      </c>
      <c r="B73" s="135" t="n"/>
      <c r="C73" s="79" t="n"/>
      <c r="D73" s="135" t="n"/>
      <c r="E73" s="135" t="n"/>
      <c r="F73" s="135" t="n"/>
      <c r="G73" s="135" t="n"/>
      <c r="H73" s="135" t="n"/>
      <c r="I73" s="136" t="n"/>
    </row>
    <row r="74" ht="26.1" customHeight="1">
      <c r="A74" s="246" t="inlineStr">
        <is>
          <t>Photos</t>
        </is>
      </c>
      <c r="B74" s="278" t="n"/>
      <c r="C74" s="278" t="n"/>
      <c r="D74" s="278" t="n"/>
      <c r="E74" s="278" t="n"/>
      <c r="F74" s="278" t="n"/>
      <c r="G74" s="278" t="n"/>
      <c r="H74" s="278" t="n"/>
      <c r="I74" s="279" t="n"/>
    </row>
    <row r="75" ht="23.1" customHeight="1">
      <c r="A75" s="137" t="n"/>
      <c r="B75" s="138" t="n"/>
      <c r="C75" s="138" t="n"/>
      <c r="D75" s="138" t="n"/>
      <c r="E75" s="138" t="n"/>
      <c r="F75" s="138" t="n"/>
      <c r="G75" s="138" t="n"/>
      <c r="H75" s="138" t="n"/>
      <c r="I75" s="139" t="n"/>
    </row>
    <row r="76" ht="23.1"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G96" s="141" t="n"/>
      <c r="H96" s="141" t="n"/>
      <c r="I96" s="142" t="n"/>
    </row>
    <row r="97" ht="15" customHeight="1">
      <c r="A97" s="140" t="n"/>
      <c r="B97" s="141" t="n"/>
      <c r="C97" s="141" t="n"/>
      <c r="D97" s="141" t="n"/>
      <c r="E97" s="141" t="n"/>
      <c r="F97" s="141" t="n"/>
      <c r="H97" s="141" t="n"/>
      <c r="I97" s="142" t="n"/>
    </row>
    <row r="98" ht="24.95" customFormat="1" customHeight="1" s="8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0" t="n"/>
      <c r="B112" s="141" t="n"/>
      <c r="C112" s="141" t="n"/>
      <c r="D112" s="141" t="n"/>
      <c r="E112" s="141" t="n"/>
      <c r="F112" s="141" t="n"/>
      <c r="G112" s="141" t="n"/>
      <c r="H112" s="141" t="n"/>
      <c r="I112" s="142" t="n"/>
    </row>
    <row r="113" ht="15" customHeight="1">
      <c r="A113" s="143" t="n"/>
      <c r="B113" s="144" t="n"/>
      <c r="C113" s="144" t="n"/>
      <c r="D113" s="144" t="n"/>
      <c r="E113" s="144" t="n"/>
      <c r="F113" s="144" t="n"/>
      <c r="G113" s="144" t="n"/>
      <c r="H113" s="144" t="n"/>
      <c r="I113" s="145"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15" customHeight="1">
      <c r="A121" s="140" t="n"/>
      <c r="B121" s="141" t="n"/>
      <c r="C121" s="141" t="n"/>
      <c r="D121" s="141" t="n"/>
      <c r="E121" s="141" t="n"/>
      <c r="F121" s="141" t="n"/>
      <c r="G121" s="141" t="n"/>
      <c r="H121" s="141" t="n"/>
      <c r="I121" s="142" t="n"/>
    </row>
    <row r="122" ht="24.9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15" customHeight="1">
      <c r="A124" s="140" t="n"/>
      <c r="B124" s="141" t="n"/>
      <c r="C124" s="141" t="n"/>
      <c r="D124" s="141" t="n"/>
      <c r="E124" s="141" t="n"/>
      <c r="F124" s="141" t="n"/>
      <c r="G124" s="141" t="n"/>
      <c r="H124" s="141" t="n"/>
      <c r="I124" s="142" t="n"/>
    </row>
    <row r="125" ht="27.9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row>
    <row r="138" ht="15" customHeight="1">
      <c r="A138" s="140" t="n"/>
      <c r="B138" s="141" t="n"/>
      <c r="C138" s="141" t="n"/>
      <c r="D138" s="141" t="n"/>
      <c r="E138" s="141" t="n"/>
      <c r="F138" s="141" t="n"/>
      <c r="G138" s="141" t="n"/>
      <c r="H138" s="141" t="n"/>
      <c r="I138" s="142" t="n"/>
      <c r="J138" s="146"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 customHeight="1">
      <c r="A144" s="140" t="n"/>
      <c r="B144" s="141" t="n"/>
      <c r="C144" s="141" t="n"/>
      <c r="D144" s="141" t="n"/>
      <c r="E144" s="141" t="n"/>
      <c r="F144" s="141" t="n"/>
      <c r="G144" s="141" t="n"/>
      <c r="H144" s="141" t="n"/>
      <c r="I144" s="142" t="n"/>
    </row>
    <row r="145" ht="15.95" customHeight="1">
      <c r="A145" s="140" t="n"/>
      <c r="B145" s="141" t="n"/>
      <c r="C145" s="141" t="n"/>
      <c r="D145" s="141" t="n"/>
      <c r="E145" s="141" t="n"/>
      <c r="F145" s="141" t="n"/>
      <c r="G145" s="141" t="n"/>
      <c r="H145" s="141" t="n"/>
      <c r="I145" s="142" t="n"/>
    </row>
    <row r="146" ht="30.75" customHeight="1">
      <c r="A146" s="247" t="n"/>
      <c r="E146" s="248" t="n"/>
      <c r="I146" s="271"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ht="15.95" customHeight="1">
      <c r="A200" s="59" t="n"/>
      <c r="B200" s="60" t="n"/>
      <c r="C200" s="60" t="n"/>
      <c r="D200" s="60" t="n"/>
      <c r="E200" s="60" t="n"/>
      <c r="F200" s="60" t="n"/>
      <c r="G200" s="60" t="n"/>
      <c r="H200" s="60" t="n"/>
      <c r="I200" s="61" t="n"/>
    </row>
    <row r="201">
      <c r="A201" s="64" t="n"/>
      <c r="I201" s="65" t="n"/>
    </row>
    <row r="202">
      <c r="A202" s="64" t="n"/>
      <c r="I202" s="65" t="n"/>
    </row>
    <row r="203">
      <c r="A203" s="64" t="n"/>
      <c r="I203" s="65" t="n"/>
    </row>
    <row r="204">
      <c r="A204" s="64" t="n"/>
      <c r="I204" s="65" t="n"/>
    </row>
    <row r="205">
      <c r="A205" s="64" t="n"/>
      <c r="I205" s="65" t="n"/>
    </row>
    <row r="206">
      <c r="A206" s="64" t="n"/>
      <c r="I206" s="65" t="n"/>
    </row>
    <row r="207" ht="15.95" customHeight="1">
      <c r="A207" s="59" t="n"/>
      <c r="B207" s="60" t="n"/>
      <c r="C207" s="60" t="n"/>
      <c r="D207" s="60" t="n"/>
      <c r="E207" s="60" t="n"/>
      <c r="F207" s="60" t="n"/>
      <c r="G207" s="60" t="n"/>
      <c r="H207" s="60" t="n"/>
      <c r="I207" s="61" t="n"/>
    </row>
  </sheetData>
  <mergeCells count="40">
    <mergeCell ref="A48:B48"/>
    <mergeCell ref="B47:C47"/>
    <mergeCell ref="D13:F13"/>
    <mergeCell ref="G13:I13"/>
    <mergeCell ref="B8:D8"/>
    <mergeCell ref="A66:I66"/>
    <mergeCell ref="B46:C46"/>
    <mergeCell ref="D48:I48"/>
    <mergeCell ref="A74:I74"/>
    <mergeCell ref="A55:I55"/>
    <mergeCell ref="A12:I12"/>
    <mergeCell ref="D47:I47"/>
    <mergeCell ref="B56:I56"/>
    <mergeCell ref="A69:I69"/>
    <mergeCell ref="A5:I5"/>
    <mergeCell ref="A51:I54"/>
    <mergeCell ref="B9:D9"/>
    <mergeCell ref="B60:I60"/>
    <mergeCell ref="C62:I62"/>
    <mergeCell ref="B57:I57"/>
    <mergeCell ref="B6:D6"/>
    <mergeCell ref="C58:I58"/>
    <mergeCell ref="A13:C13"/>
    <mergeCell ref="A146:D146"/>
    <mergeCell ref="A68:I68"/>
    <mergeCell ref="A10:I10"/>
    <mergeCell ref="A1:I4"/>
    <mergeCell ref="C64:I64"/>
    <mergeCell ref="A67:I67"/>
    <mergeCell ref="B7:D7"/>
    <mergeCell ref="C63:I63"/>
    <mergeCell ref="C65:I65"/>
    <mergeCell ref="A11:I11"/>
    <mergeCell ref="A49:I49"/>
    <mergeCell ref="D46:I46"/>
    <mergeCell ref="C59:I59"/>
    <mergeCell ref="B45:C45"/>
    <mergeCell ref="D45:I45"/>
    <mergeCell ref="A61:I61"/>
    <mergeCell ref="E146:I146"/>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3" min="0" max="8" man="1"/>
  </rowBreaks>
</worksheet>
</file>

<file path=xl/worksheets/sheet27.xml><?xml version="1.0" encoding="utf-8"?>
<worksheet xmlns="http://schemas.openxmlformats.org/spreadsheetml/2006/main">
  <sheetPr>
    <outlinePr summaryBelow="1" summaryRight="1"/>
    <pageSetUpPr fitToPage="1"/>
  </sheetPr>
  <dimension ref="A1:J206"/>
  <sheetViews>
    <sheetView view="pageBreakPreview" zoomScale="40" zoomScaleNormal="55" zoomScaleSheetLayoutView="40" workbookViewId="0">
      <selection activeCell="I15" sqref="I15"/>
    </sheetView>
  </sheetViews>
  <sheetFormatPr baseColWidth="8" defaultColWidth="9.140625" defaultRowHeight="14.4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45899</v>
      </c>
    </row>
    <row r="7" ht="23.1" customHeight="1">
      <c r="A7" s="82" t="inlineStr">
        <is>
          <t>Project Location:</t>
        </is>
      </c>
      <c r="B7" s="267" t="inlineStr">
        <is>
          <t>Geraldton</t>
        </is>
      </c>
      <c r="E7" s="267" t="n"/>
      <c r="F7" s="84" t="n"/>
      <c r="G7" s="84" t="n"/>
      <c r="H7" s="87" t="inlineStr">
        <is>
          <t>Day:</t>
        </is>
      </c>
      <c r="I7" s="88" t="inlineStr">
        <is>
          <t>Saturday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95</v>
      </c>
      <c r="C9" s="273" t="n"/>
      <c r="D9" s="273" t="n"/>
      <c r="E9" s="264" t="n"/>
      <c r="F9" s="91" t="n"/>
      <c r="G9" s="91" t="n"/>
      <c r="H9" s="87" t="inlineStr">
        <is>
          <t>Finish:</t>
        </is>
      </c>
      <c r="I9" s="89" t="n">
        <v>0.7291666666666666</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21 degrees  Wind:  52km/h NE Precip: 0 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11</v>
      </c>
      <c r="G15" s="100" t="inlineStr">
        <is>
          <t>Khegan Brockman</t>
        </is>
      </c>
      <c r="H15" s="97" t="inlineStr">
        <is>
          <t>Labourer</t>
        </is>
      </c>
      <c r="I15" s="101" t="n"/>
    </row>
    <row r="16" ht="23.1" customHeight="1">
      <c r="A16" s="96" t="inlineStr">
        <is>
          <t>GRIFFITHS, Daniel</t>
        </is>
      </c>
      <c r="B16" s="97" t="inlineStr">
        <is>
          <t>Project Manager</t>
        </is>
      </c>
      <c r="C16" s="102" t="n">
        <v>11.5</v>
      </c>
      <c r="D16" s="100" t="inlineStr">
        <is>
          <t>Hanly,Thomas</t>
        </is>
      </c>
      <c r="E16" s="97" t="inlineStr">
        <is>
          <t>Operator</t>
        </is>
      </c>
      <c r="F16" s="97" t="n">
        <v>11</v>
      </c>
      <c r="G16" s="100" t="inlineStr">
        <is>
          <t>Daniel McAuffile</t>
        </is>
      </c>
      <c r="H16" s="97" t="inlineStr">
        <is>
          <t>Operator</t>
        </is>
      </c>
      <c r="I16" s="101" t="n">
        <v>6</v>
      </c>
    </row>
    <row r="17" ht="23.1" customHeight="1">
      <c r="A17" s="96" t="inlineStr">
        <is>
          <t>O"SHEA, John</t>
        </is>
      </c>
      <c r="B17" s="97" t="inlineStr">
        <is>
          <t>Senior Project Engineer</t>
        </is>
      </c>
      <c r="C17" s="102" t="n"/>
      <c r="D17" s="103" t="n"/>
      <c r="E17" s="103" t="n"/>
      <c r="F17" s="97" t="n"/>
      <c r="G17" s="100" t="inlineStr">
        <is>
          <t>Jachai Griffiths</t>
        </is>
      </c>
      <c r="H17" s="97" t="inlineStr">
        <is>
          <t>Operator</t>
        </is>
      </c>
      <c r="I17" s="101" t="n"/>
    </row>
    <row r="18" ht="23.1" customHeight="1">
      <c r="A18" s="96" t="inlineStr">
        <is>
          <t>GRIFFITHS, Ashley</t>
        </is>
      </c>
      <c r="B18" s="97" t="inlineStr">
        <is>
          <t>Supervisor</t>
        </is>
      </c>
      <c r="C18" s="102" t="n"/>
      <c r="D18" s="99" t="n"/>
      <c r="E18" s="99" t="n"/>
      <c r="F18" s="97" t="n"/>
      <c r="G18" s="100" t="inlineStr">
        <is>
          <t>O'Brian, Jamie</t>
        </is>
      </c>
      <c r="H18" s="97" t="inlineStr">
        <is>
          <t>Operator</t>
        </is>
      </c>
      <c r="I18" s="101" t="n">
        <v>6</v>
      </c>
    </row>
    <row r="19" ht="23.1" customHeight="1">
      <c r="A19" s="96" t="inlineStr">
        <is>
          <t>LOW, June</t>
        </is>
      </c>
      <c r="B19" s="97" t="inlineStr">
        <is>
          <t>HSET</t>
        </is>
      </c>
      <c r="C19" s="102" t="n"/>
      <c r="D19" s="99" t="n"/>
      <c r="E19" s="99" t="n"/>
      <c r="F19" s="97" t="n"/>
      <c r="G19" s="100" t="inlineStr">
        <is>
          <t>O'Reilly,Sean</t>
        </is>
      </c>
      <c r="H19" s="97" t="inlineStr">
        <is>
          <t>Operator</t>
        </is>
      </c>
      <c r="I19" s="101" t="n">
        <v>5</v>
      </c>
    </row>
    <row r="20" ht="23.1" customHeight="1">
      <c r="A20" s="96" t="inlineStr">
        <is>
          <t>SKINNER,Jamie</t>
        </is>
      </c>
      <c r="B20" s="97" t="inlineStr">
        <is>
          <t>Supervisor</t>
        </is>
      </c>
      <c r="C20" s="102" t="n"/>
      <c r="D20" s="99" t="n"/>
      <c r="E20" s="99" t="n"/>
      <c r="F20" s="97" t="n"/>
      <c r="G20" s="100" t="inlineStr">
        <is>
          <t>Dixon, Warren</t>
        </is>
      </c>
      <c r="H20" s="97" t="inlineStr">
        <is>
          <t>Irrigation Installer</t>
        </is>
      </c>
      <c r="I20" s="101" t="n">
        <v>5</v>
      </c>
    </row>
    <row r="21" ht="23.1" customHeight="1">
      <c r="A21" s="96" t="n"/>
      <c r="B21" s="97" t="n"/>
      <c r="C21" s="102" t="n"/>
      <c r="D21" s="99" t="n"/>
      <c r="E21" s="99" t="n"/>
      <c r="F21" s="97" t="n"/>
      <c r="G21" s="100" t="inlineStr">
        <is>
          <t>Mosley,Joshua</t>
        </is>
      </c>
      <c r="H21" s="97" t="inlineStr">
        <is>
          <t>Surveyor</t>
        </is>
      </c>
      <c r="I21" s="101" t="n">
        <v>5</v>
      </c>
    </row>
    <row r="22" ht="23.1" customHeight="1">
      <c r="A22" s="96" t="n"/>
      <c r="B22" s="97" t="n"/>
      <c r="C22" s="102" t="n"/>
      <c r="D22" s="99" t="n"/>
      <c r="E22" s="99" t="n"/>
      <c r="F22" s="97" t="n"/>
      <c r="G22" s="100" t="n"/>
      <c r="H22" s="97" t="n"/>
      <c r="I22" s="101" t="n"/>
    </row>
    <row r="23" ht="23.1" customHeight="1">
      <c r="A23" s="96" t="n"/>
      <c r="B23" s="97" t="n"/>
      <c r="C23" s="102" t="n"/>
      <c r="D23" s="99" t="n"/>
      <c r="E23" s="99" t="n"/>
      <c r="F23" s="97" t="n"/>
      <c r="G23" s="100" t="n"/>
      <c r="H23" s="97" t="n"/>
      <c r="I23" s="101" t="n"/>
    </row>
    <row r="24" ht="23.1" customHeight="1">
      <c r="A24" s="96" t="n"/>
      <c r="B24" s="97" t="n"/>
      <c r="C24" s="102" t="n"/>
      <c r="D24" s="99" t="n"/>
      <c r="E24" s="99" t="n"/>
      <c r="F24" s="97" t="n"/>
      <c r="G24" s="100" t="n"/>
      <c r="H24" s="97" t="n"/>
      <c r="I24" s="101" t="n"/>
    </row>
    <row r="25" ht="23.1" customHeight="1">
      <c r="A25" s="96" t="n"/>
      <c r="B25" s="97" t="n"/>
      <c r="C25" s="102" t="n"/>
      <c r="D25" s="99" t="n"/>
      <c r="E25" s="99" t="n"/>
      <c r="F25" s="97" t="n"/>
      <c r="G25" s="151" t="n"/>
      <c r="H25" s="151" t="n"/>
      <c r="I25" s="107" t="n"/>
    </row>
    <row r="26" ht="23.1" customHeight="1">
      <c r="A26" s="255" t="inlineStr">
        <is>
          <t xml:space="preserve">Total Indirect Personnel onsite: </t>
        </is>
      </c>
      <c r="B26" s="105">
        <f>COUNT(C15:C26)</f>
        <v/>
      </c>
      <c r="C26" s="99" t="n"/>
      <c r="D26" s="99" t="n"/>
      <c r="E26" s="99" t="n"/>
      <c r="F26" s="97" t="n"/>
      <c r="G26" s="152" t="n"/>
      <c r="H26" s="151" t="n"/>
      <c r="I26" s="101" t="n"/>
    </row>
    <row r="27" ht="23.1" customHeight="1">
      <c r="A27" s="255" t="inlineStr">
        <is>
          <t xml:space="preserve">Total Indirect Personnel hours: </t>
        </is>
      </c>
      <c r="B27" s="105">
        <f>SUM(C15:C25)</f>
        <v/>
      </c>
      <c r="C27" s="102" t="n"/>
      <c r="D27" s="99" t="n"/>
      <c r="E27" s="99" t="n"/>
      <c r="F27" s="97" t="n"/>
      <c r="G27" s="106" t="inlineStr">
        <is>
          <t>Total Subcontractor on-site:</t>
        </is>
      </c>
      <c r="H27" s="107">
        <f>COUNT(I15:I25)</f>
        <v/>
      </c>
      <c r="I27" s="101" t="n"/>
    </row>
    <row r="28" ht="23.1" customHeight="1">
      <c r="A28" s="255" t="inlineStr">
        <is>
          <t xml:space="preserve">Total Direct Personnel onsite:  </t>
        </is>
      </c>
      <c r="B28" s="105">
        <f>COUNTIF(F15:F29,"&gt;0")</f>
        <v/>
      </c>
      <c r="C28" s="105" t="n"/>
      <c r="D28" s="99" t="n"/>
      <c r="E28" s="99" t="n"/>
      <c r="F28" s="108" t="n"/>
      <c r="G28" s="106" t="inlineStr">
        <is>
          <t>Total Subcontractor hours:</t>
        </is>
      </c>
      <c r="H28" s="107">
        <f>SUM(I15:I25)</f>
        <v/>
      </c>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n"/>
      <c r="E33" s="102" t="n"/>
      <c r="F33" s="102" t="n"/>
      <c r="G33" s="102" t="inlineStr">
        <is>
          <t>Sea Container 20ft</t>
        </is>
      </c>
      <c r="H33" s="97" t="n">
        <v>951200</v>
      </c>
      <c r="I33" s="101" t="n">
        <v>1</v>
      </c>
    </row>
    <row r="34" ht="23.1" customHeight="1">
      <c r="A34" s="115" t="inlineStr">
        <is>
          <t>Watercart</t>
        </is>
      </c>
      <c r="B34" s="102" t="inlineStr">
        <is>
          <t>WC04</t>
        </is>
      </c>
      <c r="C34" s="97" t="n">
        <v>10</v>
      </c>
      <c r="D34" s="102" t="n"/>
      <c r="E34" s="97" t="n"/>
      <c r="F34" s="102" t="n"/>
      <c r="G34" s="102" t="inlineStr">
        <is>
          <t>Site Sentry Tower</t>
        </is>
      </c>
      <c r="H34" s="102" t="n"/>
      <c r="I34" s="101" t="n">
        <v>2</v>
      </c>
    </row>
    <row r="35" ht="23.1" customHeight="1">
      <c r="A35" s="115" t="inlineStr">
        <is>
          <t>8T Excavator</t>
        </is>
      </c>
      <c r="B35" s="116" t="inlineStr">
        <is>
          <t>AMG 014</t>
        </is>
      </c>
      <c r="C35" s="97" t="n"/>
      <c r="D35" s="102" t="n"/>
      <c r="E35" s="102" t="n"/>
      <c r="F35" s="102" t="n"/>
      <c r="G35" s="102" t="inlineStr">
        <is>
          <t>Skip Bin</t>
        </is>
      </c>
      <c r="H35" s="102" t="n"/>
      <c r="I35" s="101" t="n">
        <v>1</v>
      </c>
    </row>
    <row r="36" ht="23.1" customHeight="1">
      <c r="A36" s="102" t="inlineStr">
        <is>
          <t>Mini Tipper</t>
        </is>
      </c>
      <c r="B36" s="102" t="inlineStr">
        <is>
          <t>SLS05</t>
        </is>
      </c>
      <c r="C36" s="102" t="n"/>
      <c r="D36" s="102" t="n"/>
      <c r="E36" s="102" t="n"/>
      <c r="F36" s="102" t="n"/>
      <c r="G36" s="102" t="inlineStr">
        <is>
          <t>Hydrocarbon Bund</t>
        </is>
      </c>
      <c r="H36" s="102" t="n"/>
      <c r="I36" s="101" t="n">
        <v>1</v>
      </c>
    </row>
    <row r="37" ht="23.1" customHeight="1">
      <c r="A37" s="150" t="inlineStr">
        <is>
          <t>1 t Excavator</t>
        </is>
      </c>
      <c r="B37" s="102" t="inlineStr">
        <is>
          <t>SLS03</t>
        </is>
      </c>
      <c r="C37" s="102" t="n"/>
      <c r="D37" s="102" t="n"/>
      <c r="E37" s="102" t="n"/>
      <c r="F37" s="102" t="n"/>
      <c r="G37" s="102" t="inlineStr">
        <is>
          <t>Temp Fence</t>
        </is>
      </c>
      <c r="H37" s="97" t="n"/>
      <c r="I37" s="101" t="n">
        <v>1</v>
      </c>
    </row>
    <row r="38" ht="24" customHeight="1">
      <c r="A38" s="150" t="inlineStr">
        <is>
          <t>14t Excavator with GPS</t>
        </is>
      </c>
      <c r="B38" s="102" t="inlineStr">
        <is>
          <t>EX197</t>
        </is>
      </c>
      <c r="C38" s="102" t="n">
        <v>2</v>
      </c>
      <c r="D38" s="102" t="n"/>
      <c r="E38" s="102" t="n"/>
      <c r="F38" s="102" t="n"/>
      <c r="G38" s="31" t="n"/>
      <c r="H38" s="31" t="n"/>
      <c r="I38" s="32" t="n"/>
    </row>
    <row r="39" ht="24" customHeight="1">
      <c r="A39" s="150" t="inlineStr">
        <is>
          <t>5t Excavator</t>
        </is>
      </c>
      <c r="B39" s="102" t="inlineStr">
        <is>
          <t>A118</t>
        </is>
      </c>
      <c r="C39" s="102" t="n">
        <v>5</v>
      </c>
      <c r="D39" s="102" t="n"/>
      <c r="E39" s="102" t="n"/>
      <c r="F39" s="102" t="n"/>
      <c r="G39" s="31" t="n"/>
      <c r="H39" s="31" t="n"/>
      <c r="I39" s="32" t="n"/>
    </row>
    <row r="40" ht="24" customHeight="1">
      <c r="A40" s="115" t="inlineStr">
        <is>
          <t>Padfoot/ Smooth Drum Roller</t>
        </is>
      </c>
      <c r="B40" s="102" t="inlineStr">
        <is>
          <t>RR 03</t>
        </is>
      </c>
      <c r="C40" s="97" t="n">
        <v>5</v>
      </c>
      <c r="D40" s="102" t="n"/>
      <c r="E40" s="102" t="n"/>
      <c r="F40" s="102" t="n"/>
      <c r="G40" s="31" t="n"/>
      <c r="H40" s="31" t="n"/>
      <c r="I40" s="32" t="n"/>
    </row>
    <row r="41" ht="24" customHeight="1">
      <c r="A41" s="115" t="inlineStr">
        <is>
          <t>Multi Roller</t>
        </is>
      </c>
      <c r="B41" s="102" t="n">
        <v>256</v>
      </c>
      <c r="C41" s="97" t="n">
        <v>5</v>
      </c>
      <c r="D41" s="102" t="n"/>
      <c r="E41" s="102" t="n"/>
      <c r="F41" s="102" t="n"/>
      <c r="G41" s="31" t="n"/>
      <c r="H41" s="31" t="n"/>
      <c r="I41" s="32" t="n"/>
    </row>
    <row r="42" ht="24" customHeight="1">
      <c r="A42" s="115" t="inlineStr">
        <is>
          <t>Positrak SSL</t>
        </is>
      </c>
      <c r="B42" s="102" t="inlineStr">
        <is>
          <t>SSL08</t>
        </is>
      </c>
      <c r="C42" s="97" t="n">
        <v>5</v>
      </c>
      <c r="D42" s="102" t="n"/>
      <c r="E42" s="102" t="n"/>
      <c r="F42" s="102" t="n"/>
      <c r="G42" s="31" t="n"/>
      <c r="H42" s="31" t="n"/>
      <c r="I42" s="32" t="n"/>
    </row>
    <row r="43" ht="24" customHeight="1">
      <c r="A43" s="115" t="inlineStr">
        <is>
          <t>Grader</t>
        </is>
      </c>
      <c r="B43" s="102" t="inlineStr">
        <is>
          <t>SLS01</t>
        </is>
      </c>
      <c r="C43" s="97" t="n">
        <v>9</v>
      </c>
      <c r="D43" s="102" t="n"/>
      <c r="E43" s="102" t="n"/>
      <c r="F43" s="102" t="n"/>
      <c r="G43" s="31" t="n"/>
      <c r="H43" s="31" t="n"/>
      <c r="I43" s="32" t="n"/>
    </row>
    <row r="44" ht="24" customHeight="1">
      <c r="A44" s="115" t="n"/>
      <c r="B44" s="102" t="n"/>
      <c r="C44" s="97" t="n"/>
      <c r="D44" s="31" t="n"/>
      <c r="E44" s="31" t="n"/>
      <c r="F44" s="31" t="n"/>
      <c r="G44" s="31" t="n"/>
      <c r="H44" s="31" t="n"/>
      <c r="I44" s="32" t="n"/>
    </row>
    <row r="45" ht="18" customHeight="1">
      <c r="A45" s="117" t="n">
        <v>0</v>
      </c>
      <c r="B45" s="260" t="inlineStr">
        <is>
          <t xml:space="preserve">Repairs Required </t>
        </is>
      </c>
      <c r="C45" s="276" t="n"/>
      <c r="D45" s="249" t="inlineStr">
        <is>
          <t>N/A</t>
        </is>
      </c>
      <c r="E45" s="275" t="n"/>
      <c r="F45" s="275" t="n"/>
      <c r="G45" s="275" t="n"/>
      <c r="H45" s="275" t="n"/>
      <c r="I45" s="277" t="n"/>
    </row>
    <row r="46" ht="18" customHeight="1">
      <c r="A46" s="118" t="n">
        <v>0</v>
      </c>
      <c r="B46" s="260" t="inlineStr">
        <is>
          <t>Scheduled Service</t>
        </is>
      </c>
      <c r="C46" s="276" t="n"/>
      <c r="D46" s="249" t="inlineStr">
        <is>
          <t>N/A</t>
        </is>
      </c>
      <c r="E46" s="275" t="n"/>
      <c r="F46" s="275" t="n"/>
      <c r="G46" s="275" t="n"/>
      <c r="H46" s="275" t="n"/>
      <c r="I46" s="277" t="n"/>
    </row>
    <row r="47" ht="18" customHeight="1">
      <c r="A47" s="119" t="n">
        <v>0</v>
      </c>
      <c r="B47" s="260" t="n"/>
      <c r="C47" s="276" t="n"/>
      <c r="D47" s="249" t="inlineStr">
        <is>
          <t>N/A</t>
        </is>
      </c>
      <c r="E47" s="275" t="n"/>
      <c r="F47" s="275" t="n"/>
      <c r="G47" s="275" t="n"/>
      <c r="H47" s="275" t="n"/>
      <c r="I47" s="277" t="n"/>
    </row>
    <row r="48" ht="23.1" customHeight="1">
      <c r="A48" s="255" t="inlineStr">
        <is>
          <t xml:space="preserve">Total Plant and Equipment Hours: </t>
        </is>
      </c>
      <c r="B48" s="276" t="n"/>
      <c r="C48" s="120">
        <f>SUM(C32:C44)</f>
        <v/>
      </c>
      <c r="D48" s="256" t="n"/>
      <c r="E48" s="275" t="n"/>
      <c r="F48" s="275" t="n"/>
      <c r="G48" s="275" t="n"/>
      <c r="H48" s="275" t="n"/>
      <c r="I48" s="277" t="n"/>
    </row>
    <row r="49" ht="24.95" customHeight="1">
      <c r="A49" s="245" t="inlineStr">
        <is>
          <t>DELAYS-OPPORTUNITY</t>
        </is>
      </c>
      <c r="B49" s="275" t="n"/>
      <c r="C49" s="275" t="n"/>
      <c r="D49" s="275" t="n"/>
      <c r="E49" s="275" t="n"/>
      <c r="F49" s="275" t="n"/>
      <c r="G49" s="275" t="n"/>
      <c r="H49" s="275" t="n"/>
      <c r="I49" s="277" t="n"/>
    </row>
    <row r="50" ht="20.1" customHeight="1">
      <c r="A50" s="121" t="n"/>
      <c r="B50" s="122" t="n"/>
      <c r="C50" s="122" t="n"/>
      <c r="D50" s="122" t="n"/>
      <c r="E50" s="122" t="n"/>
      <c r="F50" s="122" t="n"/>
      <c r="G50" s="122" t="n"/>
      <c r="H50" s="122" t="n"/>
      <c r="I50" s="123" t="n"/>
    </row>
    <row r="51" ht="15" customHeight="1" thickBot="1">
      <c r="A51" s="244" t="inlineStr">
        <is>
          <t>Awaiting COGG confirmation on detail of Centrelink Carpark                             
Awaiting Kerbing Plan being Amended by TCD
Awaiting Direction on Service Clash Forrest Street-New proposed 
Awaiting Confirmation on Batters Treatment 
Awaiting finalised fencing details
Awaiting COGG confirmation on "Ballast Pile"
Instructions Provided for Laneway Sewer, Drainage and Light Pole Removal</t>
        </is>
      </c>
      <c r="B51" s="278" t="n"/>
      <c r="C51" s="278" t="n"/>
      <c r="D51" s="278" t="n"/>
      <c r="E51" s="278" t="n"/>
      <c r="F51" s="278" t="n"/>
      <c r="G51" s="278" t="n"/>
      <c r="H51" s="278" t="n"/>
      <c r="I51" s="279" t="n"/>
    </row>
    <row r="52">
      <c r="A52" s="270" t="n"/>
      <c r="I52" s="271" t="n"/>
    </row>
    <row r="53" ht="49.5" customHeight="1">
      <c r="A53" s="270" t="n"/>
      <c r="I53" s="271" t="n"/>
    </row>
    <row r="54" ht="80.09999999999999" customHeight="1" thickBot="1">
      <c r="A54" s="280" t="n"/>
      <c r="B54" s="281" t="n"/>
      <c r="C54" s="281" t="n"/>
      <c r="D54" s="281" t="n"/>
      <c r="E54" s="281" t="n"/>
      <c r="F54" s="281" t="n"/>
      <c r="G54" s="281" t="n"/>
      <c r="H54" s="281" t="n"/>
      <c r="I54" s="282" t="n"/>
    </row>
    <row r="55" ht="24.95" customHeight="1">
      <c r="A55" s="252" t="inlineStr">
        <is>
          <t>HSEQ MESSAGES</t>
        </is>
      </c>
      <c r="B55" s="283" t="n"/>
      <c r="C55" s="283" t="n"/>
      <c r="D55" s="283" t="n"/>
      <c r="E55" s="283" t="n"/>
      <c r="F55" s="283" t="n"/>
      <c r="G55" s="283" t="n"/>
      <c r="H55" s="283" t="n"/>
      <c r="I55" s="284" t="n"/>
    </row>
    <row r="56" ht="18" customHeight="1">
      <c r="A56" s="124" t="inlineStr">
        <is>
          <t>TCD - Monthly Safety Focus:</t>
        </is>
      </c>
      <c r="B56" s="257" t="inlineStr">
        <is>
          <t>Return to Work</t>
        </is>
      </c>
      <c r="C56" s="275" t="n"/>
      <c r="D56" s="275" t="n"/>
      <c r="E56" s="275" t="n"/>
      <c r="F56" s="275" t="n"/>
      <c r="G56" s="275" t="n"/>
      <c r="H56" s="275" t="n"/>
      <c r="I56" s="276" t="n"/>
    </row>
    <row r="57" ht="24" customHeight="1">
      <c r="A57" s="124" t="inlineStr">
        <is>
          <t>TCD - Daily Safety Focus:</t>
        </is>
      </c>
      <c r="B57" s="258" t="inlineStr">
        <is>
          <t>Simops</t>
        </is>
      </c>
      <c r="C57" s="275" t="n"/>
      <c r="D57" s="275" t="n"/>
      <c r="E57" s="275" t="n"/>
      <c r="F57" s="275" t="n"/>
      <c r="G57" s="275" t="n"/>
      <c r="H57" s="275" t="n"/>
      <c r="I57" s="277" t="n"/>
    </row>
    <row r="58" ht="18" customHeight="1">
      <c r="A58" s="125" t="inlineStr">
        <is>
          <t xml:space="preserve">Hazards Reported: </t>
        </is>
      </c>
      <c r="B58" s="126" t="inlineStr">
        <is>
          <t>Nil</t>
        </is>
      </c>
      <c r="C58" s="258" t="n"/>
      <c r="D58" s="275" t="n"/>
      <c r="E58" s="275" t="n"/>
      <c r="F58" s="275" t="n"/>
      <c r="G58" s="275" t="n"/>
      <c r="H58" s="275" t="n"/>
      <c r="I58" s="277" t="n"/>
    </row>
    <row r="59" ht="18" customHeight="1">
      <c r="A59" s="125" t="inlineStr">
        <is>
          <t>Incident Free Days</t>
        </is>
      </c>
      <c r="B59" s="126" t="n">
        <v>10</v>
      </c>
      <c r="C59" s="257" t="n"/>
      <c r="D59" s="275" t="n"/>
      <c r="E59" s="275" t="n"/>
      <c r="F59" s="275" t="n"/>
      <c r="G59" s="275" t="n"/>
      <c r="H59" s="275" t="n"/>
      <c r="I59" s="276" t="n"/>
    </row>
    <row r="60" ht="18" customHeight="1">
      <c r="A60" s="127" t="inlineStr">
        <is>
          <t>Other Notes</t>
        </is>
      </c>
      <c r="B60" s="259" t="n"/>
      <c r="C60" s="278" t="n"/>
      <c r="D60" s="278" t="n"/>
      <c r="E60" s="278" t="n"/>
      <c r="F60" s="278" t="n"/>
      <c r="G60" s="278" t="n"/>
      <c r="H60" s="278" t="n"/>
      <c r="I60" s="279" t="n"/>
    </row>
    <row r="61" ht="20.25" customHeight="1">
      <c r="A61" s="245" t="inlineStr">
        <is>
          <t xml:space="preserve">INCIDENTS &amp; REPORTS </t>
        </is>
      </c>
      <c r="B61" s="275" t="n"/>
      <c r="C61" s="275" t="n"/>
      <c r="D61" s="275" t="n"/>
      <c r="E61" s="275" t="n"/>
      <c r="F61" s="275" t="n"/>
      <c r="G61" s="275" t="n"/>
      <c r="H61" s="275" t="n"/>
      <c r="I61" s="277" t="n"/>
    </row>
    <row r="62" ht="24.95" customHeight="1">
      <c r="A62" s="128" t="n"/>
      <c r="B62" s="263" t="inlineStr">
        <is>
          <t>QTY</t>
        </is>
      </c>
      <c r="C62" s="254" t="inlineStr">
        <is>
          <t>Comments</t>
        </is>
      </c>
      <c r="D62" s="275" t="n"/>
      <c r="E62" s="275" t="n"/>
      <c r="F62" s="275" t="n"/>
      <c r="G62" s="275" t="n"/>
      <c r="H62" s="275" t="n"/>
      <c r="I62" s="277" t="n"/>
    </row>
    <row r="63" ht="24.95" customHeight="1">
      <c r="A63" s="129" t="inlineStr">
        <is>
          <t>INCIDENT</t>
        </is>
      </c>
      <c r="B63" s="263" t="n">
        <v>0</v>
      </c>
      <c r="C63" s="249" t="inlineStr">
        <is>
          <t>NA</t>
        </is>
      </c>
      <c r="D63" s="275" t="n"/>
      <c r="E63" s="275" t="n"/>
      <c r="F63" s="275" t="n"/>
      <c r="G63" s="275" t="n"/>
      <c r="H63" s="275" t="n"/>
      <c r="I63" s="277" t="n"/>
    </row>
    <row r="64" ht="24.95" customHeight="1">
      <c r="A64" s="130" t="inlineStr">
        <is>
          <t>IR</t>
        </is>
      </c>
      <c r="B64" s="131" t="n">
        <v>0</v>
      </c>
      <c r="C64" s="250" t="inlineStr">
        <is>
          <t>NA</t>
        </is>
      </c>
      <c r="D64" s="278" t="n"/>
      <c r="E64" s="278" t="n"/>
      <c r="F64" s="278" t="n"/>
      <c r="G64" s="278" t="n"/>
      <c r="H64" s="278" t="n"/>
      <c r="I64" s="279" t="n"/>
    </row>
    <row r="65" ht="24.95" customHeight="1" thickBot="1">
      <c r="A65" s="132" t="inlineStr">
        <is>
          <t>NCR</t>
        </is>
      </c>
      <c r="B65" s="133" t="n">
        <v>0</v>
      </c>
      <c r="C65" s="251" t="inlineStr">
        <is>
          <t>NA</t>
        </is>
      </c>
      <c r="D65" s="285" t="n"/>
      <c r="E65" s="285" t="n"/>
      <c r="F65" s="285" t="n"/>
      <c r="G65" s="285" t="n"/>
      <c r="H65" s="285" t="n"/>
      <c r="I65" s="286" t="n"/>
    </row>
    <row r="66" ht="20.25" customHeight="1">
      <c r="A66" s="252" t="inlineStr">
        <is>
          <t>COMMUNICATIONS</t>
        </is>
      </c>
      <c r="B66" s="283" t="n"/>
      <c r="C66" s="283" t="n"/>
      <c r="D66" s="283" t="n"/>
      <c r="E66" s="283" t="n"/>
      <c r="F66" s="283" t="n"/>
      <c r="G66" s="283" t="n"/>
      <c r="H66" s="283" t="n"/>
      <c r="I66" s="284" t="n"/>
    </row>
    <row r="67" ht="24.95" customHeight="1">
      <c r="A67" s="253" t="inlineStr">
        <is>
          <t>TGS MB1119-05 Scheme D implemented</t>
        </is>
      </c>
      <c r="B67" s="275" t="n"/>
      <c r="C67" s="275" t="n"/>
      <c r="D67" s="275" t="n"/>
      <c r="E67" s="275" t="n"/>
      <c r="F67" s="275" t="n"/>
      <c r="G67" s="275" t="n"/>
      <c r="H67" s="275" t="n"/>
      <c r="I67" s="277" t="n"/>
    </row>
    <row r="68" ht="24.95" customHeight="1">
      <c r="A68" s="253" t="n"/>
      <c r="B68" s="275" t="n"/>
      <c r="C68" s="275" t="n"/>
      <c r="D68" s="275" t="n"/>
      <c r="E68" s="275" t="n"/>
      <c r="F68" s="275" t="n"/>
      <c r="G68" s="275" t="n"/>
      <c r="H68" s="275" t="n"/>
      <c r="I68" s="277" t="n"/>
    </row>
    <row r="69" ht="24.95" customHeight="1">
      <c r="A69" s="245" t="inlineStr">
        <is>
          <t>PRODUCTION (CONSTRUCTION STATUS &amp; PROGRESS)</t>
        </is>
      </c>
      <c r="B69" s="275" t="n"/>
      <c r="C69" s="275" t="n"/>
      <c r="D69" s="275" t="n"/>
      <c r="E69" s="275" t="n"/>
      <c r="F69" s="275" t="n"/>
      <c r="G69" s="275" t="n"/>
      <c r="H69" s="275" t="n"/>
      <c r="I69" s="277" t="n"/>
    </row>
    <row r="70" ht="24.95" customHeight="1">
      <c r="A70" s="134" t="inlineStr">
        <is>
          <t>Balancing and Rolling of Basecourse</t>
        </is>
      </c>
      <c r="B70" s="135" t="n"/>
      <c r="C70" s="79" t="n"/>
      <c r="D70" s="79" t="n"/>
      <c r="E70" s="79" t="n"/>
      <c r="F70" s="135" t="n"/>
      <c r="G70" s="135" t="n"/>
      <c r="H70" s="135" t="n"/>
      <c r="I70" s="136" t="n"/>
    </row>
    <row r="71" ht="24.95" customHeight="1">
      <c r="A71" s="134" t="inlineStr">
        <is>
          <t>Ongoing Lateral trenching and Install</t>
        </is>
      </c>
      <c r="B71" s="135" t="n"/>
      <c r="C71" s="79" t="n"/>
      <c r="D71" s="79" t="n"/>
      <c r="E71" s="135" t="n"/>
      <c r="F71" s="135" t="n"/>
      <c r="G71" s="135" t="n"/>
      <c r="H71" s="135" t="n"/>
      <c r="I71" s="136" t="n"/>
    </row>
    <row r="72" ht="24.95" customHeight="1">
      <c r="A72" s="134" t="n"/>
      <c r="B72" s="135" t="n"/>
      <c r="C72" s="79" t="n"/>
      <c r="D72" s="135" t="n"/>
      <c r="E72" s="135" t="n"/>
      <c r="F72" s="135" t="n"/>
      <c r="G72" s="135" t="n"/>
      <c r="H72" s="135" t="n"/>
      <c r="I72" s="136" t="n"/>
    </row>
    <row r="73" ht="26.1" customHeight="1" thickBot="1">
      <c r="A73" s="246" t="inlineStr">
        <is>
          <t>Photos</t>
        </is>
      </c>
      <c r="B73" s="278" t="n"/>
      <c r="C73" s="278" t="n"/>
      <c r="D73" s="278" t="n"/>
      <c r="E73" s="278" t="n"/>
      <c r="F73" s="278" t="n"/>
      <c r="G73" s="278" t="n"/>
      <c r="H73" s="278" t="n"/>
      <c r="I73" s="279" t="n"/>
    </row>
    <row r="74" ht="23.1" customHeight="1">
      <c r="A74" s="137" t="n"/>
      <c r="B74" s="138" t="n"/>
      <c r="C74" s="138" t="n"/>
      <c r="D74" s="138" t="n"/>
      <c r="E74" s="138" t="n"/>
      <c r="F74" s="138" t="n"/>
      <c r="G74" s="138" t="n"/>
      <c r="H74" s="138" t="n"/>
      <c r="I74" s="139" t="n"/>
    </row>
    <row r="75" ht="23.1" customHeight="1">
      <c r="A75" s="140" t="n"/>
      <c r="B75" s="141" t="n"/>
      <c r="C75" s="141" t="n"/>
      <c r="D75" s="141" t="n"/>
      <c r="E75" s="141" t="n"/>
      <c r="F75" s="141" t="n"/>
      <c r="G75" s="141" t="n"/>
      <c r="H75" s="141" t="n"/>
      <c r="I75" s="142" t="n"/>
    </row>
    <row r="76" ht="15"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H96" s="141" t="n"/>
      <c r="I96" s="142" t="n"/>
    </row>
    <row r="97" ht="24.95" customFormat="1" customHeight="1" s="81">
      <c r="A97" s="140" t="n"/>
      <c r="B97" s="141" t="n"/>
      <c r="C97" s="141" t="n"/>
      <c r="D97" s="141" t="n"/>
      <c r="E97" s="141" t="n"/>
      <c r="F97" s="141" t="n"/>
      <c r="G97" s="141" t="n"/>
      <c r="H97" s="141" t="n"/>
      <c r="I97" s="142" t="n"/>
    </row>
    <row r="98" ht="15" customHeight="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thickBot="1">
      <c r="A112" s="143" t="n"/>
      <c r="B112" s="144" t="n"/>
      <c r="C112" s="144" t="n"/>
      <c r="D112" s="144" t="n"/>
      <c r="E112" s="144" t="n"/>
      <c r="F112" s="144" t="n"/>
      <c r="G112" s="144" t="n"/>
      <c r="H112" s="144" t="n"/>
      <c r="I112" s="145" t="n"/>
    </row>
    <row r="113" ht="15" customHeight="1">
      <c r="A113" s="140" t="n"/>
      <c r="B113" s="141" t="n"/>
      <c r="C113" s="141" t="n"/>
      <c r="D113" s="141" t="n"/>
      <c r="E113" s="141" t="n"/>
      <c r="F113" s="141" t="n"/>
      <c r="G113" s="141" t="n"/>
      <c r="H113" s="141" t="n"/>
      <c r="I113" s="142"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24.95" customHeight="1">
      <c r="A121" s="140" t="n"/>
      <c r="B121" s="141" t="n"/>
      <c r="C121" s="141" t="n"/>
      <c r="D121" s="141" t="n"/>
      <c r="E121" s="141" t="n"/>
      <c r="F121" s="141" t="n"/>
      <c r="G121" s="141" t="n"/>
      <c r="H121" s="141" t="n"/>
      <c r="I121" s="142" t="n"/>
    </row>
    <row r="122" ht="1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27.95" customHeight="1">
      <c r="A124" s="140" t="n"/>
      <c r="B124" s="141" t="n"/>
      <c r="C124" s="141" t="n"/>
      <c r="D124" s="141" t="n"/>
      <c r="E124" s="141" t="n"/>
      <c r="F124" s="141" t="n"/>
      <c r="G124" s="141" t="n"/>
      <c r="H124" s="141" t="n"/>
      <c r="I124" s="142" t="n"/>
    </row>
    <row r="125" ht="1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thickBot="1">
      <c r="A137" s="140" t="n"/>
      <c r="B137" s="141" t="n"/>
      <c r="C137" s="141" t="n"/>
      <c r="D137" s="141" t="n"/>
      <c r="E137" s="141" t="n"/>
      <c r="F137" s="141" t="n"/>
      <c r="G137" s="141" t="n"/>
      <c r="H137" s="141" t="n"/>
      <c r="I137" s="142" t="n"/>
      <c r="J137" s="146" t="n"/>
    </row>
    <row r="138" ht="15" customHeight="1">
      <c r="A138" s="140" t="n"/>
      <c r="B138" s="141" t="n"/>
      <c r="C138" s="141" t="n"/>
      <c r="D138" s="141" t="n"/>
      <c r="E138" s="141" t="n"/>
      <c r="F138" s="141" t="n"/>
      <c r="G138" s="141" t="n"/>
      <c r="H138" s="141" t="n"/>
      <c r="I138" s="142"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95" customHeight="1">
      <c r="A144" s="140" t="n"/>
      <c r="B144" s="141" t="n"/>
      <c r="C144" s="141" t="n"/>
      <c r="D144" s="141" t="n"/>
      <c r="E144" s="141" t="n"/>
      <c r="F144" s="141" t="n"/>
      <c r="G144" s="141" t="n"/>
      <c r="H144" s="141" t="n"/>
      <c r="I144" s="142" t="n"/>
    </row>
    <row r="145" ht="30.75" customHeight="1">
      <c r="A145" s="247" t="n"/>
      <c r="E145" s="248" t="n"/>
      <c r="I145" s="271" t="n"/>
    </row>
    <row r="146">
      <c r="A146" s="64" t="n"/>
      <c r="I146" s="65"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I180" s="65" t="n"/>
    </row>
    <row r="181">
      <c r="A181" s="64" t="n"/>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ht="15.95" customHeight="1" thickBot="1">
      <c r="A199" s="59" t="n"/>
      <c r="B199" s="60" t="n"/>
      <c r="C199" s="60" t="n"/>
      <c r="D199" s="60" t="n"/>
      <c r="E199" s="60" t="n"/>
      <c r="F199" s="60" t="n"/>
      <c r="G199" s="60" t="n"/>
      <c r="H199" s="60" t="n"/>
      <c r="I199" s="61" t="n"/>
    </row>
    <row r="200">
      <c r="A200" s="64" t="n"/>
      <c r="I200" s="65" t="n"/>
    </row>
    <row r="201">
      <c r="A201" s="64" t="n"/>
      <c r="I201" s="65" t="n"/>
    </row>
    <row r="202">
      <c r="A202" s="64" t="n"/>
      <c r="I202" s="65" t="n"/>
    </row>
    <row r="203">
      <c r="A203" s="64" t="n"/>
      <c r="I203" s="65" t="n"/>
    </row>
    <row r="204">
      <c r="A204" s="64" t="n"/>
      <c r="I204" s="65" t="n"/>
    </row>
    <row r="205">
      <c r="A205" s="64" t="n"/>
      <c r="I205" s="65" t="n"/>
    </row>
    <row r="206" ht="15.95" customHeight="1" thickBot="1">
      <c r="A206" s="59" t="n"/>
      <c r="B206" s="60" t="n"/>
      <c r="C206" s="60" t="n"/>
      <c r="D206" s="60" t="n"/>
      <c r="E206" s="60" t="n"/>
      <c r="F206" s="60" t="n"/>
      <c r="G206" s="60" t="n"/>
      <c r="H206" s="60" t="n"/>
      <c r="I206" s="61" t="n"/>
    </row>
  </sheetData>
  <mergeCells count="40">
    <mergeCell ref="A48:B48"/>
    <mergeCell ref="B47:C47"/>
    <mergeCell ref="D13:F13"/>
    <mergeCell ref="G13:I13"/>
    <mergeCell ref="B8:D8"/>
    <mergeCell ref="A66:I66"/>
    <mergeCell ref="B46:C46"/>
    <mergeCell ref="D48:I48"/>
    <mergeCell ref="A55:I55"/>
    <mergeCell ref="A12:I12"/>
    <mergeCell ref="D47:I47"/>
    <mergeCell ref="B56:I56"/>
    <mergeCell ref="A5:I5"/>
    <mergeCell ref="A51:I54"/>
    <mergeCell ref="B9:D9"/>
    <mergeCell ref="B60:I60"/>
    <mergeCell ref="C62:I62"/>
    <mergeCell ref="B57:I57"/>
    <mergeCell ref="B6:D6"/>
    <mergeCell ref="C58:I58"/>
    <mergeCell ref="A13:C13"/>
    <mergeCell ref="A68:I68"/>
    <mergeCell ref="A10:I10"/>
    <mergeCell ref="A1:I4"/>
    <mergeCell ref="C64:I64"/>
    <mergeCell ref="A67:I67"/>
    <mergeCell ref="B7:D7"/>
    <mergeCell ref="C63:I63"/>
    <mergeCell ref="C65:I65"/>
    <mergeCell ref="A73:I73"/>
    <mergeCell ref="A11:I11"/>
    <mergeCell ref="A49:I49"/>
    <mergeCell ref="D46:I46"/>
    <mergeCell ref="A145:D145"/>
    <mergeCell ref="C59:I59"/>
    <mergeCell ref="B45:C45"/>
    <mergeCell ref="D45:I45"/>
    <mergeCell ref="A61:I61"/>
    <mergeCell ref="A69:I69"/>
    <mergeCell ref="E145:I145"/>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2" min="0" max="8" man="1"/>
  </rowBreaks>
</worksheet>
</file>

<file path=xl/worksheets/sheet28.xml><?xml version="1.0" encoding="utf-8"?>
<worksheet xmlns="http://schemas.openxmlformats.org/spreadsheetml/2006/main">
  <sheetPr>
    <outlinePr summaryBelow="1" summaryRight="1"/>
    <pageSetUpPr fitToPage="1"/>
  </sheetPr>
  <dimension ref="A1:J207"/>
  <sheetViews>
    <sheetView view="pageBreakPreview" topLeftCell="A35" zoomScale="40" zoomScaleNormal="55" zoomScaleSheetLayoutView="40" workbookViewId="0">
      <selection activeCell="A51" sqref="A51:I54"/>
    </sheetView>
  </sheetViews>
  <sheetFormatPr baseColWidth="8" defaultColWidth="9.140625" defaultRowHeight="14.4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45901</v>
      </c>
    </row>
    <row r="7" ht="23.1" customHeight="1">
      <c r="A7" s="82" t="inlineStr">
        <is>
          <t>Project Location:</t>
        </is>
      </c>
      <c r="B7" s="267" t="inlineStr">
        <is>
          <t>Geraldton</t>
        </is>
      </c>
      <c r="E7" s="267" t="n"/>
      <c r="F7" s="84" t="n"/>
      <c r="G7" s="84" t="n"/>
      <c r="H7" s="87" t="inlineStr">
        <is>
          <t>Day:</t>
        </is>
      </c>
      <c r="I7" s="88" t="inlineStr">
        <is>
          <t>Monday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96</v>
      </c>
      <c r="C9" s="273" t="n"/>
      <c r="D9" s="273" t="n"/>
      <c r="E9" s="264" t="n"/>
      <c r="F9" s="91" t="n"/>
      <c r="G9" s="91" t="n"/>
      <c r="H9" s="87" t="inlineStr">
        <is>
          <t>Finish:</t>
        </is>
      </c>
      <c r="I9" s="89" t="n">
        <v>0.75</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20 degrees  Wind:  35km/h S Precip: 0 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11.5</v>
      </c>
      <c r="G15" s="100" t="inlineStr">
        <is>
          <t xml:space="preserve">Brockman, Khegan </t>
        </is>
      </c>
      <c r="H15" s="97" t="inlineStr">
        <is>
          <t>Labourer</t>
        </is>
      </c>
      <c r="I15" s="101" t="n">
        <v>10</v>
      </c>
    </row>
    <row r="16" ht="23.1" customHeight="1">
      <c r="A16" s="96" t="inlineStr">
        <is>
          <t>GRIFFITHS, Daniel</t>
        </is>
      </c>
      <c r="B16" s="97" t="inlineStr">
        <is>
          <t>Project Manager</t>
        </is>
      </c>
      <c r="C16" s="102" t="n">
        <v>11.5</v>
      </c>
      <c r="D16" s="100" t="inlineStr">
        <is>
          <t>Hanly,Thomas</t>
        </is>
      </c>
      <c r="E16" s="97" t="inlineStr">
        <is>
          <t>Operator</t>
        </is>
      </c>
      <c r="F16" s="97" t="n">
        <v>11.5</v>
      </c>
      <c r="G16" s="100" t="inlineStr">
        <is>
          <t xml:space="preserve">McAuliffe, Daniel </t>
        </is>
      </c>
      <c r="H16" s="97" t="inlineStr">
        <is>
          <t>Operator</t>
        </is>
      </c>
      <c r="I16" s="101" t="n">
        <v>10</v>
      </c>
    </row>
    <row r="17" ht="23.1" customHeight="1">
      <c r="A17" s="96" t="inlineStr">
        <is>
          <t>O"SHEA, John</t>
        </is>
      </c>
      <c r="B17" s="97" t="inlineStr">
        <is>
          <t>Senior Project Engineer</t>
        </is>
      </c>
      <c r="C17" s="102" t="n"/>
      <c r="D17" s="103" t="n"/>
      <c r="E17" s="103" t="n"/>
      <c r="F17" s="97" t="n"/>
      <c r="G17" s="100" t="inlineStr">
        <is>
          <t>O'Brian, Jamie</t>
        </is>
      </c>
      <c r="H17" s="97" t="inlineStr">
        <is>
          <t>Operator</t>
        </is>
      </c>
      <c r="I17" s="101" t="n">
        <v>10</v>
      </c>
    </row>
    <row r="18" ht="23.1" customHeight="1">
      <c r="A18" s="96" t="inlineStr">
        <is>
          <t>GRIFFITHS, Ashley</t>
        </is>
      </c>
      <c r="B18" s="97" t="inlineStr">
        <is>
          <t>Supervisor</t>
        </is>
      </c>
      <c r="C18" s="102" t="n"/>
      <c r="D18" s="99" t="n"/>
      <c r="E18" s="99" t="n"/>
      <c r="F18" s="97" t="n"/>
      <c r="G18" s="100" t="inlineStr">
        <is>
          <t>O'Reilly,Sean</t>
        </is>
      </c>
      <c r="H18" s="97" t="inlineStr">
        <is>
          <t>Operator</t>
        </is>
      </c>
      <c r="I18" s="101" t="n">
        <v>11</v>
      </c>
    </row>
    <row r="19" ht="23.1" customHeight="1">
      <c r="A19" s="96" t="inlineStr">
        <is>
          <t>LOW, June</t>
        </is>
      </c>
      <c r="B19" s="97" t="inlineStr">
        <is>
          <t>HSET</t>
        </is>
      </c>
      <c r="C19" s="102" t="n"/>
      <c r="D19" s="99" t="n"/>
      <c r="E19" s="99" t="n"/>
      <c r="F19" s="97" t="n"/>
      <c r="G19" s="100" t="inlineStr">
        <is>
          <t>Dixon, Warren</t>
        </is>
      </c>
      <c r="H19" s="97" t="inlineStr">
        <is>
          <t>Irrigation Installer</t>
        </is>
      </c>
      <c r="I19" s="101" t="n">
        <v>5</v>
      </c>
    </row>
    <row r="20" ht="23.1" customHeight="1">
      <c r="A20" s="96" t="inlineStr">
        <is>
          <t>SKINNER,Jamie</t>
        </is>
      </c>
      <c r="B20" s="97" t="inlineStr">
        <is>
          <t>Supervisor</t>
        </is>
      </c>
      <c r="C20" s="102" t="n">
        <v>11.5</v>
      </c>
      <c r="D20" s="99" t="n"/>
      <c r="E20" s="99" t="n"/>
      <c r="F20" s="97" t="n"/>
      <c r="G20" s="100" t="inlineStr">
        <is>
          <t>Mosley,Joshua</t>
        </is>
      </c>
      <c r="H20" s="97" t="inlineStr">
        <is>
          <t>Surveyor</t>
        </is>
      </c>
      <c r="I20" s="101" t="n">
        <v>5</v>
      </c>
    </row>
    <row r="21" ht="23.1" customHeight="1">
      <c r="A21" s="96" t="n"/>
      <c r="B21" s="97" t="n"/>
      <c r="C21" s="102" t="n"/>
      <c r="D21" s="99" t="n"/>
      <c r="E21" s="99" t="n"/>
      <c r="F21" s="97" t="n"/>
      <c r="G21" s="100" t="n"/>
      <c r="H21" s="97" t="n"/>
      <c r="I21" s="101" t="n"/>
    </row>
    <row r="22" ht="23.1" customHeight="1">
      <c r="A22" s="96" t="n"/>
      <c r="B22" s="97" t="n"/>
      <c r="C22" s="102" t="n"/>
      <c r="D22" s="99" t="n"/>
      <c r="E22" s="99" t="n"/>
      <c r="F22" s="97" t="n"/>
      <c r="G22" s="100" t="n"/>
      <c r="H22" s="97" t="n"/>
      <c r="I22" s="101" t="n"/>
    </row>
    <row r="23" ht="23.1" customHeight="1">
      <c r="A23" s="96" t="n"/>
      <c r="B23" s="97" t="n"/>
      <c r="C23" s="102" t="n"/>
      <c r="D23" s="99" t="n"/>
      <c r="E23" s="99" t="n"/>
      <c r="F23" s="97" t="n"/>
      <c r="G23" s="100" t="n"/>
      <c r="H23" s="97" t="n"/>
      <c r="I23" s="101" t="n"/>
    </row>
    <row r="24" ht="23.1" customHeight="1">
      <c r="A24" s="96" t="n"/>
      <c r="B24" s="97" t="n"/>
      <c r="C24" s="102" t="n"/>
      <c r="D24" s="99" t="n"/>
      <c r="E24" s="99" t="n"/>
      <c r="F24" s="97" t="n"/>
      <c r="G24" s="100" t="n"/>
      <c r="H24" s="97" t="n"/>
      <c r="I24" s="101" t="n"/>
    </row>
    <row r="25" ht="23.1" customHeight="1">
      <c r="A25" s="96" t="n"/>
      <c r="B25" s="97" t="n"/>
      <c r="C25" s="102" t="n"/>
      <c r="D25" s="99" t="n"/>
      <c r="E25" s="99" t="n"/>
      <c r="F25" s="97" t="n"/>
      <c r="G25" s="151" t="n"/>
      <c r="H25" s="151" t="n"/>
      <c r="I25" s="107" t="n"/>
    </row>
    <row r="26" ht="23.1" customHeight="1">
      <c r="A26" s="255" t="inlineStr">
        <is>
          <t xml:space="preserve">Total Indirect Personnel onsite: </t>
        </is>
      </c>
      <c r="B26" s="105">
        <f>COUNT(C15:C26)</f>
        <v/>
      </c>
      <c r="C26" s="99" t="n"/>
      <c r="D26" s="99" t="n"/>
      <c r="E26" s="99" t="n"/>
      <c r="F26" s="97" t="n"/>
      <c r="G26" s="152" t="n"/>
      <c r="H26" s="151" t="n"/>
      <c r="I26" s="101" t="n"/>
    </row>
    <row r="27" ht="23.1" customHeight="1">
      <c r="A27" s="255" t="inlineStr">
        <is>
          <t xml:space="preserve">Total Indirect Personnel hours: </t>
        </is>
      </c>
      <c r="B27" s="105">
        <f>SUM(C15:C25)</f>
        <v/>
      </c>
      <c r="C27" s="102" t="n"/>
      <c r="D27" s="99" t="n"/>
      <c r="E27" s="99" t="n"/>
      <c r="F27" s="97" t="n"/>
      <c r="G27" s="106" t="inlineStr">
        <is>
          <t>Total Subcontractor on-site:</t>
        </is>
      </c>
      <c r="H27" s="107">
        <f>COUNT(I15:I25)</f>
        <v/>
      </c>
      <c r="I27" s="254" t="n"/>
    </row>
    <row r="28" ht="23.1" customHeight="1">
      <c r="A28" s="255" t="inlineStr">
        <is>
          <t xml:space="preserve">Total Direct Personnel onsite:  </t>
        </is>
      </c>
      <c r="B28" s="105">
        <f>COUNTIF(F15:F29,"&gt;0")</f>
        <v/>
      </c>
      <c r="C28" s="105" t="n"/>
      <c r="D28" s="99" t="n"/>
      <c r="E28" s="99" t="n"/>
      <c r="F28" s="108" t="n"/>
      <c r="G28" s="106" t="inlineStr">
        <is>
          <t>Total Subcontractor hours:</t>
        </is>
      </c>
      <c r="H28" s="107">
        <f>SUM(I15:I25)</f>
        <v/>
      </c>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Hilux</t>
        </is>
      </c>
      <c r="E33" s="102" t="inlineStr">
        <is>
          <t>1DAH:400</t>
        </is>
      </c>
      <c r="F33" s="102" t="n">
        <v>1</v>
      </c>
      <c r="G33" s="102" t="inlineStr">
        <is>
          <t>Sea Container 20ft</t>
        </is>
      </c>
      <c r="H33" s="97" t="n">
        <v>951200</v>
      </c>
      <c r="I33" s="101" t="n">
        <v>1</v>
      </c>
    </row>
    <row r="34" ht="23.1" customHeight="1">
      <c r="A34" s="115" t="inlineStr">
        <is>
          <t>Watercart</t>
        </is>
      </c>
      <c r="B34" s="102" t="inlineStr">
        <is>
          <t>WC04</t>
        </is>
      </c>
      <c r="C34" s="97" t="n">
        <v>10</v>
      </c>
      <c r="D34" s="102" t="n"/>
      <c r="E34" s="97" t="n"/>
      <c r="F34" s="102" t="n"/>
      <c r="G34" s="102" t="inlineStr">
        <is>
          <t>Site Sentry Tower</t>
        </is>
      </c>
      <c r="H34" s="102" t="n"/>
      <c r="I34" s="101" t="n">
        <v>2</v>
      </c>
    </row>
    <row r="35" ht="23.1" customHeight="1">
      <c r="A35" s="115" t="inlineStr">
        <is>
          <t>8T Excavator</t>
        </is>
      </c>
      <c r="B35" s="116" t="inlineStr">
        <is>
          <t>AMG 014</t>
        </is>
      </c>
      <c r="C35" s="97" t="n"/>
      <c r="D35" s="102" t="n"/>
      <c r="E35" s="102" t="n"/>
      <c r="F35" s="102" t="n"/>
      <c r="G35" s="102" t="inlineStr">
        <is>
          <t>Skip Bin</t>
        </is>
      </c>
      <c r="H35" s="102" t="n"/>
      <c r="I35" s="101" t="n">
        <v>1</v>
      </c>
    </row>
    <row r="36" ht="23.1" customHeight="1">
      <c r="A36" s="102" t="inlineStr">
        <is>
          <t>Mini Tipper</t>
        </is>
      </c>
      <c r="B36" s="102" t="inlineStr">
        <is>
          <t>SLS05</t>
        </is>
      </c>
      <c r="C36" s="102" t="n"/>
      <c r="D36" s="102" t="n"/>
      <c r="E36" s="102" t="n"/>
      <c r="F36" s="102" t="n"/>
      <c r="G36" s="102" t="inlineStr">
        <is>
          <t>Hydrocarbon Bund</t>
        </is>
      </c>
      <c r="H36" s="102" t="n"/>
      <c r="I36" s="101" t="n">
        <v>1</v>
      </c>
    </row>
    <row r="37" ht="23.1" customHeight="1">
      <c r="A37" s="150" t="inlineStr">
        <is>
          <t>1 t Excavator</t>
        </is>
      </c>
      <c r="B37" s="102" t="inlineStr">
        <is>
          <t>SLS03</t>
        </is>
      </c>
      <c r="C37" s="102" t="n"/>
      <c r="D37" s="102" t="n"/>
      <c r="E37" s="102" t="n"/>
      <c r="F37" s="102" t="n"/>
      <c r="G37" s="102" t="inlineStr">
        <is>
          <t>Temp Fence</t>
        </is>
      </c>
      <c r="H37" s="97" t="n"/>
      <c r="I37" s="101" t="n">
        <v>1</v>
      </c>
    </row>
    <row r="38" ht="24" customHeight="1">
      <c r="A38" s="150" t="inlineStr">
        <is>
          <t>14t Excavator with GPS</t>
        </is>
      </c>
      <c r="B38" s="102" t="inlineStr">
        <is>
          <t>EX197</t>
        </is>
      </c>
      <c r="C38" s="102" t="n">
        <v>3</v>
      </c>
      <c r="D38" s="102" t="n"/>
      <c r="E38" s="102" t="n"/>
      <c r="F38" s="102" t="n"/>
      <c r="G38" s="31" t="n"/>
      <c r="H38" s="31" t="n"/>
      <c r="I38" s="32" t="n"/>
    </row>
    <row r="39" ht="24" customHeight="1">
      <c r="A39" s="150" t="inlineStr">
        <is>
          <t>5t Excavator</t>
        </is>
      </c>
      <c r="B39" s="102" t="inlineStr">
        <is>
          <t>A118</t>
        </is>
      </c>
      <c r="C39" s="102" t="n">
        <v>5</v>
      </c>
      <c r="D39" s="102" t="n"/>
      <c r="E39" s="102" t="n"/>
      <c r="F39" s="102" t="n"/>
      <c r="G39" s="31" t="n"/>
      <c r="H39" s="31" t="n"/>
      <c r="I39" s="32" t="n"/>
    </row>
    <row r="40" ht="24" customHeight="1">
      <c r="A40" s="115" t="inlineStr">
        <is>
          <t>Padfoot/ Smooth Drum Roller</t>
        </is>
      </c>
      <c r="B40" s="102" t="inlineStr">
        <is>
          <t>RR 03</t>
        </is>
      </c>
      <c r="C40" s="97" t="n">
        <v>5</v>
      </c>
      <c r="D40" s="102" t="n"/>
      <c r="E40" s="102" t="n"/>
      <c r="F40" s="102" t="n"/>
      <c r="G40" s="31" t="n"/>
      <c r="H40" s="31" t="n"/>
      <c r="I40" s="32" t="n"/>
    </row>
    <row r="41" ht="24" customHeight="1">
      <c r="A41" s="115" t="inlineStr">
        <is>
          <t>Multi Roller</t>
        </is>
      </c>
      <c r="B41" s="102" t="n">
        <v>256</v>
      </c>
      <c r="C41" s="97" t="n">
        <v>5</v>
      </c>
      <c r="D41" s="102" t="n"/>
      <c r="E41" s="102" t="n"/>
      <c r="F41" s="102" t="n"/>
      <c r="G41" s="31" t="n"/>
      <c r="H41" s="31" t="n"/>
      <c r="I41" s="32" t="n"/>
    </row>
    <row r="42" ht="24" customHeight="1">
      <c r="A42" s="115" t="inlineStr">
        <is>
          <t>Positrak SSL</t>
        </is>
      </c>
      <c r="B42" s="102" t="inlineStr">
        <is>
          <t>SSL08</t>
        </is>
      </c>
      <c r="C42" s="97" t="n">
        <v>5</v>
      </c>
      <c r="D42" s="102" t="n"/>
      <c r="E42" s="102" t="n"/>
      <c r="F42" s="102" t="n"/>
      <c r="G42" s="31" t="n"/>
      <c r="H42" s="31" t="n"/>
      <c r="I42" s="32" t="n"/>
    </row>
    <row r="43" ht="24" customHeight="1">
      <c r="A43" s="115" t="inlineStr">
        <is>
          <t>Grader</t>
        </is>
      </c>
      <c r="B43" s="102" t="inlineStr">
        <is>
          <t>SLS01</t>
        </is>
      </c>
      <c r="C43" s="97" t="n">
        <v>9</v>
      </c>
      <c r="D43" s="102" t="n"/>
      <c r="E43" s="102" t="n"/>
      <c r="F43" s="102" t="n"/>
      <c r="G43" s="31" t="n"/>
      <c r="H43" s="31" t="n"/>
      <c r="I43" s="32" t="n"/>
    </row>
    <row r="44" ht="24" customHeight="1">
      <c r="A44" s="115" t="n"/>
      <c r="B44" s="102" t="n"/>
      <c r="C44" s="97" t="n"/>
      <c r="D44" s="31" t="n"/>
      <c r="E44" s="31" t="n"/>
      <c r="F44" s="31" t="n"/>
      <c r="G44" s="31" t="n"/>
      <c r="H44" s="31" t="n"/>
      <c r="I44" s="32" t="n"/>
    </row>
    <row r="45" ht="18" customHeight="1">
      <c r="A45" s="117" t="n">
        <v>0</v>
      </c>
      <c r="B45" s="260" t="inlineStr">
        <is>
          <t xml:space="preserve">Repairs Required </t>
        </is>
      </c>
      <c r="C45" s="276" t="n"/>
      <c r="D45" s="249" t="inlineStr">
        <is>
          <t>N/A</t>
        </is>
      </c>
      <c r="E45" s="275" t="n"/>
      <c r="F45" s="275" t="n"/>
      <c r="G45" s="275" t="n"/>
      <c r="H45" s="275" t="n"/>
      <c r="I45" s="277" t="n"/>
    </row>
    <row r="46" ht="18" customHeight="1">
      <c r="A46" s="118" t="n">
        <v>0</v>
      </c>
      <c r="B46" s="260" t="inlineStr">
        <is>
          <t>Scheduled Service</t>
        </is>
      </c>
      <c r="C46" s="276" t="n"/>
      <c r="D46" s="249" t="inlineStr">
        <is>
          <t>N/A</t>
        </is>
      </c>
      <c r="E46" s="275" t="n"/>
      <c r="F46" s="275" t="n"/>
      <c r="G46" s="275" t="n"/>
      <c r="H46" s="275" t="n"/>
      <c r="I46" s="277" t="n"/>
    </row>
    <row r="47" ht="18" customHeight="1">
      <c r="A47" s="119" t="n">
        <v>0</v>
      </c>
      <c r="B47" s="260" t="n"/>
      <c r="C47" s="276" t="n"/>
      <c r="D47" s="249" t="inlineStr">
        <is>
          <t>N/A</t>
        </is>
      </c>
      <c r="E47" s="275" t="n"/>
      <c r="F47" s="275" t="n"/>
      <c r="G47" s="275" t="n"/>
      <c r="H47" s="275" t="n"/>
      <c r="I47" s="277" t="n"/>
    </row>
    <row r="48" ht="23.1" customHeight="1">
      <c r="A48" s="255" t="inlineStr">
        <is>
          <t xml:space="preserve">Total Plant and Equipment Hours: </t>
        </is>
      </c>
      <c r="B48" s="276" t="n"/>
      <c r="C48" s="120">
        <f>SUM(C32:C44)</f>
        <v/>
      </c>
      <c r="D48" s="256" t="n"/>
      <c r="E48" s="275" t="n"/>
      <c r="F48" s="275" t="n"/>
      <c r="G48" s="275" t="n"/>
      <c r="H48" s="275" t="n"/>
      <c r="I48" s="277" t="n"/>
    </row>
    <row r="49" ht="24.95" customHeight="1">
      <c r="A49" s="245" t="inlineStr">
        <is>
          <t>DELAYS-OPPORTUNITY</t>
        </is>
      </c>
      <c r="B49" s="275" t="n"/>
      <c r="C49" s="275" t="n"/>
      <c r="D49" s="275" t="n"/>
      <c r="E49" s="275" t="n"/>
      <c r="F49" s="275" t="n"/>
      <c r="G49" s="275" t="n"/>
      <c r="H49" s="275" t="n"/>
      <c r="I49" s="277" t="n"/>
    </row>
    <row r="50" ht="20.1" customHeight="1">
      <c r="A50" s="121" t="n"/>
      <c r="B50" s="122" t="n"/>
      <c r="C50" s="122" t="n"/>
      <c r="D50" s="122" t="n"/>
      <c r="E50" s="122" t="n"/>
      <c r="F50" s="122" t="n"/>
      <c r="G50" s="122" t="n"/>
      <c r="H50" s="122" t="n"/>
      <c r="I50" s="123" t="n"/>
    </row>
    <row r="51" ht="15" customHeight="1" thickBot="1">
      <c r="A51" s="244" t="inlineStr">
        <is>
          <t>Awaiting COGG confirmation on detail of Centrelink Carpark                             
Awaiting Kerbing Plan being Amended by TCD
Awaiting Direction on Service Clash Forrest Street
Awaiting Confirmation on Batters Treatment 
Awaiting finalised fencing details
Awaiting COGG confirmation on "Ballast Pile"
Instructions Provided for Laneway Sewer, Drainage and Light Pole Removal</t>
        </is>
      </c>
      <c r="B51" s="278" t="n"/>
      <c r="C51" s="278" t="n"/>
      <c r="D51" s="278" t="n"/>
      <c r="E51" s="278" t="n"/>
      <c r="F51" s="278" t="n"/>
      <c r="G51" s="278" t="n"/>
      <c r="H51" s="278" t="n"/>
      <c r="I51" s="279" t="n"/>
    </row>
    <row r="52">
      <c r="A52" s="270" t="n"/>
      <c r="I52" s="271" t="n"/>
    </row>
    <row r="53" ht="49.5" customHeight="1">
      <c r="A53" s="270" t="n"/>
      <c r="I53" s="271" t="n"/>
    </row>
    <row r="54" ht="95.09999999999999" customHeight="1" thickBot="1">
      <c r="A54" s="280" t="n"/>
      <c r="B54" s="281" t="n"/>
      <c r="C54" s="281" t="n"/>
      <c r="D54" s="281" t="n"/>
      <c r="E54" s="281" t="n"/>
      <c r="F54" s="281" t="n"/>
      <c r="G54" s="281" t="n"/>
      <c r="H54" s="281" t="n"/>
      <c r="I54" s="282" t="n"/>
    </row>
    <row r="55" ht="24.95" customHeight="1">
      <c r="A55" s="252" t="inlineStr">
        <is>
          <t>HSEQ MESSAGES</t>
        </is>
      </c>
      <c r="B55" s="283" t="n"/>
      <c r="C55" s="283" t="n"/>
      <c r="D55" s="283" t="n"/>
      <c r="E55" s="283" t="n"/>
      <c r="F55" s="283" t="n"/>
      <c r="G55" s="283" t="n"/>
      <c r="H55" s="283" t="n"/>
      <c r="I55" s="284" t="n"/>
    </row>
    <row r="56" ht="18" customHeight="1">
      <c r="A56" s="124" t="inlineStr">
        <is>
          <t>TCD - Monthly Safety Focus:</t>
        </is>
      </c>
      <c r="B56" s="257" t="inlineStr">
        <is>
          <t>Underground Services</t>
        </is>
      </c>
      <c r="C56" s="275" t="n"/>
      <c r="D56" s="275" t="n"/>
      <c r="E56" s="275" t="n"/>
      <c r="F56" s="275" t="n"/>
      <c r="G56" s="275" t="n"/>
      <c r="H56" s="275" t="n"/>
      <c r="I56" s="276" t="n"/>
    </row>
    <row r="57" ht="24" customHeight="1">
      <c r="A57" s="124" t="inlineStr">
        <is>
          <t>TCD - Daily Safety Focus:</t>
        </is>
      </c>
      <c r="B57" s="258" t="inlineStr">
        <is>
          <t>Pre-starts</t>
        </is>
      </c>
      <c r="C57" s="275" t="n"/>
      <c r="D57" s="275" t="n"/>
      <c r="E57" s="275" t="n"/>
      <c r="F57" s="275" t="n"/>
      <c r="G57" s="275" t="n"/>
      <c r="H57" s="275" t="n"/>
      <c r="I57" s="277" t="n"/>
    </row>
    <row r="58" ht="18" customHeight="1">
      <c r="A58" s="125" t="inlineStr">
        <is>
          <t xml:space="preserve">Hazards Reported: </t>
        </is>
      </c>
      <c r="B58" s="126" t="inlineStr">
        <is>
          <t>Nil</t>
        </is>
      </c>
      <c r="C58" s="258" t="n"/>
      <c r="D58" s="275" t="n"/>
      <c r="E58" s="275" t="n"/>
      <c r="F58" s="275" t="n"/>
      <c r="G58" s="275" t="n"/>
      <c r="H58" s="275" t="n"/>
      <c r="I58" s="277" t="n"/>
    </row>
    <row r="59" ht="18" customHeight="1">
      <c r="A59" s="125" t="inlineStr">
        <is>
          <t>Incident Free Days</t>
        </is>
      </c>
      <c r="B59" s="126" t="n">
        <v>11</v>
      </c>
      <c r="C59" s="257" t="n"/>
      <c r="D59" s="275" t="n"/>
      <c r="E59" s="275" t="n"/>
      <c r="F59" s="275" t="n"/>
      <c r="G59" s="275" t="n"/>
      <c r="H59" s="275" t="n"/>
      <c r="I59" s="276" t="n"/>
    </row>
    <row r="60" ht="18" customHeight="1">
      <c r="A60" s="127" t="inlineStr">
        <is>
          <t>Other Notes</t>
        </is>
      </c>
      <c r="B60" s="259" t="n"/>
      <c r="C60" s="278" t="n"/>
      <c r="D60" s="278" t="n"/>
      <c r="E60" s="278" t="n"/>
      <c r="F60" s="278" t="n"/>
      <c r="G60" s="278" t="n"/>
      <c r="H60" s="278" t="n"/>
      <c r="I60" s="279" t="n"/>
    </row>
    <row r="61" ht="20.25" customHeight="1">
      <c r="A61" s="245" t="inlineStr">
        <is>
          <t xml:space="preserve">INCIDENTS &amp; REPORTS </t>
        </is>
      </c>
      <c r="B61" s="275" t="n"/>
      <c r="C61" s="275" t="n"/>
      <c r="D61" s="275" t="n"/>
      <c r="E61" s="275" t="n"/>
      <c r="F61" s="275" t="n"/>
      <c r="G61" s="275" t="n"/>
      <c r="H61" s="275" t="n"/>
      <c r="I61" s="277" t="n"/>
    </row>
    <row r="62" ht="24.95" customHeight="1">
      <c r="A62" s="128" t="n"/>
      <c r="B62" s="263" t="inlineStr">
        <is>
          <t>QTY</t>
        </is>
      </c>
      <c r="C62" s="254" t="inlineStr">
        <is>
          <t>Comments</t>
        </is>
      </c>
      <c r="D62" s="275" t="n"/>
      <c r="E62" s="275" t="n"/>
      <c r="F62" s="275" t="n"/>
      <c r="G62" s="275" t="n"/>
      <c r="H62" s="275" t="n"/>
      <c r="I62" s="277" t="n"/>
    </row>
    <row r="63" ht="24.95" customHeight="1">
      <c r="A63" s="129" t="inlineStr">
        <is>
          <t>INCIDENT</t>
        </is>
      </c>
      <c r="B63" s="263" t="n">
        <v>0</v>
      </c>
      <c r="C63" s="249" t="inlineStr">
        <is>
          <t>NA</t>
        </is>
      </c>
      <c r="D63" s="275" t="n"/>
      <c r="E63" s="275" t="n"/>
      <c r="F63" s="275" t="n"/>
      <c r="G63" s="275" t="n"/>
      <c r="H63" s="275" t="n"/>
      <c r="I63" s="277" t="n"/>
    </row>
    <row r="64" ht="24.95" customHeight="1">
      <c r="A64" s="130" t="inlineStr">
        <is>
          <t>IR</t>
        </is>
      </c>
      <c r="B64" s="131" t="n">
        <v>0</v>
      </c>
      <c r="C64" s="250" t="inlineStr">
        <is>
          <t>NA</t>
        </is>
      </c>
      <c r="D64" s="278" t="n"/>
      <c r="E64" s="278" t="n"/>
      <c r="F64" s="278" t="n"/>
      <c r="G64" s="278" t="n"/>
      <c r="H64" s="278" t="n"/>
      <c r="I64" s="279" t="n"/>
    </row>
    <row r="65" ht="24.95" customHeight="1" thickBot="1">
      <c r="A65" s="132" t="inlineStr">
        <is>
          <t>NCR</t>
        </is>
      </c>
      <c r="B65" s="133" t="n">
        <v>0</v>
      </c>
      <c r="C65" s="251" t="inlineStr">
        <is>
          <t>NA</t>
        </is>
      </c>
      <c r="D65" s="285" t="n"/>
      <c r="E65" s="285" t="n"/>
      <c r="F65" s="285" t="n"/>
      <c r="G65" s="285" t="n"/>
      <c r="H65" s="285" t="n"/>
      <c r="I65" s="286" t="n"/>
    </row>
    <row r="66" ht="20.25" customHeight="1">
      <c r="A66" s="252" t="inlineStr">
        <is>
          <t>COMMUNICATIONS</t>
        </is>
      </c>
      <c r="B66" s="283" t="n"/>
      <c r="C66" s="283" t="n"/>
      <c r="D66" s="283" t="n"/>
      <c r="E66" s="283" t="n"/>
      <c r="F66" s="283" t="n"/>
      <c r="G66" s="283" t="n"/>
      <c r="H66" s="283" t="n"/>
      <c r="I66" s="284" t="n"/>
    </row>
    <row r="67" ht="24.95" customHeight="1">
      <c r="A67" s="253" t="inlineStr">
        <is>
          <t>TGS MB1119-05 Scheme D impletmented</t>
        </is>
      </c>
      <c r="B67" s="275" t="n"/>
      <c r="C67" s="275" t="n"/>
      <c r="D67" s="275" t="n"/>
      <c r="E67" s="275" t="n"/>
      <c r="F67" s="275" t="n"/>
      <c r="G67" s="275" t="n"/>
      <c r="H67" s="275" t="n"/>
      <c r="I67" s="277" t="n"/>
    </row>
    <row r="68" ht="24.95" customHeight="1">
      <c r="A68" s="253" t="n"/>
      <c r="B68" s="275" t="n"/>
      <c r="C68" s="275" t="n"/>
      <c r="D68" s="275" t="n"/>
      <c r="E68" s="275" t="n"/>
      <c r="F68" s="275" t="n"/>
      <c r="G68" s="275" t="n"/>
      <c r="H68" s="275" t="n"/>
      <c r="I68" s="277" t="n"/>
    </row>
    <row r="69" ht="24.95" customHeight="1">
      <c r="A69" s="245" t="inlineStr">
        <is>
          <t>PRODUCTION (CONSTRUCTION STATUS &amp; PROGRESS)</t>
        </is>
      </c>
      <c r="B69" s="275" t="n"/>
      <c r="C69" s="275" t="n"/>
      <c r="D69" s="275" t="n"/>
      <c r="E69" s="275" t="n"/>
      <c r="F69" s="275" t="n"/>
      <c r="G69" s="275" t="n"/>
      <c r="H69" s="275" t="n"/>
      <c r="I69" s="277" t="n"/>
    </row>
    <row r="70" ht="24.95" customHeight="1">
      <c r="A70" s="134" t="inlineStr">
        <is>
          <t>Irrigation trenching-East side Sump heading South</t>
        </is>
      </c>
      <c r="B70" s="135" t="n"/>
      <c r="C70" s="79" t="n"/>
      <c r="D70" s="79" t="inlineStr">
        <is>
          <t xml:space="preserve">Think-water tap into 40mm Comms for solinoids </t>
        </is>
      </c>
      <c r="E70" s="79" t="n"/>
      <c r="F70" s="135" t="n"/>
      <c r="G70" s="135" t="n"/>
      <c r="H70" s="135" t="n"/>
      <c r="I70" s="136" t="n"/>
    </row>
    <row r="71" ht="24.95" customHeight="1">
      <c r="A71" s="134" t="inlineStr">
        <is>
          <t>Irrigation trenching@Lot-106 heading North</t>
        </is>
      </c>
      <c r="B71" s="135" t="n"/>
      <c r="C71" s="79" t="n"/>
      <c r="D71" s="79" t="n"/>
      <c r="E71" s="135" t="n"/>
      <c r="F71" s="135" t="n"/>
      <c r="G71" s="135" t="n"/>
      <c r="H71" s="135" t="n"/>
      <c r="I71" s="136" t="n"/>
    </row>
    <row r="72" ht="24.95" customHeight="1">
      <c r="A72" s="134" t="inlineStr">
        <is>
          <t>Forrest street excess material removal and asphalt box-out</t>
        </is>
      </c>
      <c r="B72" s="135" t="n"/>
      <c r="C72" s="79" t="n"/>
      <c r="D72" s="135" t="n"/>
      <c r="E72" s="135" t="n"/>
      <c r="F72" s="135" t="n"/>
      <c r="G72" s="135" t="n"/>
      <c r="H72" s="135" t="n"/>
      <c r="I72" s="136" t="n"/>
    </row>
    <row r="73" ht="24.95" customHeight="1">
      <c r="A73" s="134" t="inlineStr">
        <is>
          <t xml:space="preserve">Bayly street Box-out of excess material for sub-grade preperation </t>
        </is>
      </c>
      <c r="B73" s="135" t="n"/>
      <c r="C73" s="79" t="n"/>
      <c r="D73" s="135" t="n"/>
      <c r="E73" s="135" t="n"/>
      <c r="F73" s="135" t="n"/>
      <c r="G73" s="135" t="n"/>
      <c r="H73" s="135" t="n"/>
      <c r="I73" s="136" t="n"/>
    </row>
    <row r="74" ht="26.1" customHeight="1" thickBot="1">
      <c r="A74" s="246" t="inlineStr">
        <is>
          <t>Photos</t>
        </is>
      </c>
      <c r="B74" s="278" t="n"/>
      <c r="C74" s="278" t="n"/>
      <c r="D74" s="278" t="n"/>
      <c r="E74" s="278" t="n"/>
      <c r="F74" s="278" t="n"/>
      <c r="G74" s="278" t="n"/>
      <c r="H74" s="278" t="n"/>
      <c r="I74" s="279" t="n"/>
    </row>
    <row r="75" ht="23.1" customHeight="1">
      <c r="A75" s="137" t="n"/>
      <c r="B75" s="138" t="n"/>
      <c r="C75" s="138" t="n"/>
      <c r="D75" s="138" t="n"/>
      <c r="E75" s="138" t="n"/>
      <c r="F75" s="138" t="n"/>
      <c r="G75" s="138" t="n"/>
      <c r="H75" s="138" t="n"/>
      <c r="I75" s="139" t="n"/>
    </row>
    <row r="76" ht="23.1"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G96" s="141" t="n"/>
      <c r="H96" s="141" t="n"/>
      <c r="I96" s="142" t="n"/>
    </row>
    <row r="97" ht="15" customHeight="1">
      <c r="A97" s="140" t="n"/>
      <c r="B97" s="141" t="n"/>
      <c r="C97" s="141" t="n"/>
      <c r="D97" s="141" t="n"/>
      <c r="E97" s="141" t="n"/>
      <c r="F97" s="141" t="n"/>
      <c r="H97" s="141" t="n"/>
      <c r="I97" s="142" t="n"/>
    </row>
    <row r="98" ht="24.95" customFormat="1" customHeight="1" s="8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0" t="n"/>
      <c r="B112" s="141" t="n"/>
      <c r="C112" s="141" t="n"/>
      <c r="D112" s="141" t="n"/>
      <c r="E112" s="141" t="n"/>
      <c r="F112" s="141" t="n"/>
      <c r="G112" s="141" t="n"/>
      <c r="H112" s="141" t="n"/>
      <c r="I112" s="142" t="n"/>
    </row>
    <row r="113" ht="15" customHeight="1" thickBot="1">
      <c r="A113" s="143" t="n"/>
      <c r="B113" s="144" t="n"/>
      <c r="C113" s="144" t="n"/>
      <c r="D113" s="144" t="n"/>
      <c r="E113" s="144" t="n"/>
      <c r="F113" s="144" t="n"/>
      <c r="G113" s="144" t="n"/>
      <c r="H113" s="144" t="n"/>
      <c r="I113" s="145"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15" customHeight="1">
      <c r="A121" s="140" t="n"/>
      <c r="B121" s="141" t="n"/>
      <c r="C121" s="141" t="n"/>
      <c r="D121" s="141" t="n"/>
      <c r="E121" s="141" t="n"/>
      <c r="F121" s="141" t="n"/>
      <c r="G121" s="141" t="n"/>
      <c r="H121" s="141" t="n"/>
      <c r="I121" s="142" t="n"/>
    </row>
    <row r="122" ht="24.9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15" customHeight="1">
      <c r="A124" s="140" t="n"/>
      <c r="B124" s="141" t="n"/>
      <c r="C124" s="141" t="n"/>
      <c r="D124" s="141" t="n"/>
      <c r="E124" s="141" t="n"/>
      <c r="F124" s="141" t="n"/>
      <c r="G124" s="141" t="n"/>
      <c r="H124" s="141" t="n"/>
      <c r="I124" s="142" t="n"/>
    </row>
    <row r="125" ht="27.9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row>
    <row r="138" ht="15" customHeight="1" thickBot="1">
      <c r="A138" s="140" t="n"/>
      <c r="B138" s="141" t="n"/>
      <c r="C138" s="141" t="n"/>
      <c r="D138" s="141" t="n"/>
      <c r="E138" s="141" t="n"/>
      <c r="F138" s="141" t="n"/>
      <c r="G138" s="141" t="n"/>
      <c r="H138" s="141" t="n"/>
      <c r="I138" s="142" t="n"/>
      <c r="J138" s="146"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 customHeight="1">
      <c r="A144" s="140" t="n"/>
      <c r="B144" s="141" t="n"/>
      <c r="C144" s="141" t="n"/>
      <c r="D144" s="141" t="n"/>
      <c r="E144" s="141" t="n"/>
      <c r="F144" s="141" t="n"/>
      <c r="G144" s="141" t="n"/>
      <c r="H144" s="141" t="n"/>
      <c r="I144" s="142" t="n"/>
    </row>
    <row r="145" ht="15.95" customHeight="1">
      <c r="A145" s="140" t="n"/>
      <c r="B145" s="141" t="n"/>
      <c r="C145" s="141" t="n"/>
      <c r="D145" s="141" t="n"/>
      <c r="E145" s="141" t="n"/>
      <c r="F145" s="141" t="n"/>
      <c r="G145" s="141" t="n"/>
      <c r="H145" s="141" t="n"/>
      <c r="I145" s="142" t="n"/>
    </row>
    <row r="146" ht="30.75" customHeight="1">
      <c r="A146" s="247" t="n"/>
      <c r="E146" s="248" t="n"/>
      <c r="I146" s="271"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ht="15.95" customHeight="1" thickBot="1">
      <c r="A200" s="59" t="n"/>
      <c r="B200" s="60" t="n"/>
      <c r="C200" s="60" t="n"/>
      <c r="D200" s="60" t="n"/>
      <c r="E200" s="60" t="n"/>
      <c r="F200" s="60" t="n"/>
      <c r="G200" s="60" t="n"/>
      <c r="H200" s="60" t="n"/>
      <c r="I200" s="61" t="n"/>
    </row>
    <row r="201">
      <c r="A201" s="64" t="n"/>
      <c r="I201" s="65" t="n"/>
    </row>
    <row r="202">
      <c r="A202" s="64" t="n"/>
      <c r="I202" s="65" t="n"/>
    </row>
    <row r="203">
      <c r="A203" s="64" t="n"/>
      <c r="I203" s="65" t="n"/>
    </row>
    <row r="204">
      <c r="A204" s="64" t="n"/>
      <c r="I204" s="65" t="n"/>
    </row>
    <row r="205">
      <c r="A205" s="64" t="n"/>
      <c r="I205" s="65" t="n"/>
    </row>
    <row r="206">
      <c r="A206" s="64" t="n"/>
      <c r="I206" s="65" t="n"/>
    </row>
    <row r="207" ht="15.95" customHeight="1" thickBot="1">
      <c r="A207" s="59" t="n"/>
      <c r="B207" s="60" t="n"/>
      <c r="C207" s="60" t="n"/>
      <c r="D207" s="60" t="n"/>
      <c r="E207" s="60" t="n"/>
      <c r="F207" s="60" t="n"/>
      <c r="G207" s="60" t="n"/>
      <c r="H207" s="60" t="n"/>
      <c r="I207" s="61" t="n"/>
    </row>
  </sheetData>
  <mergeCells count="40">
    <mergeCell ref="A48:B48"/>
    <mergeCell ref="B47:C47"/>
    <mergeCell ref="D13:F13"/>
    <mergeCell ref="G13:I13"/>
    <mergeCell ref="B8:D8"/>
    <mergeCell ref="A66:I66"/>
    <mergeCell ref="B46:C46"/>
    <mergeCell ref="D48:I48"/>
    <mergeCell ref="A74:I74"/>
    <mergeCell ref="A55:I55"/>
    <mergeCell ref="A12:I12"/>
    <mergeCell ref="D47:I47"/>
    <mergeCell ref="B56:I56"/>
    <mergeCell ref="A69:I69"/>
    <mergeCell ref="A5:I5"/>
    <mergeCell ref="A51:I54"/>
    <mergeCell ref="B9:D9"/>
    <mergeCell ref="B60:I60"/>
    <mergeCell ref="C62:I62"/>
    <mergeCell ref="B57:I57"/>
    <mergeCell ref="B6:D6"/>
    <mergeCell ref="C58:I58"/>
    <mergeCell ref="A13:C13"/>
    <mergeCell ref="A146:D146"/>
    <mergeCell ref="A68:I68"/>
    <mergeCell ref="A10:I10"/>
    <mergeCell ref="A1:I4"/>
    <mergeCell ref="C64:I64"/>
    <mergeCell ref="A67:I67"/>
    <mergeCell ref="B7:D7"/>
    <mergeCell ref="C63:I63"/>
    <mergeCell ref="C65:I65"/>
    <mergeCell ref="A11:I11"/>
    <mergeCell ref="A49:I49"/>
    <mergeCell ref="D46:I46"/>
    <mergeCell ref="C59:I59"/>
    <mergeCell ref="B45:C45"/>
    <mergeCell ref="D45:I45"/>
    <mergeCell ref="A61:I61"/>
    <mergeCell ref="E146:I146"/>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3" min="0" max="8" man="1"/>
  </rowBreaks>
</worksheet>
</file>

<file path=xl/worksheets/sheet29.xml><?xml version="1.0" encoding="utf-8"?>
<worksheet xmlns="http://schemas.openxmlformats.org/spreadsheetml/2006/main">
  <sheetPr>
    <outlinePr summaryBelow="1" summaryRight="1"/>
    <pageSetUpPr fitToPage="1"/>
  </sheetPr>
  <dimension ref="A1:J206"/>
  <sheetViews>
    <sheetView view="pageBreakPreview" topLeftCell="A14" zoomScale="40" zoomScaleNormal="55" zoomScaleSheetLayoutView="40" workbookViewId="0">
      <selection activeCell="AD25" sqref="AD25"/>
    </sheetView>
  </sheetViews>
  <sheetFormatPr baseColWidth="8" defaultColWidth="9.140625" defaultRowHeight="14.4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45902</v>
      </c>
    </row>
    <row r="7" ht="23.1" customHeight="1">
      <c r="A7" s="82" t="inlineStr">
        <is>
          <t>Project Location:</t>
        </is>
      </c>
      <c r="B7" s="267" t="inlineStr">
        <is>
          <t>Geraldton</t>
        </is>
      </c>
      <c r="E7" s="267" t="n"/>
      <c r="F7" s="84" t="n"/>
      <c r="G7" s="84" t="n"/>
      <c r="H7" s="87" t="inlineStr">
        <is>
          <t>Day:</t>
        </is>
      </c>
      <c r="I7" s="88" t="inlineStr">
        <is>
          <t>Tuesday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97</v>
      </c>
      <c r="C9" s="273" t="n"/>
      <c r="D9" s="273" t="n"/>
      <c r="E9" s="264" t="n"/>
      <c r="F9" s="91" t="n"/>
      <c r="G9" s="91" t="n"/>
      <c r="H9" s="87" t="inlineStr">
        <is>
          <t>Finish:</t>
        </is>
      </c>
      <c r="I9" s="89" t="n">
        <v>0.75</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23 degrees  Wind:  25km/h E Precip: 0 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12</v>
      </c>
      <c r="G15" s="100" t="inlineStr">
        <is>
          <t xml:space="preserve">Brockman, Khegan </t>
        </is>
      </c>
      <c r="H15" s="97" t="inlineStr">
        <is>
          <t>Labourer</t>
        </is>
      </c>
      <c r="I15" s="101" t="n">
        <v>10</v>
      </c>
    </row>
    <row r="16" ht="23.1" customHeight="1">
      <c r="A16" s="96" t="inlineStr">
        <is>
          <t>GRIFFITHS, Daniel</t>
        </is>
      </c>
      <c r="B16" s="97" t="inlineStr">
        <is>
          <t>Project Manager</t>
        </is>
      </c>
      <c r="C16" s="102" t="n">
        <v>12</v>
      </c>
      <c r="D16" s="100" t="inlineStr">
        <is>
          <t>Hanly,Thomas</t>
        </is>
      </c>
      <c r="E16" s="97" t="inlineStr">
        <is>
          <t>Operator</t>
        </is>
      </c>
      <c r="F16" s="97" t="n">
        <v>12</v>
      </c>
      <c r="G16" s="100" t="inlineStr">
        <is>
          <t xml:space="preserve">McAuliffe, Daniel </t>
        </is>
      </c>
      <c r="H16" s="97" t="inlineStr">
        <is>
          <t>Operator</t>
        </is>
      </c>
      <c r="I16" s="101" t="n">
        <v>11</v>
      </c>
    </row>
    <row r="17" ht="23.1" customHeight="1">
      <c r="A17" s="96" t="inlineStr">
        <is>
          <t>O"SHEA, John</t>
        </is>
      </c>
      <c r="B17" s="97" t="inlineStr">
        <is>
          <t>Senior Project Engineer</t>
        </is>
      </c>
      <c r="C17" s="102" t="n"/>
      <c r="D17" s="103" t="n"/>
      <c r="E17" s="103" t="n"/>
      <c r="F17" s="97" t="n"/>
      <c r="G17" s="100" t="inlineStr">
        <is>
          <t>O'Brian, Jamie</t>
        </is>
      </c>
      <c r="H17" s="97" t="inlineStr">
        <is>
          <t>Operator</t>
        </is>
      </c>
      <c r="I17" s="101" t="n">
        <v>11</v>
      </c>
    </row>
    <row r="18" ht="23.1" customHeight="1">
      <c r="A18" s="96" t="inlineStr">
        <is>
          <t>GRIFFITHS, Ashley</t>
        </is>
      </c>
      <c r="B18" s="97" t="inlineStr">
        <is>
          <t>Supervisor</t>
        </is>
      </c>
      <c r="C18" s="102" t="n"/>
      <c r="D18" s="99" t="n"/>
      <c r="E18" s="99" t="n"/>
      <c r="F18" s="97" t="n"/>
      <c r="G18" s="100" t="inlineStr">
        <is>
          <t>O'Reilly,Sean</t>
        </is>
      </c>
      <c r="H18" s="97" t="inlineStr">
        <is>
          <t>Operator</t>
        </is>
      </c>
      <c r="I18" s="101" t="n">
        <v>12</v>
      </c>
    </row>
    <row r="19" ht="23.1" customHeight="1">
      <c r="A19" s="96" t="inlineStr">
        <is>
          <t>LOW, June</t>
        </is>
      </c>
      <c r="B19" s="97" t="inlineStr">
        <is>
          <t>HSET</t>
        </is>
      </c>
      <c r="C19" s="102" t="n"/>
      <c r="D19" s="99" t="n"/>
      <c r="E19" s="99" t="n"/>
      <c r="F19" s="97" t="n"/>
      <c r="G19" s="100" t="inlineStr">
        <is>
          <t>Dixon, Warren</t>
        </is>
      </c>
      <c r="H19" s="97" t="inlineStr">
        <is>
          <t>Irrigation Installer</t>
        </is>
      </c>
      <c r="I19" s="101" t="n">
        <v>5</v>
      </c>
    </row>
    <row r="20" ht="23.1" customHeight="1">
      <c r="A20" s="96" t="inlineStr">
        <is>
          <t>SKINNER,Jamie</t>
        </is>
      </c>
      <c r="B20" s="97" t="inlineStr">
        <is>
          <t>Supervisor</t>
        </is>
      </c>
      <c r="C20" s="102" t="n">
        <v>12</v>
      </c>
      <c r="D20" s="99" t="n"/>
      <c r="E20" s="99" t="n"/>
      <c r="F20" s="97" t="n"/>
      <c r="G20" s="100" t="inlineStr">
        <is>
          <t>Mosley,Joshua</t>
        </is>
      </c>
      <c r="H20" s="97" t="inlineStr">
        <is>
          <t>Surveyor</t>
        </is>
      </c>
      <c r="I20" s="101" t="n">
        <v>5</v>
      </c>
    </row>
    <row r="21" ht="23.1" customHeight="1">
      <c r="A21" s="96" t="n"/>
      <c r="B21" s="97" t="n"/>
      <c r="C21" s="102" t="n"/>
      <c r="D21" s="99" t="n"/>
      <c r="E21" s="99" t="n"/>
      <c r="F21" s="97" t="n"/>
      <c r="G21" s="100" t="n"/>
      <c r="H21" s="97" t="n"/>
      <c r="I21" s="101" t="n"/>
    </row>
    <row r="22" ht="23.1" customHeight="1">
      <c r="A22" s="96" t="n"/>
      <c r="B22" s="97" t="n"/>
      <c r="C22" s="102" t="n"/>
      <c r="D22" s="99" t="n"/>
      <c r="E22" s="99" t="n"/>
      <c r="F22" s="97" t="n"/>
      <c r="G22" s="100" t="n"/>
      <c r="H22" s="97" t="n"/>
      <c r="I22" s="101" t="n"/>
    </row>
    <row r="23" ht="23.1" customHeight="1">
      <c r="A23" s="96" t="n"/>
      <c r="B23" s="97" t="n"/>
      <c r="C23" s="102" t="n"/>
      <c r="D23" s="99" t="n"/>
      <c r="E23" s="99" t="n"/>
      <c r="F23" s="97" t="n"/>
      <c r="G23" s="100" t="n"/>
      <c r="H23" s="97" t="n"/>
      <c r="I23" s="101" t="n"/>
    </row>
    <row r="24" ht="23.1" customHeight="1">
      <c r="A24" s="96" t="n"/>
      <c r="B24" s="97" t="n"/>
      <c r="C24" s="102" t="n"/>
      <c r="D24" s="99" t="n"/>
      <c r="E24" s="99" t="n"/>
      <c r="F24" s="97" t="n"/>
      <c r="G24" s="100" t="n"/>
      <c r="H24" s="97" t="n"/>
      <c r="I24" s="101" t="n"/>
    </row>
    <row r="25" ht="23.1" customHeight="1">
      <c r="A25" s="96" t="n"/>
      <c r="B25" s="97" t="n"/>
      <c r="C25" s="102" t="n"/>
      <c r="D25" s="99" t="n"/>
      <c r="E25" s="99" t="n"/>
      <c r="F25" s="97" t="n"/>
      <c r="G25" s="151" t="n"/>
      <c r="H25" s="151" t="n"/>
      <c r="I25" s="107" t="n"/>
    </row>
    <row r="26" ht="23.1" customHeight="1">
      <c r="A26" s="255" t="inlineStr">
        <is>
          <t xml:space="preserve">Total Indirect Personnel onsite: </t>
        </is>
      </c>
      <c r="B26" s="105">
        <f>COUNT(C15:C26)</f>
        <v/>
      </c>
      <c r="C26" s="99" t="n"/>
      <c r="D26" s="99" t="n"/>
      <c r="E26" s="99" t="n"/>
      <c r="F26" s="97" t="n"/>
      <c r="G26" s="152" t="n"/>
      <c r="H26" s="151" t="n"/>
      <c r="I26" s="101" t="n"/>
    </row>
    <row r="27" ht="23.1" customHeight="1">
      <c r="A27" s="255" t="inlineStr">
        <is>
          <t xml:space="preserve">Total Indirect Personnel hours: </t>
        </is>
      </c>
      <c r="B27" s="105">
        <f>SUM(C15:C25)</f>
        <v/>
      </c>
      <c r="C27" s="102" t="n"/>
      <c r="D27" s="99" t="n"/>
      <c r="E27" s="99" t="n"/>
      <c r="F27" s="97" t="n"/>
      <c r="G27" s="106" t="inlineStr">
        <is>
          <t>Total Subcontractor on-site:</t>
        </is>
      </c>
      <c r="H27" s="107">
        <f>COUNT(I15:I25)</f>
        <v/>
      </c>
      <c r="I27" s="101" t="n"/>
    </row>
    <row r="28" ht="23.1" customHeight="1">
      <c r="A28" s="255" t="inlineStr">
        <is>
          <t xml:space="preserve">Total Direct Personnel onsite:  </t>
        </is>
      </c>
      <c r="B28" s="105">
        <f>COUNTIF(F15:F29,"&gt;0")</f>
        <v/>
      </c>
      <c r="C28" s="105" t="n"/>
      <c r="D28" s="99" t="n"/>
      <c r="E28" s="99" t="n"/>
      <c r="F28" s="108" t="n"/>
      <c r="G28" s="106" t="inlineStr">
        <is>
          <t>Total Subcontractor hours:</t>
        </is>
      </c>
      <c r="H28" s="107">
        <f>SUM(I15:I25)</f>
        <v/>
      </c>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Hilux</t>
        </is>
      </c>
      <c r="E33" s="102" t="inlineStr">
        <is>
          <t>1DAH:400</t>
        </is>
      </c>
      <c r="F33" s="102" t="n">
        <v>1</v>
      </c>
      <c r="G33" s="102" t="inlineStr">
        <is>
          <t>Sea Container 20ft</t>
        </is>
      </c>
      <c r="H33" s="97" t="n">
        <v>951200</v>
      </c>
      <c r="I33" s="101" t="n">
        <v>1</v>
      </c>
    </row>
    <row r="34" ht="23.1" customHeight="1">
      <c r="A34" s="115" t="inlineStr">
        <is>
          <t>Watercart</t>
        </is>
      </c>
      <c r="B34" s="102" t="inlineStr">
        <is>
          <t>WC04</t>
        </is>
      </c>
      <c r="C34" s="97" t="n">
        <v>10</v>
      </c>
      <c r="D34" s="102" t="n"/>
      <c r="E34" s="97" t="n"/>
      <c r="F34" s="102" t="n"/>
      <c r="G34" s="102" t="inlineStr">
        <is>
          <t>Site Sentry Tower</t>
        </is>
      </c>
      <c r="H34" s="102" t="n"/>
      <c r="I34" s="101" t="n">
        <v>2</v>
      </c>
    </row>
    <row r="35" ht="23.1" customHeight="1">
      <c r="A35" s="115" t="inlineStr">
        <is>
          <t>8T Excavator</t>
        </is>
      </c>
      <c r="B35" s="116" t="inlineStr">
        <is>
          <t>AMG 014</t>
        </is>
      </c>
      <c r="C35" s="97" t="n"/>
      <c r="D35" s="102" t="n"/>
      <c r="E35" s="102" t="n"/>
      <c r="F35" s="102" t="n"/>
      <c r="G35" s="102" t="inlineStr">
        <is>
          <t>Skip Bin</t>
        </is>
      </c>
      <c r="H35" s="102" t="n"/>
      <c r="I35" s="101" t="n">
        <v>1</v>
      </c>
    </row>
    <row r="36" ht="23.1" customHeight="1">
      <c r="A36" s="102" t="inlineStr">
        <is>
          <t>Mini Tipper</t>
        </is>
      </c>
      <c r="B36" s="102" t="inlineStr">
        <is>
          <t>SLS05</t>
        </is>
      </c>
      <c r="C36" s="102" t="n"/>
      <c r="D36" s="102" t="n"/>
      <c r="E36" s="102" t="n"/>
      <c r="F36" s="102" t="n"/>
      <c r="G36" s="102" t="inlineStr">
        <is>
          <t>Hydrocarbon Bund</t>
        </is>
      </c>
      <c r="H36" s="102" t="n"/>
      <c r="I36" s="101" t="n">
        <v>1</v>
      </c>
    </row>
    <row r="37" ht="23.1" customHeight="1">
      <c r="A37" s="150" t="inlineStr">
        <is>
          <t>1 t Excavator</t>
        </is>
      </c>
      <c r="B37" s="102" t="inlineStr">
        <is>
          <t>SLS03</t>
        </is>
      </c>
      <c r="C37" s="102" t="n"/>
      <c r="D37" s="102" t="n"/>
      <c r="E37" s="102" t="n"/>
      <c r="F37" s="102" t="n"/>
      <c r="G37" s="102" t="inlineStr">
        <is>
          <t>Temp Fence</t>
        </is>
      </c>
      <c r="H37" s="97" t="n"/>
      <c r="I37" s="101" t="n">
        <v>1</v>
      </c>
    </row>
    <row r="38" ht="24" customHeight="1">
      <c r="A38" s="150" t="inlineStr">
        <is>
          <t>14t Excavator with GPS</t>
        </is>
      </c>
      <c r="B38" s="102" t="n"/>
      <c r="C38" s="102" t="n"/>
      <c r="D38" s="102" t="n"/>
      <c r="E38" s="102" t="n"/>
      <c r="F38" s="102" t="n"/>
      <c r="G38" s="31" t="n"/>
      <c r="H38" s="31" t="n"/>
      <c r="I38" s="32" t="n"/>
    </row>
    <row r="39" ht="24" customHeight="1">
      <c r="A39" s="150" t="inlineStr">
        <is>
          <t>5t Excavator</t>
        </is>
      </c>
      <c r="B39" s="102" t="inlineStr">
        <is>
          <t>A118</t>
        </is>
      </c>
      <c r="C39" s="102" t="n">
        <v>5</v>
      </c>
      <c r="D39" s="102" t="n"/>
      <c r="E39" s="102" t="n"/>
      <c r="F39" s="102" t="n"/>
      <c r="G39" s="31" t="n"/>
      <c r="H39" s="31" t="n"/>
      <c r="I39" s="32" t="n"/>
    </row>
    <row r="40" ht="24" customHeight="1">
      <c r="A40" s="115" t="inlineStr">
        <is>
          <t>Padfoot/ Smooth Drum Roller</t>
        </is>
      </c>
      <c r="B40" s="102" t="inlineStr">
        <is>
          <t>RR 03</t>
        </is>
      </c>
      <c r="C40" s="97" t="n">
        <v>5</v>
      </c>
      <c r="D40" s="102" t="n"/>
      <c r="E40" s="102" t="n"/>
      <c r="F40" s="102" t="n"/>
      <c r="G40" s="31" t="n"/>
      <c r="H40" s="31" t="n"/>
      <c r="I40" s="32" t="n"/>
    </row>
    <row r="41" ht="24" customHeight="1">
      <c r="A41" s="115" t="inlineStr">
        <is>
          <t>Multi Roller</t>
        </is>
      </c>
      <c r="B41" s="102" t="n">
        <v>256</v>
      </c>
      <c r="C41" s="97" t="n">
        <v>5</v>
      </c>
      <c r="D41" s="102" t="n"/>
      <c r="E41" s="102" t="n"/>
      <c r="F41" s="102" t="n"/>
      <c r="G41" s="31" t="n"/>
      <c r="H41" s="31" t="n"/>
      <c r="I41" s="32" t="n"/>
    </row>
    <row r="42" ht="24" customHeight="1">
      <c r="A42" s="115" t="inlineStr">
        <is>
          <t>Positrak SSL</t>
        </is>
      </c>
      <c r="B42" s="102" t="inlineStr">
        <is>
          <t>SSL08</t>
        </is>
      </c>
      <c r="C42" s="97" t="n">
        <v>5</v>
      </c>
      <c r="D42" s="102" t="n"/>
      <c r="E42" s="102" t="n"/>
      <c r="F42" s="102" t="n"/>
      <c r="G42" s="31" t="n"/>
      <c r="H42" s="31" t="n"/>
      <c r="I42" s="32" t="n"/>
    </row>
    <row r="43" ht="24" customHeight="1">
      <c r="A43" s="115" t="inlineStr">
        <is>
          <t>Grader</t>
        </is>
      </c>
      <c r="B43" s="102" t="inlineStr">
        <is>
          <t>SLS01</t>
        </is>
      </c>
      <c r="C43" s="97" t="n">
        <v>9</v>
      </c>
      <c r="D43" s="102" t="n"/>
      <c r="E43" s="102" t="n"/>
      <c r="F43" s="102" t="n"/>
      <c r="G43" s="31" t="n"/>
      <c r="H43" s="31" t="n"/>
      <c r="I43" s="32" t="n"/>
    </row>
    <row r="44" ht="24" customHeight="1">
      <c r="A44" s="115" t="n"/>
      <c r="B44" s="102" t="n"/>
      <c r="C44" s="97" t="n"/>
      <c r="D44" s="31" t="n"/>
      <c r="E44" s="31" t="n"/>
      <c r="F44" s="31" t="n"/>
      <c r="G44" s="31" t="n"/>
      <c r="H44" s="31" t="n"/>
      <c r="I44" s="32" t="n"/>
    </row>
    <row r="45" ht="18" customHeight="1">
      <c r="A45" s="117" t="n">
        <v>3</v>
      </c>
      <c r="B45" s="260" t="inlineStr">
        <is>
          <t xml:space="preserve">Repairs Required </t>
        </is>
      </c>
      <c r="C45" s="276" t="n"/>
      <c r="D45" s="249" t="inlineStr">
        <is>
          <t>Steel Drum Roller Broken Belt, Multi Roller Required Jump Start, DPU Starter Motor Replaced</t>
        </is>
      </c>
      <c r="E45" s="275" t="n"/>
      <c r="F45" s="275" t="n"/>
      <c r="G45" s="275" t="n"/>
      <c r="H45" s="275" t="n"/>
      <c r="I45" s="277" t="n"/>
    </row>
    <row r="46" ht="18" customHeight="1">
      <c r="A46" s="118" t="n">
        <v>0</v>
      </c>
      <c r="B46" s="260" t="inlineStr">
        <is>
          <t>Scheduled Service</t>
        </is>
      </c>
      <c r="C46" s="276" t="n"/>
      <c r="D46" s="249" t="inlineStr">
        <is>
          <t>N/A</t>
        </is>
      </c>
      <c r="E46" s="275" t="n"/>
      <c r="F46" s="275" t="n"/>
      <c r="G46" s="275" t="n"/>
      <c r="H46" s="275" t="n"/>
      <c r="I46" s="277" t="n"/>
    </row>
    <row r="47" ht="18" customHeight="1">
      <c r="A47" s="119" t="n">
        <v>0</v>
      </c>
      <c r="B47" s="260" t="n"/>
      <c r="C47" s="276" t="n"/>
      <c r="D47" s="249" t="inlineStr">
        <is>
          <t>N/A</t>
        </is>
      </c>
      <c r="E47" s="275" t="n"/>
      <c r="F47" s="275" t="n"/>
      <c r="G47" s="275" t="n"/>
      <c r="H47" s="275" t="n"/>
      <c r="I47" s="277" t="n"/>
    </row>
    <row r="48" ht="23.1" customHeight="1">
      <c r="A48" s="255" t="inlineStr">
        <is>
          <t xml:space="preserve">Total Plant and Equipment Hours: </t>
        </is>
      </c>
      <c r="B48" s="276" t="n"/>
      <c r="C48" s="120">
        <f>SUM(C32:C44)</f>
        <v/>
      </c>
      <c r="D48" s="256" t="n"/>
      <c r="E48" s="275" t="n"/>
      <c r="F48" s="275" t="n"/>
      <c r="G48" s="275" t="n"/>
      <c r="H48" s="275" t="n"/>
      <c r="I48" s="277" t="n"/>
    </row>
    <row r="49" ht="26.45" customHeight="1">
      <c r="A49" s="245" t="inlineStr">
        <is>
          <t>DELAYS-OPPORTUNITY</t>
        </is>
      </c>
      <c r="B49" s="275" t="n"/>
      <c r="C49" s="275" t="n"/>
      <c r="D49" s="275" t="n"/>
      <c r="E49" s="275" t="n"/>
      <c r="F49" s="275" t="n"/>
      <c r="G49" s="275" t="n"/>
      <c r="H49" s="275" t="n"/>
      <c r="I49" s="277" t="n"/>
    </row>
    <row r="50" ht="15" customHeight="1">
      <c r="A50" s="244" t="inlineStr">
        <is>
          <t>Awaiting COGG confirmation on detail of Centrelink Carpark                             
Awaiting Kerbing Plan being Amended by TCD
Awaiting Direction on Service Clash Forrest Street
Awaiting Confirmation on Batters Treatment 
Awaiting finalised fencing details
Awaiting COGG confirmation on "Ballast Pile"
Instructions Provided for Laneway Sewer, Drainage and Light Pole Removal
COGG Advised they required individual dryback testing testing performed</t>
        </is>
      </c>
      <c r="B50" s="278" t="n"/>
      <c r="C50" s="278" t="n"/>
      <c r="D50" s="278" t="n"/>
      <c r="E50" s="278" t="n"/>
      <c r="F50" s="278" t="n"/>
      <c r="G50" s="278" t="n"/>
      <c r="H50" s="278" t="n"/>
      <c r="I50" s="279" t="n"/>
    </row>
    <row r="51" ht="29.45" customHeight="1">
      <c r="A51" s="270" t="n"/>
      <c r="I51" s="271" t="n"/>
    </row>
    <row r="52" ht="66" customHeight="1">
      <c r="A52" s="270" t="n"/>
      <c r="I52" s="271" t="n"/>
    </row>
    <row r="53" ht="80.09999999999999" customHeight="1">
      <c r="A53" s="280" t="n"/>
      <c r="B53" s="281" t="n"/>
      <c r="C53" s="281" t="n"/>
      <c r="D53" s="281" t="n"/>
      <c r="E53" s="281" t="n"/>
      <c r="F53" s="281" t="n"/>
      <c r="G53" s="281" t="n"/>
      <c r="H53" s="281" t="n"/>
      <c r="I53" s="282" t="n"/>
    </row>
    <row r="54" ht="24.95" customHeight="1">
      <c r="A54" s="252" t="inlineStr">
        <is>
          <t>\</t>
        </is>
      </c>
      <c r="B54" s="283" t="n"/>
      <c r="C54" s="283" t="n"/>
      <c r="D54" s="283" t="n"/>
      <c r="E54" s="283" t="n"/>
      <c r="F54" s="283" t="n"/>
      <c r="G54" s="283" t="n"/>
      <c r="H54" s="283" t="n"/>
      <c r="I54" s="284" t="n"/>
    </row>
    <row r="55" ht="18" customHeight="1">
      <c r="A55" s="124" t="inlineStr">
        <is>
          <t>TCD - Monthly Safety Focus:</t>
        </is>
      </c>
      <c r="B55" s="257" t="inlineStr">
        <is>
          <t>Underground Services</t>
        </is>
      </c>
      <c r="C55" s="275" t="n"/>
      <c r="D55" s="275" t="n"/>
      <c r="E55" s="275" t="n"/>
      <c r="F55" s="275" t="n"/>
      <c r="G55" s="275" t="n"/>
      <c r="H55" s="275" t="n"/>
      <c r="I55" s="276" t="n"/>
    </row>
    <row r="56" ht="24" customHeight="1">
      <c r="A56" s="124" t="inlineStr">
        <is>
          <t>TCD - Daily Safety Focus:</t>
        </is>
      </c>
      <c r="B56" s="258" t="inlineStr">
        <is>
          <t>SIMOPS</t>
        </is>
      </c>
      <c r="C56" s="275" t="n"/>
      <c r="D56" s="275" t="n"/>
      <c r="E56" s="275" t="n"/>
      <c r="F56" s="275" t="n"/>
      <c r="G56" s="275" t="n"/>
      <c r="H56" s="275" t="n"/>
      <c r="I56" s="277" t="n"/>
    </row>
    <row r="57" ht="18" customHeight="1">
      <c r="A57" s="125" t="inlineStr">
        <is>
          <t xml:space="preserve">Hazards Reported: </t>
        </is>
      </c>
      <c r="B57" s="126" t="inlineStr">
        <is>
          <t>Nil</t>
        </is>
      </c>
      <c r="C57" s="258" t="n"/>
      <c r="D57" s="275" t="n"/>
      <c r="E57" s="275" t="n"/>
      <c r="F57" s="275" t="n"/>
      <c r="G57" s="275" t="n"/>
      <c r="H57" s="275" t="n"/>
      <c r="I57" s="277" t="n"/>
    </row>
    <row r="58" ht="18" customHeight="1">
      <c r="A58" s="125" t="inlineStr">
        <is>
          <t>Incident Free Days</t>
        </is>
      </c>
      <c r="B58" s="126" t="n">
        <v>12</v>
      </c>
      <c r="C58" s="257" t="n"/>
      <c r="D58" s="275" t="n"/>
      <c r="E58" s="275" t="n"/>
      <c r="F58" s="275" t="n"/>
      <c r="G58" s="275" t="n"/>
      <c r="H58" s="275" t="n"/>
      <c r="I58" s="276" t="n"/>
    </row>
    <row r="59" ht="18" customHeight="1">
      <c r="A59" s="127" t="inlineStr">
        <is>
          <t>Other Notes</t>
        </is>
      </c>
      <c r="B59" s="259" t="n"/>
      <c r="C59" s="278" t="n"/>
      <c r="D59" s="278" t="n"/>
      <c r="E59" s="278" t="n"/>
      <c r="F59" s="278" t="n"/>
      <c r="G59" s="278" t="n"/>
      <c r="H59" s="278" t="n"/>
      <c r="I59" s="279" t="n"/>
    </row>
    <row r="60" ht="20.25" customHeight="1">
      <c r="A60" s="245" t="inlineStr">
        <is>
          <t xml:space="preserve">INCIDENTS &amp; REPORTS </t>
        </is>
      </c>
      <c r="B60" s="275" t="n"/>
      <c r="C60" s="275" t="n"/>
      <c r="D60" s="275" t="n"/>
      <c r="E60" s="275" t="n"/>
      <c r="F60" s="275" t="n"/>
      <c r="G60" s="275" t="n"/>
      <c r="H60" s="275" t="n"/>
      <c r="I60" s="277" t="n"/>
    </row>
    <row r="61" ht="24.95" customHeight="1">
      <c r="A61" s="128" t="n"/>
      <c r="B61" s="263" t="inlineStr">
        <is>
          <t>QTY</t>
        </is>
      </c>
      <c r="C61" s="254" t="inlineStr">
        <is>
          <t>Comments</t>
        </is>
      </c>
      <c r="D61" s="275" t="n"/>
      <c r="E61" s="275" t="n"/>
      <c r="F61" s="275" t="n"/>
      <c r="G61" s="275" t="n"/>
      <c r="H61" s="275" t="n"/>
      <c r="I61" s="277" t="n"/>
    </row>
    <row r="62" ht="24.95" customHeight="1">
      <c r="A62" s="129" t="inlineStr">
        <is>
          <t>INCIDENT</t>
        </is>
      </c>
      <c r="B62" s="263" t="n">
        <v>0</v>
      </c>
      <c r="C62" s="249" t="inlineStr">
        <is>
          <t>NA</t>
        </is>
      </c>
      <c r="D62" s="275" t="n"/>
      <c r="E62" s="275" t="n"/>
      <c r="F62" s="275" t="n"/>
      <c r="G62" s="275" t="n"/>
      <c r="H62" s="275" t="n"/>
      <c r="I62" s="277" t="n"/>
    </row>
    <row r="63" ht="24.95" customHeight="1">
      <c r="A63" s="130" t="inlineStr">
        <is>
          <t>IR</t>
        </is>
      </c>
      <c r="B63" s="131" t="n">
        <v>0</v>
      </c>
      <c r="C63" s="250" t="inlineStr">
        <is>
          <t>NA</t>
        </is>
      </c>
      <c r="D63" s="278" t="n"/>
      <c r="E63" s="278" t="n"/>
      <c r="F63" s="278" t="n"/>
      <c r="G63" s="278" t="n"/>
      <c r="H63" s="278" t="n"/>
      <c r="I63" s="279" t="n"/>
    </row>
    <row r="64" ht="24.95" customHeight="1">
      <c r="A64" s="132" t="inlineStr">
        <is>
          <t>NCR</t>
        </is>
      </c>
      <c r="B64" s="133" t="n">
        <v>0</v>
      </c>
      <c r="C64" s="251" t="inlineStr">
        <is>
          <t>NA</t>
        </is>
      </c>
      <c r="D64" s="285" t="n"/>
      <c r="E64" s="285" t="n"/>
      <c r="F64" s="285" t="n"/>
      <c r="G64" s="285" t="n"/>
      <c r="H64" s="285" t="n"/>
      <c r="I64" s="286" t="n"/>
    </row>
    <row r="65" ht="20.25" customHeight="1">
      <c r="A65" s="252" t="inlineStr">
        <is>
          <t>COMMUNICATIONS</t>
        </is>
      </c>
      <c r="B65" s="283" t="n"/>
      <c r="C65" s="283" t="n"/>
      <c r="D65" s="283" t="n"/>
      <c r="E65" s="283" t="n"/>
      <c r="F65" s="283" t="n"/>
      <c r="G65" s="283" t="n"/>
      <c r="H65" s="283" t="n"/>
      <c r="I65" s="284" t="n"/>
    </row>
    <row r="66" ht="24.95" customHeight="1">
      <c r="A66" s="253" t="inlineStr">
        <is>
          <t>TGS MB1119-05 Scheme D implemented</t>
        </is>
      </c>
      <c r="B66" s="275" t="n"/>
      <c r="C66" s="275" t="n"/>
      <c r="D66" s="275" t="n"/>
      <c r="E66" s="275" t="n"/>
      <c r="F66" s="275" t="n"/>
      <c r="G66" s="275" t="n"/>
      <c r="H66" s="275" t="n"/>
      <c r="I66" s="277" t="n"/>
    </row>
    <row r="67" ht="24.95" customHeight="1">
      <c r="A67" s="253" t="n"/>
      <c r="B67" s="275" t="n"/>
      <c r="C67" s="275" t="n"/>
      <c r="D67" s="275" t="n"/>
      <c r="E67" s="275" t="n"/>
      <c r="F67" s="275" t="n"/>
      <c r="G67" s="275" t="n"/>
      <c r="H67" s="275" t="n"/>
      <c r="I67" s="277" t="n"/>
    </row>
    <row r="68" ht="24.95" customHeight="1">
      <c r="A68" s="245" t="inlineStr">
        <is>
          <t>PRODUCTION (CONSTRUCTION STATUS &amp; PROGRESS)</t>
        </is>
      </c>
      <c r="B68" s="275" t="n"/>
      <c r="C68" s="275" t="n"/>
      <c r="D68" s="275" t="n"/>
      <c r="E68" s="275" t="n"/>
      <c r="F68" s="275" t="n"/>
      <c r="G68" s="275" t="n"/>
      <c r="H68" s="275" t="n"/>
      <c r="I68" s="277" t="n"/>
    </row>
    <row r="69" ht="24.95" customHeight="1">
      <c r="A69" s="134" t="inlineStr">
        <is>
          <t>IrrIgation Backfill@East side Lot-106 heading South</t>
        </is>
      </c>
      <c r="B69" s="135" t="n"/>
      <c r="C69" s="79" t="n"/>
      <c r="D69" s="79" t="inlineStr">
        <is>
          <t>Think-water tap into 40mm Comms for solinoids and box install</t>
        </is>
      </c>
      <c r="E69" s="79" t="n"/>
      <c r="F69" s="135" t="n"/>
      <c r="G69" s="135" t="n"/>
      <c r="H69" s="135" t="n"/>
      <c r="I69" s="136" t="n"/>
    </row>
    <row r="70" ht="24.95" customHeight="1">
      <c r="A70" s="134" t="inlineStr">
        <is>
          <t>IrrIgation trenching@Lot-106 heading North</t>
        </is>
      </c>
      <c r="B70" s="135" t="n"/>
      <c r="C70" s="79" t="n"/>
      <c r="D70" s="79" t="inlineStr">
        <is>
          <t xml:space="preserve">Think-water Installation of IrrIgation East side </t>
        </is>
      </c>
      <c r="E70" s="135" t="n"/>
      <c r="F70" s="135" t="n"/>
      <c r="G70" s="135" t="n"/>
      <c r="H70" s="135" t="n"/>
      <c r="I70" s="136" t="n"/>
    </row>
    <row r="71" ht="24.95" customHeight="1">
      <c r="A71" s="134" t="inlineStr">
        <is>
          <t>Final trimming/Balancing Lot 106 heading South</t>
        </is>
      </c>
      <c r="B71" s="135" t="n"/>
      <c r="C71" s="79" t="n"/>
      <c r="D71" s="135" t="n"/>
      <c r="E71" s="135" t="n"/>
      <c r="F71" s="135" t="n"/>
      <c r="G71" s="135" t="n"/>
      <c r="H71" s="135" t="n"/>
      <c r="I71" s="136" t="n"/>
    </row>
    <row r="72" ht="24.95" customHeight="1">
      <c r="A72" s="134" t="inlineStr">
        <is>
          <t>Final trimming/Balancing Chambers Way</t>
        </is>
      </c>
      <c r="B72" s="135" t="n"/>
      <c r="C72" s="79" t="n"/>
      <c r="D72" s="135" t="n"/>
      <c r="E72" s="135" t="n"/>
      <c r="F72" s="135" t="n"/>
      <c r="G72" s="135" t="n"/>
      <c r="H72" s="135" t="n"/>
      <c r="I72" s="136" t="n"/>
    </row>
    <row r="73" ht="26.1" customHeight="1">
      <c r="A73" s="246" t="inlineStr">
        <is>
          <t>Photos</t>
        </is>
      </c>
      <c r="B73" s="278" t="n"/>
      <c r="C73" s="278" t="n"/>
      <c r="D73" s="278" t="n"/>
      <c r="E73" s="278" t="n"/>
      <c r="F73" s="278" t="n"/>
      <c r="G73" s="278" t="n"/>
      <c r="H73" s="278" t="n"/>
      <c r="I73" s="279" t="n"/>
    </row>
    <row r="74" ht="23.1" customHeight="1">
      <c r="A74" s="137" t="n"/>
      <c r="B74" s="138" t="n"/>
      <c r="C74" s="138" t="n"/>
      <c r="D74" s="138" t="n"/>
      <c r="E74" s="138" t="n"/>
      <c r="F74" s="138" t="n"/>
      <c r="G74" s="138" t="n"/>
      <c r="H74" s="138" t="n"/>
      <c r="I74" s="139" t="n"/>
    </row>
    <row r="75" ht="23.1" customHeight="1">
      <c r="A75" s="140" t="n"/>
      <c r="B75" s="141" t="n"/>
      <c r="C75" s="141" t="n"/>
      <c r="D75" s="141" t="n"/>
      <c r="E75" s="141" t="n"/>
      <c r="F75" s="141" t="n"/>
      <c r="G75" s="141" t="n"/>
      <c r="H75" s="141" t="n"/>
      <c r="I75" s="142" t="n"/>
    </row>
    <row r="76" ht="15"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H96" s="141" t="n"/>
      <c r="I96" s="142" t="n"/>
    </row>
    <row r="97" ht="24.95" customFormat="1" customHeight="1" s="81">
      <c r="A97" s="140" t="n"/>
      <c r="B97" s="141" t="n"/>
      <c r="C97" s="141" t="n"/>
      <c r="D97" s="141" t="n"/>
      <c r="E97" s="141" t="n"/>
      <c r="F97" s="141" t="n"/>
      <c r="G97" s="141" t="n"/>
      <c r="H97" s="141" t="n"/>
      <c r="I97" s="142" t="n"/>
    </row>
    <row r="98" ht="15" customHeight="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3" t="n"/>
      <c r="B112" s="144" t="n"/>
      <c r="C112" s="144" t="n"/>
      <c r="D112" s="144" t="n"/>
      <c r="E112" s="144" t="n"/>
      <c r="F112" s="144" t="n"/>
      <c r="G112" s="144" t="n"/>
      <c r="H112" s="144" t="n"/>
      <c r="I112" s="145" t="n"/>
    </row>
    <row r="113" ht="15" customHeight="1">
      <c r="A113" s="140" t="n"/>
      <c r="B113" s="141" t="n"/>
      <c r="C113" s="141" t="n"/>
      <c r="D113" s="141" t="n"/>
      <c r="E113" s="141" t="n"/>
      <c r="F113" s="141" t="n"/>
      <c r="G113" s="141" t="n"/>
      <c r="H113" s="141" t="n"/>
      <c r="I113" s="142"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24.95" customHeight="1">
      <c r="A121" s="140" t="n"/>
      <c r="B121" s="141" t="n"/>
      <c r="C121" s="141" t="n"/>
      <c r="D121" s="141" t="n"/>
      <c r="E121" s="141" t="n"/>
      <c r="F121" s="141" t="n"/>
      <c r="G121" s="141" t="n"/>
      <c r="H121" s="141" t="n"/>
      <c r="I121" s="142" t="n"/>
    </row>
    <row r="122" ht="1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27.95" customHeight="1">
      <c r="A124" s="140" t="n"/>
      <c r="B124" s="141" t="n"/>
      <c r="C124" s="141" t="n"/>
      <c r="D124" s="141" t="n"/>
      <c r="E124" s="141" t="n"/>
      <c r="F124" s="141" t="n"/>
      <c r="G124" s="141" t="n"/>
      <c r="H124" s="141" t="n"/>
      <c r="I124" s="142" t="n"/>
    </row>
    <row r="125" ht="1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c r="J137" s="146" t="n"/>
    </row>
    <row r="138" ht="15" customHeight="1">
      <c r="A138" s="140" t="n"/>
      <c r="B138" s="141" t="n"/>
      <c r="C138" s="141" t="n"/>
      <c r="D138" s="141" t="n"/>
      <c r="E138" s="141" t="n"/>
      <c r="F138" s="141" t="n"/>
      <c r="G138" s="141" t="n"/>
      <c r="H138" s="141" t="n"/>
      <c r="I138" s="142"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95" customHeight="1">
      <c r="A144" s="140" t="n"/>
      <c r="B144" s="141" t="n"/>
      <c r="C144" s="141" t="n"/>
      <c r="D144" s="141" t="n"/>
      <c r="E144" s="141" t="n"/>
      <c r="F144" s="141" t="n"/>
      <c r="G144" s="141" t="n"/>
      <c r="H144" s="141" t="n"/>
      <c r="I144" s="142" t="n"/>
    </row>
    <row r="145" ht="30.75" customHeight="1">
      <c r="A145" s="247" t="n"/>
      <c r="E145" s="248" t="n"/>
      <c r="I145" s="271" t="n"/>
    </row>
    <row r="146">
      <c r="A146" s="64" t="n"/>
      <c r="I146" s="65"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I180" s="65" t="n"/>
    </row>
    <row r="181">
      <c r="A181" s="64" t="n"/>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ht="15.95" customHeight="1">
      <c r="A199" s="59" t="n"/>
      <c r="B199" s="60" t="n"/>
      <c r="C199" s="60" t="n"/>
      <c r="D199" s="60" t="n"/>
      <c r="E199" s="60" t="n"/>
      <c r="F199" s="60" t="n"/>
      <c r="G199" s="60" t="n"/>
      <c r="H199" s="60" t="n"/>
      <c r="I199" s="61" t="n"/>
    </row>
    <row r="200">
      <c r="A200" s="64" t="n"/>
      <c r="I200" s="65" t="n"/>
    </row>
    <row r="201">
      <c r="A201" s="64" t="n"/>
      <c r="I201" s="65" t="n"/>
    </row>
    <row r="202">
      <c r="A202" s="64" t="n"/>
      <c r="I202" s="65" t="n"/>
    </row>
    <row r="203">
      <c r="A203" s="64" t="n"/>
      <c r="I203" s="65" t="n"/>
    </row>
    <row r="204">
      <c r="A204" s="64" t="n"/>
      <c r="I204" s="65" t="n"/>
    </row>
    <row r="205">
      <c r="A205" s="64" t="n"/>
      <c r="I205" s="65" t="n"/>
    </row>
    <row r="206" ht="15.95" customHeight="1">
      <c r="A206" s="59" t="n"/>
      <c r="B206" s="60" t="n"/>
      <c r="C206" s="60" t="n"/>
      <c r="D206" s="60" t="n"/>
      <c r="E206" s="60" t="n"/>
      <c r="F206" s="60" t="n"/>
      <c r="G206" s="60" t="n"/>
      <c r="H206" s="60" t="n"/>
      <c r="I206" s="61" t="n"/>
    </row>
  </sheetData>
  <mergeCells count="40">
    <mergeCell ref="A48:B48"/>
    <mergeCell ref="A65:I65"/>
    <mergeCell ref="C61:I61"/>
    <mergeCell ref="B47:C47"/>
    <mergeCell ref="D13:F13"/>
    <mergeCell ref="A54:I54"/>
    <mergeCell ref="G13:I13"/>
    <mergeCell ref="B8:D8"/>
    <mergeCell ref="A66:I66"/>
    <mergeCell ref="B46:C46"/>
    <mergeCell ref="B59:I59"/>
    <mergeCell ref="D48:I48"/>
    <mergeCell ref="A12:I12"/>
    <mergeCell ref="C57:I57"/>
    <mergeCell ref="D47:I47"/>
    <mergeCell ref="B56:I56"/>
    <mergeCell ref="A5:I5"/>
    <mergeCell ref="B9:D9"/>
    <mergeCell ref="C62:I62"/>
    <mergeCell ref="B6:D6"/>
    <mergeCell ref="C58:I58"/>
    <mergeCell ref="A13:C13"/>
    <mergeCell ref="A68:I68"/>
    <mergeCell ref="A10:I10"/>
    <mergeCell ref="C64:I64"/>
    <mergeCell ref="A1:I4"/>
    <mergeCell ref="A67:I67"/>
    <mergeCell ref="B7:D7"/>
    <mergeCell ref="C63:I63"/>
    <mergeCell ref="A50:I53"/>
    <mergeCell ref="A73:I73"/>
    <mergeCell ref="A49:I49"/>
    <mergeCell ref="A11:I11"/>
    <mergeCell ref="B55:I55"/>
    <mergeCell ref="A145:D145"/>
    <mergeCell ref="A60:I60"/>
    <mergeCell ref="D46:I46"/>
    <mergeCell ref="B45:C45"/>
    <mergeCell ref="D45:I45"/>
    <mergeCell ref="E145:I145"/>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2" min="0" max="8" man="1"/>
  </rowBreaks>
</worksheet>
</file>

<file path=xl/worksheets/sheet30.xml><?xml version="1.0" encoding="utf-8"?>
<worksheet xmlns="http://schemas.openxmlformats.org/spreadsheetml/2006/main">
  <sheetPr>
    <outlinePr summaryBelow="1" summaryRight="1"/>
    <pageSetUpPr fitToPage="1"/>
  </sheetPr>
  <dimension ref="A1:J207"/>
  <sheetViews>
    <sheetView view="pageBreakPreview" zoomScale="40" zoomScaleNormal="55" zoomScaleSheetLayoutView="40" workbookViewId="0">
      <selection activeCell="K95" sqref="K95"/>
    </sheetView>
  </sheetViews>
  <sheetFormatPr baseColWidth="8" defaultColWidth="9.140625" defaultRowHeight="14.4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45903</v>
      </c>
    </row>
    <row r="7" ht="23.1" customHeight="1">
      <c r="A7" s="82" t="inlineStr">
        <is>
          <t>Project Location:</t>
        </is>
      </c>
      <c r="B7" s="267" t="inlineStr">
        <is>
          <t>Geraldton</t>
        </is>
      </c>
      <c r="E7" s="267" t="n"/>
      <c r="F7" s="84" t="n"/>
      <c r="G7" s="84" t="n"/>
      <c r="H7" s="87" t="inlineStr">
        <is>
          <t>Day:</t>
        </is>
      </c>
      <c r="I7" s="88" t="inlineStr">
        <is>
          <t>Wednesday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94</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22 degrees  Wind:  25km/h E Precip: 0 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11</v>
      </c>
      <c r="G15" s="100" t="inlineStr">
        <is>
          <t>Khegan Brockman</t>
        </is>
      </c>
      <c r="H15" s="97" t="inlineStr">
        <is>
          <t>Labourer</t>
        </is>
      </c>
      <c r="I15" s="101" t="n">
        <v>10</v>
      </c>
    </row>
    <row r="16" ht="23.1" customHeight="1">
      <c r="A16" s="96" t="inlineStr">
        <is>
          <t>GRIFFITHS, Daniel</t>
        </is>
      </c>
      <c r="B16" s="97" t="inlineStr">
        <is>
          <t>Project Manager</t>
        </is>
      </c>
      <c r="C16" s="102" t="n">
        <v>11.5</v>
      </c>
      <c r="D16" s="100" t="inlineStr">
        <is>
          <t>Hanly,Thomas</t>
        </is>
      </c>
      <c r="E16" s="97" t="inlineStr">
        <is>
          <t>Operator</t>
        </is>
      </c>
      <c r="F16" s="97" t="n">
        <v>11</v>
      </c>
      <c r="G16" s="100" t="inlineStr">
        <is>
          <t>Daniel McAuffile</t>
        </is>
      </c>
      <c r="H16" s="97" t="inlineStr">
        <is>
          <t>Operator</t>
        </is>
      </c>
      <c r="I16" s="101" t="n">
        <v>10</v>
      </c>
    </row>
    <row r="17" ht="23.1" customHeight="1">
      <c r="A17" s="96" t="inlineStr">
        <is>
          <t>O"SHEA, John</t>
        </is>
      </c>
      <c r="B17" s="97" t="inlineStr">
        <is>
          <t>Senior Project Engineer</t>
        </is>
      </c>
      <c r="C17" s="102" t="n"/>
      <c r="D17" s="103" t="n"/>
      <c r="E17" s="103" t="n"/>
      <c r="F17" s="97" t="n"/>
      <c r="G17" s="100" t="inlineStr">
        <is>
          <t>Jachai Griffiths</t>
        </is>
      </c>
      <c r="H17" s="97" t="inlineStr">
        <is>
          <t>Operator</t>
        </is>
      </c>
      <c r="I17" s="101" t="n"/>
    </row>
    <row r="18" ht="23.1" customHeight="1">
      <c r="A18" s="96" t="inlineStr">
        <is>
          <t>GRIFFITHS, Ashley</t>
        </is>
      </c>
      <c r="B18" s="97" t="inlineStr">
        <is>
          <t>Supervisor</t>
        </is>
      </c>
      <c r="C18" s="102" t="n"/>
      <c r="D18" s="99" t="n"/>
      <c r="E18" s="99" t="n"/>
      <c r="F18" s="97" t="n"/>
      <c r="G18" s="100" t="inlineStr">
        <is>
          <t>O'Brian, Jamie</t>
        </is>
      </c>
      <c r="H18" s="97" t="inlineStr">
        <is>
          <t>Operator</t>
        </is>
      </c>
      <c r="I18" s="101" t="n">
        <v>10</v>
      </c>
    </row>
    <row r="19" ht="23.1" customHeight="1">
      <c r="A19" s="96" t="inlineStr">
        <is>
          <t>LOW, June</t>
        </is>
      </c>
      <c r="B19" s="97" t="inlineStr">
        <is>
          <t>HSET</t>
        </is>
      </c>
      <c r="C19" s="102" t="n"/>
      <c r="D19" s="99" t="n"/>
      <c r="E19" s="99" t="n"/>
      <c r="F19" s="97" t="n"/>
      <c r="G19" s="100" t="inlineStr">
        <is>
          <t>O'Reilly,James</t>
        </is>
      </c>
      <c r="H19" s="97" t="inlineStr">
        <is>
          <t>Operator</t>
        </is>
      </c>
      <c r="I19" s="101" t="n"/>
    </row>
    <row r="20" ht="23.1" customHeight="1">
      <c r="A20" s="96" t="inlineStr">
        <is>
          <t>SKINNER,Jamie</t>
        </is>
      </c>
      <c r="B20" s="97" t="inlineStr">
        <is>
          <t>Supervisor</t>
        </is>
      </c>
      <c r="C20" s="102" t="n">
        <v>11.5</v>
      </c>
      <c r="D20" s="99" t="n"/>
      <c r="E20" s="99" t="n"/>
      <c r="F20" s="97" t="n"/>
      <c r="G20" s="100" t="inlineStr">
        <is>
          <t>Dixon, Warren</t>
        </is>
      </c>
      <c r="H20" s="97" t="inlineStr">
        <is>
          <t>Irrigation Installer</t>
        </is>
      </c>
      <c r="I20" s="101" t="n"/>
    </row>
    <row r="21" ht="23.1" customHeight="1">
      <c r="A21" s="96" t="n"/>
      <c r="B21" s="97" t="n"/>
      <c r="C21" s="102" t="n"/>
      <c r="D21" s="99" t="n"/>
      <c r="E21" s="99" t="n"/>
      <c r="F21" s="97" t="n"/>
      <c r="G21" s="100" t="inlineStr">
        <is>
          <t>Mosley,Joshua</t>
        </is>
      </c>
      <c r="H21" s="97" t="inlineStr">
        <is>
          <t>Surveyor</t>
        </is>
      </c>
      <c r="I21" s="101" t="n"/>
    </row>
    <row r="22" ht="23.1" customHeight="1">
      <c r="A22" s="96" t="n"/>
      <c r="B22" s="97" t="n"/>
      <c r="C22" s="102" t="n"/>
      <c r="D22" s="99" t="n"/>
      <c r="E22" s="99" t="n"/>
      <c r="F22" s="97" t="n"/>
      <c r="G22" s="100" t="n"/>
      <c r="H22" s="97" t="n"/>
      <c r="I22" s="101" t="n"/>
    </row>
    <row r="23" ht="23.1" customHeight="1">
      <c r="A23" s="96" t="n"/>
      <c r="B23" s="97" t="n"/>
      <c r="C23" s="102" t="n"/>
      <c r="D23" s="99" t="n"/>
      <c r="E23" s="99" t="n"/>
      <c r="F23" s="97" t="n"/>
      <c r="G23" s="100" t="n"/>
      <c r="H23" s="97" t="n"/>
      <c r="I23" s="101" t="n"/>
    </row>
    <row r="24" ht="23.1" customHeight="1">
      <c r="A24" s="96" t="n"/>
      <c r="B24" s="97" t="n"/>
      <c r="C24" s="102" t="n"/>
      <c r="D24" s="99" t="n"/>
      <c r="E24" s="99" t="n"/>
      <c r="F24" s="97" t="n"/>
      <c r="G24" s="100" t="n"/>
      <c r="H24" s="97" t="n"/>
      <c r="I24" s="101" t="n"/>
    </row>
    <row r="25" ht="23.1" customHeight="1">
      <c r="A25" s="96" t="n"/>
      <c r="B25" s="97" t="n"/>
      <c r="C25" s="102" t="n"/>
      <c r="D25" s="99" t="n"/>
      <c r="E25" s="99" t="n"/>
      <c r="F25" s="97" t="n"/>
      <c r="G25" s="151" t="n"/>
      <c r="H25" s="151" t="n"/>
      <c r="I25" s="107" t="n"/>
    </row>
    <row r="26" ht="23.1" customHeight="1">
      <c r="A26" s="255" t="inlineStr">
        <is>
          <t xml:space="preserve">Total Indirect Personnel onsite: </t>
        </is>
      </c>
      <c r="B26" s="105">
        <f>COUNT(C15:C26)</f>
        <v/>
      </c>
      <c r="C26" s="99" t="n"/>
      <c r="D26" s="99" t="n"/>
      <c r="E26" s="99" t="n"/>
      <c r="F26" s="97" t="n"/>
      <c r="G26" s="152" t="n"/>
      <c r="H26" s="151" t="n"/>
      <c r="I26" s="101" t="n"/>
    </row>
    <row r="27" ht="23.1" customHeight="1">
      <c r="A27" s="255" t="inlineStr">
        <is>
          <t xml:space="preserve">Total Indirect Personnel hours: </t>
        </is>
      </c>
      <c r="B27" s="105">
        <f>SUM(C15:C25)</f>
        <v/>
      </c>
      <c r="C27" s="102" t="n"/>
      <c r="D27" s="99" t="n"/>
      <c r="E27" s="99" t="n"/>
      <c r="F27" s="97" t="n"/>
      <c r="G27" s="106" t="inlineStr">
        <is>
          <t>Total Subcontractor on-site:</t>
        </is>
      </c>
      <c r="H27" s="107">
        <f>COUNT(I15:I25)</f>
        <v/>
      </c>
      <c r="I27" s="101" t="n"/>
    </row>
    <row r="28" ht="23.1" customHeight="1">
      <c r="A28" s="255" t="inlineStr">
        <is>
          <t xml:space="preserve">Total Direct Personnel onsite:  </t>
        </is>
      </c>
      <c r="B28" s="105">
        <f>COUNTIF(F15:F29,"&gt;0")</f>
        <v/>
      </c>
      <c r="C28" s="105" t="n"/>
      <c r="D28" s="99" t="n"/>
      <c r="E28" s="99" t="n"/>
      <c r="F28" s="108" t="n"/>
      <c r="G28" s="106" t="inlineStr">
        <is>
          <t>Total Subcontractor hours:</t>
        </is>
      </c>
      <c r="H28" s="107">
        <f>SUM(I15:I25)</f>
        <v/>
      </c>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Hilux</t>
        </is>
      </c>
      <c r="E33" s="102" t="inlineStr">
        <is>
          <t>1DAH:400</t>
        </is>
      </c>
      <c r="F33" s="102" t="n">
        <v>1</v>
      </c>
      <c r="G33" s="102" t="inlineStr">
        <is>
          <t>Sea Container 20ft</t>
        </is>
      </c>
      <c r="H33" s="97" t="n">
        <v>951200</v>
      </c>
      <c r="I33" s="101" t="n">
        <v>1</v>
      </c>
    </row>
    <row r="34" ht="23.1" customHeight="1">
      <c r="A34" s="115" t="inlineStr">
        <is>
          <t>Watercart</t>
        </is>
      </c>
      <c r="B34" s="102" t="inlineStr">
        <is>
          <t>WC04</t>
        </is>
      </c>
      <c r="C34" s="97" t="n">
        <v>10</v>
      </c>
      <c r="D34" s="102" t="n"/>
      <c r="E34" s="97" t="n"/>
      <c r="F34" s="102" t="n"/>
      <c r="G34" s="102" t="inlineStr">
        <is>
          <t>Site Sentry Tower</t>
        </is>
      </c>
      <c r="H34" s="102" t="n"/>
      <c r="I34" s="101" t="n">
        <v>2</v>
      </c>
    </row>
    <row r="35" ht="23.1" customHeight="1">
      <c r="A35" s="115" t="inlineStr">
        <is>
          <t>8T Excavator</t>
        </is>
      </c>
      <c r="B35" s="116" t="inlineStr">
        <is>
          <t>AMG 014</t>
        </is>
      </c>
      <c r="C35" s="97" t="n"/>
      <c r="D35" s="102" t="n"/>
      <c r="E35" s="102" t="n"/>
      <c r="F35" s="102" t="n"/>
      <c r="G35" s="102" t="inlineStr">
        <is>
          <t>Skip Bin</t>
        </is>
      </c>
      <c r="H35" s="102" t="n"/>
      <c r="I35" s="101" t="n">
        <v>1</v>
      </c>
    </row>
    <row r="36" ht="23.1" customHeight="1">
      <c r="A36" s="102" t="inlineStr">
        <is>
          <t>Mini Tipper</t>
        </is>
      </c>
      <c r="B36" s="102" t="inlineStr">
        <is>
          <t>SLS05</t>
        </is>
      </c>
      <c r="C36" s="102" t="n"/>
      <c r="D36" s="102" t="n"/>
      <c r="E36" s="102" t="n"/>
      <c r="F36" s="102" t="n"/>
      <c r="G36" s="102" t="inlineStr">
        <is>
          <t>Hydrocarbon Bund</t>
        </is>
      </c>
      <c r="H36" s="102" t="n"/>
      <c r="I36" s="101" t="n">
        <v>1</v>
      </c>
    </row>
    <row r="37" ht="23.1" customHeight="1">
      <c r="A37" s="150" t="inlineStr">
        <is>
          <t>1 t Excavator</t>
        </is>
      </c>
      <c r="B37" s="102" t="inlineStr">
        <is>
          <t>SLS03</t>
        </is>
      </c>
      <c r="C37" s="102" t="n"/>
      <c r="D37" s="102" t="n"/>
      <c r="E37" s="102" t="n"/>
      <c r="F37" s="102" t="n"/>
      <c r="G37" s="102" t="inlineStr">
        <is>
          <t>Temp Fence</t>
        </is>
      </c>
      <c r="H37" s="97" t="n"/>
      <c r="I37" s="101" t="n">
        <v>1</v>
      </c>
    </row>
    <row r="38" ht="24" customHeight="1">
      <c r="A38" s="150" t="inlineStr">
        <is>
          <t>14t Excavator with GPS</t>
        </is>
      </c>
      <c r="B38" s="102" t="n"/>
      <c r="C38" s="102" t="n"/>
      <c r="D38" s="102" t="n"/>
      <c r="E38" s="102" t="n"/>
      <c r="F38" s="102" t="n"/>
      <c r="G38" s="31" t="n"/>
      <c r="H38" s="31" t="n"/>
      <c r="I38" s="32" t="n"/>
    </row>
    <row r="39" ht="24" customHeight="1">
      <c r="A39" s="150" t="inlineStr">
        <is>
          <t>5t Excavator</t>
        </is>
      </c>
      <c r="B39" s="102" t="inlineStr">
        <is>
          <t>A118</t>
        </is>
      </c>
      <c r="C39" s="102" t="n"/>
      <c r="D39" s="102" t="n"/>
      <c r="E39" s="102" t="n"/>
      <c r="F39" s="102" t="n"/>
      <c r="G39" s="31" t="n"/>
      <c r="H39" s="31" t="n"/>
      <c r="I39" s="32" t="n"/>
    </row>
    <row r="40" ht="24" customHeight="1">
      <c r="A40" s="115" t="inlineStr">
        <is>
          <t>Padfoot/ Smooth Drum Roller</t>
        </is>
      </c>
      <c r="B40" s="102" t="inlineStr">
        <is>
          <t>RR 03</t>
        </is>
      </c>
      <c r="C40" s="97" t="n">
        <v>5</v>
      </c>
      <c r="D40" s="102" t="n"/>
      <c r="E40" s="102" t="n"/>
      <c r="F40" s="102" t="n"/>
      <c r="G40" s="31" t="n"/>
      <c r="H40" s="31" t="n"/>
      <c r="I40" s="32" t="n"/>
    </row>
    <row r="41" ht="24" customHeight="1">
      <c r="A41" s="115" t="inlineStr">
        <is>
          <t>Multi Roller</t>
        </is>
      </c>
      <c r="B41" s="102" t="n">
        <v>256</v>
      </c>
      <c r="C41" s="97" t="n">
        <v>5</v>
      </c>
      <c r="D41" s="102" t="n"/>
      <c r="E41" s="102" t="n"/>
      <c r="F41" s="102" t="n"/>
      <c r="G41" s="31" t="n"/>
      <c r="H41" s="31" t="n"/>
      <c r="I41" s="32" t="n"/>
    </row>
    <row r="42" ht="24" customHeight="1">
      <c r="A42" s="115" t="inlineStr">
        <is>
          <t>Positrak SSL</t>
        </is>
      </c>
      <c r="B42" s="102" t="inlineStr">
        <is>
          <t>SSL08</t>
        </is>
      </c>
      <c r="C42" s="97" t="n">
        <v>5</v>
      </c>
      <c r="D42" s="102" t="n"/>
      <c r="E42" s="102" t="n"/>
      <c r="F42" s="102" t="n"/>
      <c r="G42" s="31" t="n"/>
      <c r="H42" s="31" t="n"/>
      <c r="I42" s="32" t="n"/>
    </row>
    <row r="43" ht="24" customHeight="1">
      <c r="A43" s="115" t="inlineStr">
        <is>
          <t>Grader</t>
        </is>
      </c>
      <c r="B43" s="102" t="inlineStr">
        <is>
          <t>SLS01</t>
        </is>
      </c>
      <c r="C43" s="97" t="n">
        <v>9</v>
      </c>
      <c r="D43" s="102" t="n"/>
      <c r="E43" s="102" t="n"/>
      <c r="F43" s="102" t="n"/>
      <c r="G43" s="31" t="n"/>
      <c r="H43" s="31" t="n"/>
      <c r="I43" s="32" t="n"/>
    </row>
    <row r="44" ht="24" customHeight="1">
      <c r="A44" s="115" t="n"/>
      <c r="B44" s="102" t="n"/>
      <c r="C44" s="97" t="n"/>
      <c r="D44" s="31" t="n"/>
      <c r="E44" s="31" t="n"/>
      <c r="F44" s="31" t="n"/>
      <c r="G44" s="31" t="n"/>
      <c r="H44" s="31" t="n"/>
      <c r="I44" s="32" t="n"/>
    </row>
    <row r="45" ht="18" customHeight="1">
      <c r="A45" s="117" t="n">
        <v>0</v>
      </c>
      <c r="B45" s="260" t="inlineStr">
        <is>
          <t xml:space="preserve">Repairs Required </t>
        </is>
      </c>
      <c r="C45" s="276" t="n"/>
      <c r="D45" s="249" t="inlineStr">
        <is>
          <t>N/A</t>
        </is>
      </c>
      <c r="E45" s="275" t="n"/>
      <c r="F45" s="275" t="n"/>
      <c r="G45" s="275" t="n"/>
      <c r="H45" s="275" t="n"/>
      <c r="I45" s="277" t="n"/>
    </row>
    <row r="46" ht="18" customHeight="1">
      <c r="A46" s="118" t="n">
        <v>0</v>
      </c>
      <c r="B46" s="260" t="inlineStr">
        <is>
          <t>Scheduled Service</t>
        </is>
      </c>
      <c r="C46" s="276" t="n"/>
      <c r="D46" s="249" t="inlineStr">
        <is>
          <t>N/A</t>
        </is>
      </c>
      <c r="E46" s="275" t="n"/>
      <c r="F46" s="275" t="n"/>
      <c r="G46" s="275" t="n"/>
      <c r="H46" s="275" t="n"/>
      <c r="I46" s="277" t="n"/>
    </row>
    <row r="47" ht="18" customHeight="1">
      <c r="A47" s="119" t="n">
        <v>0</v>
      </c>
      <c r="B47" s="260" t="n"/>
      <c r="C47" s="276" t="n"/>
      <c r="D47" s="249" t="inlineStr">
        <is>
          <t>N/A</t>
        </is>
      </c>
      <c r="E47" s="275" t="n"/>
      <c r="F47" s="275" t="n"/>
      <c r="G47" s="275" t="n"/>
      <c r="H47" s="275" t="n"/>
      <c r="I47" s="277" t="n"/>
    </row>
    <row r="48" ht="23.1" customHeight="1">
      <c r="A48" s="255" t="inlineStr">
        <is>
          <t xml:space="preserve">Total Plant and Equipment Hours: </t>
        </is>
      </c>
      <c r="B48" s="276" t="n"/>
      <c r="C48" s="120">
        <f>SUM(C32:C44)</f>
        <v/>
      </c>
      <c r="D48" s="256" t="n"/>
      <c r="E48" s="275" t="n"/>
      <c r="F48" s="275" t="n"/>
      <c r="G48" s="275" t="n"/>
      <c r="H48" s="275" t="n"/>
      <c r="I48" s="277" t="n"/>
    </row>
    <row r="49" ht="24.95" customHeight="1">
      <c r="A49" s="245" t="inlineStr">
        <is>
          <t>DELAYS-OPPORTUNITY</t>
        </is>
      </c>
      <c r="B49" s="275" t="n"/>
      <c r="C49" s="275" t="n"/>
      <c r="D49" s="275" t="n"/>
      <c r="E49" s="275" t="n"/>
      <c r="F49" s="275" t="n"/>
      <c r="G49" s="275" t="n"/>
      <c r="H49" s="275" t="n"/>
      <c r="I49" s="277" t="n"/>
    </row>
    <row r="50" ht="20.1" customHeight="1">
      <c r="A50" s="121" t="n"/>
      <c r="B50" s="122" t="n"/>
      <c r="C50" s="122" t="n"/>
      <c r="D50" s="122" t="n"/>
      <c r="E50" s="122" t="n"/>
      <c r="F50" s="122" t="n"/>
      <c r="G50" s="122" t="n"/>
      <c r="H50" s="122" t="n"/>
      <c r="I50" s="123" t="n"/>
    </row>
    <row r="51" ht="15" customHeight="1">
      <c r="A51" s="244" t="inlineStr">
        <is>
          <t>Awaiting COGG confirmation on detail of Centrelink Carpark                             
Awaiting Kerbing Plan being Amended by TCD
Awaiting Direction on Service Clash Forrest Street
Awaiting Confirmation on Batters Treatment 
Awaiting finalised fencing details
Awaiting COGG confirmation on "Ballast Pile"
Instructions Provided for Laneway Sewer, Drainage and Light Pole Removal</t>
        </is>
      </c>
      <c r="B51" s="278" t="n"/>
      <c r="C51" s="278" t="n"/>
      <c r="D51" s="278" t="n"/>
      <c r="E51" s="278" t="n"/>
      <c r="F51" s="278" t="n"/>
      <c r="G51" s="278" t="n"/>
      <c r="H51" s="278" t="n"/>
      <c r="I51" s="279" t="n"/>
    </row>
    <row r="52">
      <c r="A52" s="270" t="n"/>
      <c r="I52" s="271" t="n"/>
    </row>
    <row r="53" ht="49.5" customHeight="1">
      <c r="A53" s="270" t="n"/>
      <c r="I53" s="271" t="n"/>
    </row>
    <row r="54" ht="80.09999999999999" customHeight="1">
      <c r="A54" s="280" t="n"/>
      <c r="B54" s="281" t="n"/>
      <c r="C54" s="281" t="n"/>
      <c r="D54" s="281" t="n"/>
      <c r="E54" s="281" t="n"/>
      <c r="F54" s="281" t="n"/>
      <c r="G54" s="281" t="n"/>
      <c r="H54" s="281" t="n"/>
      <c r="I54" s="282" t="n"/>
    </row>
    <row r="55" ht="24.95" customHeight="1">
      <c r="A55" s="252" t="inlineStr">
        <is>
          <t>HSEQ MESSAGES</t>
        </is>
      </c>
      <c r="B55" s="283" t="n"/>
      <c r="C55" s="283" t="n"/>
      <c r="D55" s="283" t="n"/>
      <c r="E55" s="283" t="n"/>
      <c r="F55" s="283" t="n"/>
      <c r="G55" s="283" t="n"/>
      <c r="H55" s="283" t="n"/>
      <c r="I55" s="284" t="n"/>
    </row>
    <row r="56" ht="18" customHeight="1">
      <c r="A56" s="124" t="inlineStr">
        <is>
          <t>TCD - Monthly Safety Focus:</t>
        </is>
      </c>
      <c r="B56" s="257" t="inlineStr">
        <is>
          <t>Return to Work</t>
        </is>
      </c>
      <c r="C56" s="275" t="n"/>
      <c r="D56" s="275" t="n"/>
      <c r="E56" s="275" t="n"/>
      <c r="F56" s="275" t="n"/>
      <c r="G56" s="275" t="n"/>
      <c r="H56" s="275" t="n"/>
      <c r="I56" s="276" t="n"/>
    </row>
    <row r="57" ht="24" customHeight="1">
      <c r="A57" s="124" t="inlineStr">
        <is>
          <t>TCD - Daily Safety Focus:</t>
        </is>
      </c>
      <c r="B57" s="258" t="inlineStr">
        <is>
          <t>Pre-starts</t>
        </is>
      </c>
      <c r="C57" s="275" t="n"/>
      <c r="D57" s="275" t="n"/>
      <c r="E57" s="275" t="n"/>
      <c r="F57" s="275" t="n"/>
      <c r="G57" s="275" t="n"/>
      <c r="H57" s="275" t="n"/>
      <c r="I57" s="277" t="n"/>
    </row>
    <row r="58" ht="18" customHeight="1">
      <c r="A58" s="125" t="inlineStr">
        <is>
          <t xml:space="preserve">Hazards Reported: </t>
        </is>
      </c>
      <c r="B58" s="126" t="inlineStr">
        <is>
          <t>Nil</t>
        </is>
      </c>
      <c r="C58" s="258" t="n"/>
      <c r="D58" s="275" t="n"/>
      <c r="E58" s="275" t="n"/>
      <c r="F58" s="275" t="n"/>
      <c r="G58" s="275" t="n"/>
      <c r="H58" s="275" t="n"/>
      <c r="I58" s="277" t="n"/>
    </row>
    <row r="59" ht="18" customHeight="1">
      <c r="A59" s="125" t="inlineStr">
        <is>
          <t>Incident Free Days</t>
        </is>
      </c>
      <c r="B59" s="126" t="n">
        <v>11</v>
      </c>
      <c r="C59" s="257" t="n"/>
      <c r="D59" s="275" t="n"/>
      <c r="E59" s="275" t="n"/>
      <c r="F59" s="275" t="n"/>
      <c r="G59" s="275" t="n"/>
      <c r="H59" s="275" t="n"/>
      <c r="I59" s="276" t="n"/>
    </row>
    <row r="60" ht="18" customHeight="1">
      <c r="A60" s="127" t="inlineStr">
        <is>
          <t>Other Notes</t>
        </is>
      </c>
      <c r="B60" s="259" t="n"/>
      <c r="C60" s="278" t="n"/>
      <c r="D60" s="278" t="n"/>
      <c r="E60" s="278" t="n"/>
      <c r="F60" s="278" t="n"/>
      <c r="G60" s="278" t="n"/>
      <c r="H60" s="278" t="n"/>
      <c r="I60" s="279" t="n"/>
    </row>
    <row r="61" ht="20.25" customHeight="1">
      <c r="A61" s="245" t="inlineStr">
        <is>
          <t xml:space="preserve">INCIDENTS &amp; REPORTS </t>
        </is>
      </c>
      <c r="B61" s="275" t="n"/>
      <c r="C61" s="275" t="n"/>
      <c r="D61" s="275" t="n"/>
      <c r="E61" s="275" t="n"/>
      <c r="F61" s="275" t="n"/>
      <c r="G61" s="275" t="n"/>
      <c r="H61" s="275" t="n"/>
      <c r="I61" s="277" t="n"/>
    </row>
    <row r="62" ht="24.95" customHeight="1">
      <c r="A62" s="128" t="n"/>
      <c r="B62" s="263" t="inlineStr">
        <is>
          <t>QTY</t>
        </is>
      </c>
      <c r="C62" s="254" t="inlineStr">
        <is>
          <t>Comments</t>
        </is>
      </c>
      <c r="D62" s="275" t="n"/>
      <c r="E62" s="275" t="n"/>
      <c r="F62" s="275" t="n"/>
      <c r="G62" s="275" t="n"/>
      <c r="H62" s="275" t="n"/>
      <c r="I62" s="277" t="n"/>
    </row>
    <row r="63" ht="24.95" customHeight="1">
      <c r="A63" s="129" t="inlineStr">
        <is>
          <t>INCIDENT</t>
        </is>
      </c>
      <c r="B63" s="263" t="n">
        <v>0</v>
      </c>
      <c r="C63" s="249" t="inlineStr">
        <is>
          <t>NA</t>
        </is>
      </c>
      <c r="D63" s="275" t="n"/>
      <c r="E63" s="275" t="n"/>
      <c r="F63" s="275" t="n"/>
      <c r="G63" s="275" t="n"/>
      <c r="H63" s="275" t="n"/>
      <c r="I63" s="277" t="n"/>
    </row>
    <row r="64" ht="24.95" customHeight="1">
      <c r="A64" s="130" t="inlineStr">
        <is>
          <t>IR</t>
        </is>
      </c>
      <c r="B64" s="131" t="n">
        <v>0</v>
      </c>
      <c r="C64" s="250" t="inlineStr">
        <is>
          <t>NA</t>
        </is>
      </c>
      <c r="D64" s="278" t="n"/>
      <c r="E64" s="278" t="n"/>
      <c r="F64" s="278" t="n"/>
      <c r="G64" s="278" t="n"/>
      <c r="H64" s="278" t="n"/>
      <c r="I64" s="279" t="n"/>
    </row>
    <row r="65" ht="24.95" customHeight="1">
      <c r="A65" s="132" t="inlineStr">
        <is>
          <t>NCR</t>
        </is>
      </c>
      <c r="B65" s="133" t="n">
        <v>0</v>
      </c>
      <c r="C65" s="251" t="inlineStr">
        <is>
          <t>NA</t>
        </is>
      </c>
      <c r="D65" s="285" t="n"/>
      <c r="E65" s="285" t="n"/>
      <c r="F65" s="285" t="n"/>
      <c r="G65" s="285" t="n"/>
      <c r="H65" s="285" t="n"/>
      <c r="I65" s="286" t="n"/>
    </row>
    <row r="66" ht="20.25" customHeight="1">
      <c r="A66" s="252" t="inlineStr">
        <is>
          <t>COMMUNICATIONS</t>
        </is>
      </c>
      <c r="B66" s="283" t="n"/>
      <c r="C66" s="283" t="n"/>
      <c r="D66" s="283" t="n"/>
      <c r="E66" s="283" t="n"/>
      <c r="F66" s="283" t="n"/>
      <c r="G66" s="283" t="n"/>
      <c r="H66" s="283" t="n"/>
      <c r="I66" s="284" t="n"/>
    </row>
    <row r="67" ht="24.95" customHeight="1">
      <c r="A67" s="253" t="inlineStr">
        <is>
          <t>TGS MB1119-05 Scheme D impletmented</t>
        </is>
      </c>
      <c r="B67" s="275" t="n"/>
      <c r="C67" s="275" t="n"/>
      <c r="D67" s="275" t="n"/>
      <c r="E67" s="275" t="n"/>
      <c r="F67" s="275" t="n"/>
      <c r="G67" s="275" t="n"/>
      <c r="H67" s="275" t="n"/>
      <c r="I67" s="277" t="n"/>
    </row>
    <row r="68" ht="24.95" customHeight="1">
      <c r="A68" s="253" t="n"/>
      <c r="B68" s="275" t="n"/>
      <c r="C68" s="275" t="n"/>
      <c r="D68" s="275" t="n"/>
      <c r="E68" s="275" t="n"/>
      <c r="F68" s="275" t="n"/>
      <c r="G68" s="275" t="n"/>
      <c r="H68" s="275" t="n"/>
      <c r="I68" s="277" t="n"/>
    </row>
    <row r="69" ht="24.95" customHeight="1">
      <c r="A69" s="245" t="inlineStr">
        <is>
          <t>PRODUCTION (CONSTRUCTION STATUS &amp; PROGRESS)</t>
        </is>
      </c>
      <c r="B69" s="275" t="n"/>
      <c r="C69" s="275" t="n"/>
      <c r="D69" s="275" t="n"/>
      <c r="E69" s="275" t="n"/>
      <c r="F69" s="275" t="n"/>
      <c r="G69" s="275" t="n"/>
      <c r="H69" s="275" t="n"/>
      <c r="I69" s="277" t="n"/>
    </row>
    <row r="70" ht="24.95" customHeight="1">
      <c r="A70" s="134" t="inlineStr">
        <is>
          <t>.Irragation garden bed trenching@East side Lot-106 heading South</t>
        </is>
      </c>
      <c r="B70" s="135" t="n"/>
      <c r="C70" s="79" t="n"/>
      <c r="D70" s="79" t="inlineStr">
        <is>
          <t xml:space="preserve">.Survey Ascon of entire road surface </t>
        </is>
      </c>
      <c r="E70" s="79" t="n"/>
      <c r="F70" s="135" t="n"/>
      <c r="G70" s="135" t="n"/>
      <c r="H70" s="135" t="n"/>
      <c r="I70" s="136" t="n"/>
    </row>
    <row r="71" ht="24.95" customHeight="1">
      <c r="A71" s="134" t="inlineStr">
        <is>
          <t>.Installation of x2 25mm and x2 50mm sleeves into garden beds</t>
        </is>
      </c>
      <c r="B71" s="135" t="n"/>
      <c r="C71" s="79" t="n"/>
      <c r="D71" s="79" t="n"/>
      <c r="E71" s="135" t="n"/>
      <c r="F71" s="135" t="n"/>
      <c r="G71" s="135" t="n"/>
      <c r="H71" s="135" t="n"/>
      <c r="I71" s="136" t="n"/>
    </row>
    <row r="72" ht="24.95" customHeight="1">
      <c r="A72" s="134" t="inlineStr">
        <is>
          <t>.Irragation garden bed backfilling @Lot-106 heading south</t>
        </is>
      </c>
      <c r="B72" s="135" t="n"/>
      <c r="C72" s="79" t="n"/>
      <c r="D72" s="135" t="n"/>
      <c r="E72" s="135" t="n"/>
      <c r="F72" s="135" t="n"/>
      <c r="G72" s="135" t="n"/>
      <c r="H72" s="135" t="n"/>
      <c r="I72" s="136" t="n"/>
    </row>
    <row r="73" ht="24.95" customHeight="1">
      <c r="A73" s="134" t="inlineStr">
        <is>
          <t>.Final trimming/Balancing @Lot 106-Chambers Way-Forrest</t>
        </is>
      </c>
      <c r="B73" s="135" t="n"/>
      <c r="C73" s="79" t="n"/>
      <c r="D73" s="135" t="n"/>
      <c r="E73" s="135" t="n"/>
      <c r="F73" s="135" t="n"/>
      <c r="G73" s="135" t="n"/>
      <c r="H73" s="135" t="n"/>
      <c r="I73" s="136" t="n"/>
    </row>
    <row r="74" ht="26.1" customHeight="1">
      <c r="A74" s="246" t="inlineStr">
        <is>
          <t>Photos</t>
        </is>
      </c>
      <c r="B74" s="278" t="n"/>
      <c r="C74" s="278" t="n"/>
      <c r="D74" s="278" t="n"/>
      <c r="E74" s="278" t="n"/>
      <c r="F74" s="278" t="n"/>
      <c r="G74" s="278" t="n"/>
      <c r="H74" s="278" t="n"/>
      <c r="I74" s="279" t="n"/>
    </row>
    <row r="75" ht="23.1" customHeight="1">
      <c r="A75" s="137" t="n"/>
      <c r="B75" s="138" t="n"/>
      <c r="C75" s="138" t="n"/>
      <c r="D75" s="138" t="n"/>
      <c r="E75" s="138" t="n"/>
      <c r="F75" s="138" t="n"/>
      <c r="G75" s="138" t="n"/>
      <c r="H75" s="138" t="n"/>
      <c r="I75" s="139" t="n"/>
    </row>
    <row r="76" ht="23.1"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G96" s="141" t="n"/>
      <c r="H96" s="141" t="n"/>
      <c r="I96" s="142" t="n"/>
    </row>
    <row r="97" ht="15" customHeight="1">
      <c r="A97" s="140" t="n"/>
      <c r="B97" s="141" t="n"/>
      <c r="C97" s="141" t="n"/>
      <c r="D97" s="141" t="n"/>
      <c r="E97" s="141" t="n"/>
      <c r="F97" s="141" t="n"/>
      <c r="H97" s="141" t="n"/>
      <c r="I97" s="142" t="n"/>
    </row>
    <row r="98" ht="24.95" customFormat="1" customHeight="1" s="8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0" t="n"/>
      <c r="B112" s="141" t="n"/>
      <c r="C112" s="141" t="n"/>
      <c r="D112" s="141" t="n"/>
      <c r="E112" s="141" t="n"/>
      <c r="F112" s="141" t="n"/>
      <c r="G112" s="141" t="n"/>
      <c r="H112" s="141" t="n"/>
      <c r="I112" s="142" t="n"/>
    </row>
    <row r="113" ht="15" customHeight="1">
      <c r="A113" s="143" t="n"/>
      <c r="B113" s="144" t="n"/>
      <c r="C113" s="144" t="n"/>
      <c r="D113" s="144" t="n"/>
      <c r="E113" s="144" t="n"/>
      <c r="F113" s="144" t="n"/>
      <c r="G113" s="144" t="n"/>
      <c r="H113" s="144" t="n"/>
      <c r="I113" s="145"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15" customHeight="1">
      <c r="A121" s="140" t="n"/>
      <c r="B121" s="141" t="n"/>
      <c r="C121" s="141" t="n"/>
      <c r="D121" s="141" t="n"/>
      <c r="E121" s="141" t="n"/>
      <c r="F121" s="141" t="n"/>
      <c r="G121" s="141" t="n"/>
      <c r="H121" s="141" t="n"/>
      <c r="I121" s="142" t="n"/>
    </row>
    <row r="122" ht="24.9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15" customHeight="1">
      <c r="A124" s="140" t="n"/>
      <c r="B124" s="141" t="n"/>
      <c r="C124" s="141" t="n"/>
      <c r="D124" s="141" t="n"/>
      <c r="E124" s="141" t="n"/>
      <c r="F124" s="141" t="n"/>
      <c r="G124" s="141" t="n"/>
      <c r="H124" s="141" t="n"/>
      <c r="I124" s="142" t="n"/>
    </row>
    <row r="125" ht="27.9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row>
    <row r="138" ht="15" customHeight="1">
      <c r="A138" s="140" t="n"/>
      <c r="B138" s="141" t="n"/>
      <c r="C138" s="141" t="n"/>
      <c r="D138" s="141" t="n"/>
      <c r="E138" s="141" t="n"/>
      <c r="F138" s="141" t="n"/>
      <c r="G138" s="141" t="n"/>
      <c r="H138" s="141" t="n"/>
      <c r="I138" s="142" t="n"/>
      <c r="J138" s="146"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 customHeight="1">
      <c r="A144" s="140" t="n"/>
      <c r="B144" s="141" t="n"/>
      <c r="C144" s="141" t="n"/>
      <c r="D144" s="141" t="n"/>
      <c r="E144" s="141" t="n"/>
      <c r="F144" s="141" t="n"/>
      <c r="G144" s="141" t="n"/>
      <c r="H144" s="141" t="n"/>
      <c r="I144" s="142" t="n"/>
    </row>
    <row r="145" ht="15.95" customHeight="1">
      <c r="A145" s="140" t="n"/>
      <c r="B145" s="141" t="n"/>
      <c r="C145" s="141" t="n"/>
      <c r="D145" s="141" t="n"/>
      <c r="E145" s="141" t="n"/>
      <c r="F145" s="141" t="n"/>
      <c r="G145" s="141" t="n"/>
      <c r="H145" s="141" t="n"/>
      <c r="I145" s="142" t="n"/>
    </row>
    <row r="146" ht="30.75" customHeight="1">
      <c r="A146" s="247" t="n"/>
      <c r="E146" s="248" t="n"/>
      <c r="I146" s="271"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ht="15.95" customHeight="1">
      <c r="A200" s="59" t="n"/>
      <c r="B200" s="60" t="n"/>
      <c r="C200" s="60" t="n"/>
      <c r="D200" s="60" t="n"/>
      <c r="E200" s="60" t="n"/>
      <c r="F200" s="60" t="n"/>
      <c r="G200" s="60" t="n"/>
      <c r="H200" s="60" t="n"/>
      <c r="I200" s="61" t="n"/>
    </row>
    <row r="201">
      <c r="A201" s="64" t="n"/>
      <c r="I201" s="65" t="n"/>
    </row>
    <row r="202">
      <c r="A202" s="64" t="n"/>
      <c r="I202" s="65" t="n"/>
    </row>
    <row r="203">
      <c r="A203" s="64" t="n"/>
      <c r="I203" s="65" t="n"/>
    </row>
    <row r="204">
      <c r="A204" s="64" t="n"/>
      <c r="I204" s="65" t="n"/>
    </row>
    <row r="205">
      <c r="A205" s="64" t="n"/>
      <c r="I205" s="65" t="n"/>
    </row>
    <row r="206">
      <c r="A206" s="64" t="n"/>
      <c r="I206" s="65" t="n"/>
    </row>
    <row r="207" ht="15.95" customHeight="1">
      <c r="A207" s="59" t="n"/>
      <c r="B207" s="60" t="n"/>
      <c r="C207" s="60" t="n"/>
      <c r="D207" s="60" t="n"/>
      <c r="E207" s="60" t="n"/>
      <c r="F207" s="60" t="n"/>
      <c r="G207" s="60" t="n"/>
      <c r="H207" s="60" t="n"/>
      <c r="I207" s="61" t="n"/>
    </row>
  </sheetData>
  <mergeCells count="40">
    <mergeCell ref="A48:B48"/>
    <mergeCell ref="B47:C47"/>
    <mergeCell ref="D13:F13"/>
    <mergeCell ref="G13:I13"/>
    <mergeCell ref="B8:D8"/>
    <mergeCell ref="A66:I66"/>
    <mergeCell ref="B46:C46"/>
    <mergeCell ref="D48:I48"/>
    <mergeCell ref="A74:I74"/>
    <mergeCell ref="A55:I55"/>
    <mergeCell ref="A12:I12"/>
    <mergeCell ref="D47:I47"/>
    <mergeCell ref="B56:I56"/>
    <mergeCell ref="A69:I69"/>
    <mergeCell ref="A5:I5"/>
    <mergeCell ref="A51:I54"/>
    <mergeCell ref="B9:D9"/>
    <mergeCell ref="B60:I60"/>
    <mergeCell ref="C62:I62"/>
    <mergeCell ref="B57:I57"/>
    <mergeCell ref="B6:D6"/>
    <mergeCell ref="C58:I58"/>
    <mergeCell ref="A13:C13"/>
    <mergeCell ref="A146:D146"/>
    <mergeCell ref="A68:I68"/>
    <mergeCell ref="A10:I10"/>
    <mergeCell ref="A1:I4"/>
    <mergeCell ref="C64:I64"/>
    <mergeCell ref="A67:I67"/>
    <mergeCell ref="B7:D7"/>
    <mergeCell ref="C63:I63"/>
    <mergeCell ref="C65:I65"/>
    <mergeCell ref="A11:I11"/>
    <mergeCell ref="A49:I49"/>
    <mergeCell ref="D46:I46"/>
    <mergeCell ref="C59:I59"/>
    <mergeCell ref="B45:C45"/>
    <mergeCell ref="D45:I45"/>
    <mergeCell ref="A61:I61"/>
    <mergeCell ref="E146:I146"/>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3" min="0" max="8" man="1"/>
  </rowBreaks>
</worksheet>
</file>

<file path=xl/worksheets/sheet31.xml><?xml version="1.0" encoding="utf-8"?>
<worksheet xmlns="http://schemas.openxmlformats.org/spreadsheetml/2006/main">
  <sheetPr>
    <outlinePr summaryBelow="1" summaryRight="1"/>
    <pageSetUpPr fitToPage="1"/>
  </sheetPr>
  <dimension ref="A1:J207"/>
  <sheetViews>
    <sheetView view="pageBreakPreview" topLeftCell="A69" zoomScale="40" zoomScaleNormal="55" zoomScaleSheetLayoutView="40" workbookViewId="0">
      <selection activeCell="L91" sqref="L91"/>
    </sheetView>
  </sheetViews>
  <sheetFormatPr baseColWidth="8" defaultColWidth="9.140625" defaultRowHeight="14.4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45904</v>
      </c>
    </row>
    <row r="7" ht="23.1" customHeight="1">
      <c r="A7" s="82" t="inlineStr">
        <is>
          <t>Project Location:</t>
        </is>
      </c>
      <c r="B7" s="267" t="inlineStr">
        <is>
          <t>Geraldton</t>
        </is>
      </c>
      <c r="E7" s="267" t="n"/>
      <c r="F7" s="84" t="n"/>
      <c r="G7" s="84" t="n"/>
      <c r="H7" s="87" t="inlineStr">
        <is>
          <t>Day:</t>
        </is>
      </c>
      <c r="I7" s="88" t="inlineStr">
        <is>
          <t>Thursday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94</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22 degrees  Wind:  25km/h E Precip: 0 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11</v>
      </c>
      <c r="G15" s="100" t="inlineStr">
        <is>
          <t>Khegan Brockman</t>
        </is>
      </c>
      <c r="H15" s="97" t="inlineStr">
        <is>
          <t>Labourer</t>
        </is>
      </c>
      <c r="I15" s="101" t="n">
        <v>10</v>
      </c>
    </row>
    <row r="16" ht="23.1" customHeight="1">
      <c r="A16" s="96" t="inlineStr">
        <is>
          <t>GRIFFITHS, Daniel</t>
        </is>
      </c>
      <c r="B16" s="97" t="inlineStr">
        <is>
          <t>Project Manager</t>
        </is>
      </c>
      <c r="C16" s="102" t="n">
        <v>11.5</v>
      </c>
      <c r="D16" s="100" t="inlineStr">
        <is>
          <t>Hanly,Thomas</t>
        </is>
      </c>
      <c r="E16" s="97" t="inlineStr">
        <is>
          <t>Operator</t>
        </is>
      </c>
      <c r="F16" s="97" t="n">
        <v>11</v>
      </c>
      <c r="G16" s="100" t="inlineStr">
        <is>
          <t>Daniel McAuffile</t>
        </is>
      </c>
      <c r="H16" s="97" t="inlineStr">
        <is>
          <t>Operator</t>
        </is>
      </c>
      <c r="I16" s="101" t="n">
        <v>10</v>
      </c>
    </row>
    <row r="17" ht="23.1" customHeight="1">
      <c r="A17" s="96" t="inlineStr">
        <is>
          <t>O"SHEA, John</t>
        </is>
      </c>
      <c r="B17" s="97" t="inlineStr">
        <is>
          <t>Senior Project Engineer</t>
        </is>
      </c>
      <c r="C17" s="102" t="n"/>
      <c r="D17" s="103" t="n"/>
      <c r="E17" s="103" t="n"/>
      <c r="F17" s="97" t="n"/>
      <c r="G17" s="100" t="inlineStr">
        <is>
          <t>Jachai Griffiths</t>
        </is>
      </c>
      <c r="H17" s="97" t="inlineStr">
        <is>
          <t>Operator</t>
        </is>
      </c>
      <c r="I17" s="101" t="n"/>
    </row>
    <row r="18" ht="23.1" customHeight="1">
      <c r="A18" s="96" t="inlineStr">
        <is>
          <t>GRIFFITHS, Ashley</t>
        </is>
      </c>
      <c r="B18" s="97" t="inlineStr">
        <is>
          <t>Supervisor</t>
        </is>
      </c>
      <c r="C18" s="102" t="n"/>
      <c r="D18" s="99" t="n"/>
      <c r="E18" s="99" t="n"/>
      <c r="F18" s="97" t="n"/>
      <c r="G18" s="100" t="inlineStr">
        <is>
          <t>O'Brian, Jamie</t>
        </is>
      </c>
      <c r="H18" s="97" t="inlineStr">
        <is>
          <t>Operator</t>
        </is>
      </c>
      <c r="I18" s="101" t="n">
        <v>10</v>
      </c>
    </row>
    <row r="19" ht="23.1" customHeight="1">
      <c r="A19" s="96" t="inlineStr">
        <is>
          <t>LOW, June</t>
        </is>
      </c>
      <c r="B19" s="97" t="inlineStr">
        <is>
          <t>HSET</t>
        </is>
      </c>
      <c r="C19" s="102" t="n"/>
      <c r="D19" s="99" t="n"/>
      <c r="E19" s="99" t="n"/>
      <c r="F19" s="97" t="n"/>
      <c r="G19" s="100" t="inlineStr">
        <is>
          <t>O'Reilly,James</t>
        </is>
      </c>
      <c r="H19" s="97" t="inlineStr">
        <is>
          <t>Operator</t>
        </is>
      </c>
      <c r="I19" s="101" t="n"/>
    </row>
    <row r="20" ht="23.1" customHeight="1">
      <c r="A20" s="96" t="inlineStr">
        <is>
          <t>SKINNER,Jamie</t>
        </is>
      </c>
      <c r="B20" s="97" t="inlineStr">
        <is>
          <t>Supervisor</t>
        </is>
      </c>
      <c r="C20" s="102" t="n">
        <v>11.5</v>
      </c>
      <c r="D20" s="99" t="n"/>
      <c r="E20" s="99" t="n"/>
      <c r="F20" s="97" t="n"/>
      <c r="G20" s="100" t="inlineStr">
        <is>
          <t>Dixon, Warren</t>
        </is>
      </c>
      <c r="H20" s="97" t="inlineStr">
        <is>
          <t>Irrigation Installer</t>
        </is>
      </c>
      <c r="I20" s="101" t="n"/>
    </row>
    <row r="21" ht="23.1" customHeight="1">
      <c r="A21" s="96" t="n"/>
      <c r="B21" s="97" t="n"/>
      <c r="C21" s="102" t="n"/>
      <c r="D21" s="99" t="n"/>
      <c r="E21" s="99" t="n"/>
      <c r="F21" s="97" t="n"/>
      <c r="G21" s="100" t="inlineStr">
        <is>
          <t>Mosley,Joshua</t>
        </is>
      </c>
      <c r="H21" s="97" t="inlineStr">
        <is>
          <t>Surveyor</t>
        </is>
      </c>
      <c r="I21" s="101" t="n"/>
    </row>
    <row r="22" ht="23.1" customHeight="1">
      <c r="A22" s="96" t="n"/>
      <c r="B22" s="97" t="n"/>
      <c r="C22" s="102" t="n"/>
      <c r="D22" s="99" t="n"/>
      <c r="E22" s="99" t="n"/>
      <c r="F22" s="97" t="n"/>
      <c r="G22" s="100" t="n"/>
      <c r="H22" s="97" t="n"/>
      <c r="I22" s="101" t="n"/>
    </row>
    <row r="23" ht="23.1" customHeight="1">
      <c r="A23" s="96" t="n"/>
      <c r="B23" s="97" t="n"/>
      <c r="C23" s="102" t="n"/>
      <c r="D23" s="99" t="n"/>
      <c r="E23" s="99" t="n"/>
      <c r="F23" s="97" t="n"/>
      <c r="G23" s="100" t="n"/>
      <c r="H23" s="97" t="n"/>
      <c r="I23" s="101" t="n"/>
    </row>
    <row r="24" ht="23.1" customHeight="1">
      <c r="A24" s="96" t="n"/>
      <c r="B24" s="97" t="n"/>
      <c r="C24" s="102" t="n"/>
      <c r="D24" s="99" t="n"/>
      <c r="E24" s="99" t="n"/>
      <c r="F24" s="97" t="n"/>
      <c r="G24" s="100" t="n"/>
      <c r="H24" s="97" t="n"/>
      <c r="I24" s="101" t="n"/>
    </row>
    <row r="25" ht="23.1" customHeight="1">
      <c r="A25" s="96" t="n"/>
      <c r="B25" s="97" t="n"/>
      <c r="C25" s="102" t="n"/>
      <c r="D25" s="99" t="n"/>
      <c r="E25" s="99" t="n"/>
      <c r="F25" s="97" t="n"/>
      <c r="G25" s="151" t="n"/>
      <c r="H25" s="151" t="n"/>
      <c r="I25" s="107" t="n"/>
    </row>
    <row r="26" ht="23.1" customHeight="1">
      <c r="A26" s="255" t="inlineStr">
        <is>
          <t xml:space="preserve">Total Indirect Personnel onsite: </t>
        </is>
      </c>
      <c r="B26" s="105">
        <f>COUNT(C15:C26)</f>
        <v/>
      </c>
      <c r="C26" s="99" t="n"/>
      <c r="D26" s="99" t="n"/>
      <c r="E26" s="99" t="n"/>
      <c r="F26" s="97" t="n"/>
      <c r="G26" s="152" t="n"/>
      <c r="H26" s="151" t="n"/>
      <c r="I26" s="101" t="n"/>
    </row>
    <row r="27" ht="23.1" customHeight="1">
      <c r="A27" s="255" t="inlineStr">
        <is>
          <t xml:space="preserve">Total Indirect Personnel hours: </t>
        </is>
      </c>
      <c r="B27" s="105">
        <f>SUM(C15:C25)</f>
        <v/>
      </c>
      <c r="C27" s="102" t="n"/>
      <c r="D27" s="99" t="n"/>
      <c r="E27" s="99" t="n"/>
      <c r="F27" s="97" t="n"/>
      <c r="G27" s="106" t="inlineStr">
        <is>
          <t>Total Subcontractor on-site:</t>
        </is>
      </c>
      <c r="H27" s="107">
        <f>COUNT(I15:I25)</f>
        <v/>
      </c>
      <c r="I27" s="101" t="n"/>
    </row>
    <row r="28" ht="23.1" customHeight="1">
      <c r="A28" s="255" t="inlineStr">
        <is>
          <t xml:space="preserve">Total Direct Personnel onsite:  </t>
        </is>
      </c>
      <c r="B28" s="105">
        <f>COUNTIF(F15:F29,"&gt;0")</f>
        <v/>
      </c>
      <c r="C28" s="105" t="n"/>
      <c r="D28" s="99" t="n"/>
      <c r="E28" s="99" t="n"/>
      <c r="F28" s="108" t="n"/>
      <c r="G28" s="106" t="inlineStr">
        <is>
          <t>Total Subcontractor hours:</t>
        </is>
      </c>
      <c r="H28" s="107">
        <f>SUM(I15:I25)</f>
        <v/>
      </c>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Hilux</t>
        </is>
      </c>
      <c r="E33" s="102" t="inlineStr">
        <is>
          <t>1DAH:400</t>
        </is>
      </c>
      <c r="F33" s="102" t="n">
        <v>1</v>
      </c>
      <c r="G33" s="102" t="inlineStr">
        <is>
          <t>Sea Container 20ft</t>
        </is>
      </c>
      <c r="H33" s="97" t="n">
        <v>951200</v>
      </c>
      <c r="I33" s="101" t="n">
        <v>1</v>
      </c>
    </row>
    <row r="34" ht="23.1" customHeight="1">
      <c r="A34" s="115" t="inlineStr">
        <is>
          <t>Watercart</t>
        </is>
      </c>
      <c r="B34" s="102" t="inlineStr">
        <is>
          <t>WC04</t>
        </is>
      </c>
      <c r="C34" s="97" t="n">
        <v>10</v>
      </c>
      <c r="D34" s="102" t="n"/>
      <c r="E34" s="97" t="n"/>
      <c r="F34" s="102" t="n"/>
      <c r="G34" s="102" t="inlineStr">
        <is>
          <t>Site Sentry Tower</t>
        </is>
      </c>
      <c r="H34" s="102" t="n"/>
      <c r="I34" s="101" t="n">
        <v>2</v>
      </c>
    </row>
    <row r="35" ht="23.1" customHeight="1">
      <c r="A35" s="115" t="inlineStr">
        <is>
          <t>8T Excavator</t>
        </is>
      </c>
      <c r="B35" s="116" t="inlineStr">
        <is>
          <t>AMG 014</t>
        </is>
      </c>
      <c r="C35" s="97" t="n"/>
      <c r="D35" s="102" t="n"/>
      <c r="E35" s="102" t="n"/>
      <c r="F35" s="102" t="n"/>
      <c r="G35" s="102" t="inlineStr">
        <is>
          <t>Skip Bin</t>
        </is>
      </c>
      <c r="H35" s="102" t="n"/>
      <c r="I35" s="101" t="n">
        <v>1</v>
      </c>
    </row>
    <row r="36" ht="23.1" customHeight="1">
      <c r="A36" s="102" t="inlineStr">
        <is>
          <t>Mini Tipper</t>
        </is>
      </c>
      <c r="B36" s="102" t="inlineStr">
        <is>
          <t>SLS05</t>
        </is>
      </c>
      <c r="C36" s="102" t="n"/>
      <c r="D36" s="102" t="n"/>
      <c r="E36" s="102" t="n"/>
      <c r="F36" s="102" t="n"/>
      <c r="G36" s="102" t="inlineStr">
        <is>
          <t>Hydrocarbon Bund</t>
        </is>
      </c>
      <c r="H36" s="102" t="n"/>
      <c r="I36" s="101" t="n">
        <v>1</v>
      </c>
    </row>
    <row r="37" ht="23.1" customHeight="1">
      <c r="A37" s="150" t="inlineStr">
        <is>
          <t>1 t Excavator</t>
        </is>
      </c>
      <c r="B37" s="102" t="inlineStr">
        <is>
          <t>SLS03</t>
        </is>
      </c>
      <c r="C37" s="102" t="n"/>
      <c r="D37" s="102" t="n"/>
      <c r="E37" s="102" t="n"/>
      <c r="F37" s="102" t="n"/>
      <c r="G37" s="102" t="inlineStr">
        <is>
          <t>Temp Fence</t>
        </is>
      </c>
      <c r="H37" s="97" t="n"/>
      <c r="I37" s="101" t="n">
        <v>1</v>
      </c>
    </row>
    <row r="38" ht="24" customHeight="1">
      <c r="A38" s="150" t="inlineStr">
        <is>
          <t>14t Excavator with GPS</t>
        </is>
      </c>
      <c r="B38" s="102" t="n"/>
      <c r="C38" s="102" t="n"/>
      <c r="D38" s="102" t="n"/>
      <c r="E38" s="102" t="n"/>
      <c r="F38" s="102" t="n"/>
      <c r="G38" s="31" t="n"/>
      <c r="H38" s="31" t="n"/>
      <c r="I38" s="32" t="n"/>
    </row>
    <row r="39" ht="24" customHeight="1">
      <c r="A39" s="150" t="inlineStr">
        <is>
          <t>5t Excavator</t>
        </is>
      </c>
      <c r="B39" s="102" t="inlineStr">
        <is>
          <t>A118</t>
        </is>
      </c>
      <c r="C39" s="102" t="n"/>
      <c r="D39" s="102" t="n"/>
      <c r="E39" s="102" t="n"/>
      <c r="F39" s="102" t="n"/>
      <c r="G39" s="31" t="n"/>
      <c r="H39" s="31" t="n"/>
      <c r="I39" s="32" t="n"/>
    </row>
    <row r="40" ht="24" customHeight="1">
      <c r="A40" s="115" t="inlineStr">
        <is>
          <t>Padfoot/ Smooth Drum Roller</t>
        </is>
      </c>
      <c r="B40" s="102" t="inlineStr">
        <is>
          <t>RR 03</t>
        </is>
      </c>
      <c r="C40" s="97" t="n">
        <v>5</v>
      </c>
      <c r="D40" s="102" t="n"/>
      <c r="E40" s="102" t="n"/>
      <c r="F40" s="102" t="n"/>
      <c r="G40" s="31" t="n"/>
      <c r="H40" s="31" t="n"/>
      <c r="I40" s="32" t="n"/>
    </row>
    <row r="41" ht="24" customHeight="1">
      <c r="A41" s="115" t="inlineStr">
        <is>
          <t>Multi Roller</t>
        </is>
      </c>
      <c r="B41" s="102" t="n">
        <v>256</v>
      </c>
      <c r="C41" s="97" t="n">
        <v>5</v>
      </c>
      <c r="D41" s="102" t="n"/>
      <c r="E41" s="102" t="n"/>
      <c r="F41" s="102" t="n"/>
      <c r="G41" s="31" t="n"/>
      <c r="H41" s="31" t="n"/>
      <c r="I41" s="32" t="n"/>
    </row>
    <row r="42" ht="24" customHeight="1">
      <c r="A42" s="115" t="inlineStr">
        <is>
          <t>Positrak SSL</t>
        </is>
      </c>
      <c r="B42" s="102" t="inlineStr">
        <is>
          <t>SSL08</t>
        </is>
      </c>
      <c r="C42" s="97" t="n">
        <v>5</v>
      </c>
      <c r="D42" s="102" t="n"/>
      <c r="E42" s="102" t="n"/>
      <c r="F42" s="102" t="n"/>
      <c r="G42" s="31" t="n"/>
      <c r="H42" s="31" t="n"/>
      <c r="I42" s="32" t="n"/>
    </row>
    <row r="43" ht="24" customHeight="1">
      <c r="A43" s="115" t="inlineStr">
        <is>
          <t>Grader</t>
        </is>
      </c>
      <c r="B43" s="102" t="inlineStr">
        <is>
          <t>SLS01</t>
        </is>
      </c>
      <c r="C43" s="97" t="n">
        <v>9</v>
      </c>
      <c r="D43" s="102" t="n"/>
      <c r="E43" s="102" t="n"/>
      <c r="F43" s="102" t="n"/>
      <c r="G43" s="31" t="n"/>
      <c r="H43" s="31" t="n"/>
      <c r="I43" s="32" t="n"/>
    </row>
    <row r="44" ht="24" customHeight="1">
      <c r="A44" s="115" t="n"/>
      <c r="B44" s="102" t="n"/>
      <c r="C44" s="97" t="n"/>
      <c r="D44" s="31" t="n"/>
      <c r="E44" s="31" t="n"/>
      <c r="F44" s="31" t="n"/>
      <c r="G44" s="31" t="n"/>
      <c r="H44" s="31" t="n"/>
      <c r="I44" s="32" t="n"/>
    </row>
    <row r="45" ht="18" customHeight="1">
      <c r="A45" s="117" t="n">
        <v>0</v>
      </c>
      <c r="B45" s="260" t="inlineStr">
        <is>
          <t xml:space="preserve">Repairs Required </t>
        </is>
      </c>
      <c r="C45" s="276" t="n"/>
      <c r="D45" s="249" t="inlineStr">
        <is>
          <t>N/A</t>
        </is>
      </c>
      <c r="E45" s="275" t="n"/>
      <c r="F45" s="275" t="n"/>
      <c r="G45" s="275" t="n"/>
      <c r="H45" s="275" t="n"/>
      <c r="I45" s="277" t="n"/>
    </row>
    <row r="46" ht="18" customHeight="1">
      <c r="A46" s="118" t="n">
        <v>0</v>
      </c>
      <c r="B46" s="260" t="inlineStr">
        <is>
          <t>Scheduled Service</t>
        </is>
      </c>
      <c r="C46" s="276" t="n"/>
      <c r="D46" s="249" t="inlineStr">
        <is>
          <t>N/A</t>
        </is>
      </c>
      <c r="E46" s="275" t="n"/>
      <c r="F46" s="275" t="n"/>
      <c r="G46" s="275" t="n"/>
      <c r="H46" s="275" t="n"/>
      <c r="I46" s="277" t="n"/>
    </row>
    <row r="47" ht="18" customHeight="1">
      <c r="A47" s="119" t="n">
        <v>0</v>
      </c>
      <c r="B47" s="260" t="n"/>
      <c r="C47" s="276" t="n"/>
      <c r="D47" s="249" t="inlineStr">
        <is>
          <t>N/A</t>
        </is>
      </c>
      <c r="E47" s="275" t="n"/>
      <c r="F47" s="275" t="n"/>
      <c r="G47" s="275" t="n"/>
      <c r="H47" s="275" t="n"/>
      <c r="I47" s="277" t="n"/>
    </row>
    <row r="48" ht="23.1" customHeight="1">
      <c r="A48" s="255" t="inlineStr">
        <is>
          <t xml:space="preserve">Total Plant and Equipment Hours: </t>
        </is>
      </c>
      <c r="B48" s="276" t="n"/>
      <c r="C48" s="120">
        <f>SUM(C32:C44)</f>
        <v/>
      </c>
      <c r="D48" s="256" t="n"/>
      <c r="E48" s="275" t="n"/>
      <c r="F48" s="275" t="n"/>
      <c r="G48" s="275" t="n"/>
      <c r="H48" s="275" t="n"/>
      <c r="I48" s="277" t="n"/>
    </row>
    <row r="49" ht="24.95" customHeight="1">
      <c r="A49" s="245" t="inlineStr">
        <is>
          <t>DELAYS-OPPORTUNITY</t>
        </is>
      </c>
      <c r="B49" s="275" t="n"/>
      <c r="C49" s="275" t="n"/>
      <c r="D49" s="275" t="n"/>
      <c r="E49" s="275" t="n"/>
      <c r="F49" s="275" t="n"/>
      <c r="G49" s="275" t="n"/>
      <c r="H49" s="275" t="n"/>
      <c r="I49" s="277" t="n"/>
    </row>
    <row r="50" ht="20.1" customHeight="1">
      <c r="A50" s="121" t="n"/>
      <c r="B50" s="122" t="n"/>
      <c r="C50" s="122" t="n"/>
      <c r="D50" s="122" t="n"/>
      <c r="E50" s="122" t="n"/>
      <c r="F50" s="122" t="n"/>
      <c r="G50" s="122" t="n"/>
      <c r="H50" s="122" t="n"/>
      <c r="I50" s="123" t="n"/>
    </row>
    <row r="51" ht="15" customHeight="1" thickBot="1">
      <c r="A51" s="244" t="inlineStr">
        <is>
          <t>Awaiting COGG confirmation on detail of Centrelink Carpark                             
Awaiting Kerbing Plan being Amended by TCD
Awaiting Direction on Service Clash Forrest Street
Awaiting Confirmation on Batters Treatment 
Awaiting finalised fencing details
Awaiting COGG confirmation on "Ballast Pile"
Instructions Provided for Laneway Sewer, Drainage and Light Pole Removal</t>
        </is>
      </c>
      <c r="B51" s="278" t="n"/>
      <c r="C51" s="278" t="n"/>
      <c r="D51" s="278" t="n"/>
      <c r="E51" s="278" t="n"/>
      <c r="F51" s="278" t="n"/>
      <c r="G51" s="278" t="n"/>
      <c r="H51" s="278" t="n"/>
      <c r="I51" s="279" t="n"/>
    </row>
    <row r="52">
      <c r="A52" s="270" t="n"/>
      <c r="I52" s="271" t="n"/>
    </row>
    <row r="53" ht="49.5" customHeight="1">
      <c r="A53" s="270" t="n"/>
      <c r="I53" s="271" t="n"/>
    </row>
    <row r="54" ht="80.09999999999999" customHeight="1" thickBot="1">
      <c r="A54" s="280" t="n"/>
      <c r="B54" s="281" t="n"/>
      <c r="C54" s="281" t="n"/>
      <c r="D54" s="281" t="n"/>
      <c r="E54" s="281" t="n"/>
      <c r="F54" s="281" t="n"/>
      <c r="G54" s="281" t="n"/>
      <c r="H54" s="281" t="n"/>
      <c r="I54" s="282" t="n"/>
    </row>
    <row r="55" ht="24.95" customHeight="1">
      <c r="A55" s="252" t="inlineStr">
        <is>
          <t>HSEQ MESSAGES</t>
        </is>
      </c>
      <c r="B55" s="283" t="n"/>
      <c r="C55" s="283" t="n"/>
      <c r="D55" s="283" t="n"/>
      <c r="E55" s="283" t="n"/>
      <c r="F55" s="283" t="n"/>
      <c r="G55" s="283" t="n"/>
      <c r="H55" s="283" t="n"/>
      <c r="I55" s="284" t="n"/>
    </row>
    <row r="56" ht="18" customHeight="1">
      <c r="A56" s="124" t="inlineStr">
        <is>
          <t>TCD - Monthly Safety Focus:</t>
        </is>
      </c>
      <c r="B56" s="257" t="inlineStr">
        <is>
          <t>Return to Work</t>
        </is>
      </c>
      <c r="C56" s="275" t="n"/>
      <c r="D56" s="275" t="n"/>
      <c r="E56" s="275" t="n"/>
      <c r="F56" s="275" t="n"/>
      <c r="G56" s="275" t="n"/>
      <c r="H56" s="275" t="n"/>
      <c r="I56" s="276" t="n"/>
    </row>
    <row r="57" ht="24" customHeight="1">
      <c r="A57" s="124" t="inlineStr">
        <is>
          <t>TCD - Daily Safety Focus:</t>
        </is>
      </c>
      <c r="B57" s="258" t="inlineStr">
        <is>
          <t>Pre-starts</t>
        </is>
      </c>
      <c r="C57" s="275" t="n"/>
      <c r="D57" s="275" t="n"/>
      <c r="E57" s="275" t="n"/>
      <c r="F57" s="275" t="n"/>
      <c r="G57" s="275" t="n"/>
      <c r="H57" s="275" t="n"/>
      <c r="I57" s="277" t="n"/>
    </row>
    <row r="58" ht="18" customHeight="1">
      <c r="A58" s="125" t="inlineStr">
        <is>
          <t xml:space="preserve">Hazards Reported: </t>
        </is>
      </c>
      <c r="B58" s="126" t="inlineStr">
        <is>
          <t>Nil</t>
        </is>
      </c>
      <c r="C58" s="258" t="n"/>
      <c r="D58" s="275" t="n"/>
      <c r="E58" s="275" t="n"/>
      <c r="F58" s="275" t="n"/>
      <c r="G58" s="275" t="n"/>
      <c r="H58" s="275" t="n"/>
      <c r="I58" s="277" t="n"/>
    </row>
    <row r="59" ht="18" customHeight="1">
      <c r="A59" s="125" t="inlineStr">
        <is>
          <t>Incident Free Days</t>
        </is>
      </c>
      <c r="B59" s="126" t="n">
        <v>11</v>
      </c>
      <c r="C59" s="257" t="n"/>
      <c r="D59" s="275" t="n"/>
      <c r="E59" s="275" t="n"/>
      <c r="F59" s="275" t="n"/>
      <c r="G59" s="275" t="n"/>
      <c r="H59" s="275" t="n"/>
      <c r="I59" s="276" t="n"/>
    </row>
    <row r="60" ht="18" customHeight="1">
      <c r="A60" s="127" t="inlineStr">
        <is>
          <t>Other Notes</t>
        </is>
      </c>
      <c r="B60" s="259" t="n"/>
      <c r="C60" s="278" t="n"/>
      <c r="D60" s="278" t="n"/>
      <c r="E60" s="278" t="n"/>
      <c r="F60" s="278" t="n"/>
      <c r="G60" s="278" t="n"/>
      <c r="H60" s="278" t="n"/>
      <c r="I60" s="279" t="n"/>
    </row>
    <row r="61" ht="20.25" customHeight="1">
      <c r="A61" s="245" t="inlineStr">
        <is>
          <t xml:space="preserve">INCIDENTS &amp; REPORTS </t>
        </is>
      </c>
      <c r="B61" s="275" t="n"/>
      <c r="C61" s="275" t="n"/>
      <c r="D61" s="275" t="n"/>
      <c r="E61" s="275" t="n"/>
      <c r="F61" s="275" t="n"/>
      <c r="G61" s="275" t="n"/>
      <c r="H61" s="275" t="n"/>
      <c r="I61" s="277" t="n"/>
    </row>
    <row r="62" ht="24.95" customHeight="1">
      <c r="A62" s="128" t="n"/>
      <c r="B62" s="263" t="inlineStr">
        <is>
          <t>QTY</t>
        </is>
      </c>
      <c r="C62" s="254" t="inlineStr">
        <is>
          <t>Comments</t>
        </is>
      </c>
      <c r="D62" s="275" t="n"/>
      <c r="E62" s="275" t="n"/>
      <c r="F62" s="275" t="n"/>
      <c r="G62" s="275" t="n"/>
      <c r="H62" s="275" t="n"/>
      <c r="I62" s="277" t="n"/>
    </row>
    <row r="63" ht="24.95" customHeight="1">
      <c r="A63" s="129" t="inlineStr">
        <is>
          <t>INCIDENT</t>
        </is>
      </c>
      <c r="B63" s="263" t="n">
        <v>0</v>
      </c>
      <c r="C63" s="249" t="inlineStr">
        <is>
          <t>NA</t>
        </is>
      </c>
      <c r="D63" s="275" t="n"/>
      <c r="E63" s="275" t="n"/>
      <c r="F63" s="275" t="n"/>
      <c r="G63" s="275" t="n"/>
      <c r="H63" s="275" t="n"/>
      <c r="I63" s="277" t="n"/>
    </row>
    <row r="64" ht="24.95" customHeight="1">
      <c r="A64" s="130" t="inlineStr">
        <is>
          <t>IR</t>
        </is>
      </c>
      <c r="B64" s="131" t="n">
        <v>0</v>
      </c>
      <c r="C64" s="250" t="inlineStr">
        <is>
          <t>NA</t>
        </is>
      </c>
      <c r="D64" s="278" t="n"/>
      <c r="E64" s="278" t="n"/>
      <c r="F64" s="278" t="n"/>
      <c r="G64" s="278" t="n"/>
      <c r="H64" s="278" t="n"/>
      <c r="I64" s="279" t="n"/>
    </row>
    <row r="65" ht="24.95" customHeight="1" thickBot="1">
      <c r="A65" s="132" t="inlineStr">
        <is>
          <t>NCR</t>
        </is>
      </c>
      <c r="B65" s="133" t="n">
        <v>0</v>
      </c>
      <c r="C65" s="251" t="inlineStr">
        <is>
          <t>NA</t>
        </is>
      </c>
      <c r="D65" s="285" t="n"/>
      <c r="E65" s="285" t="n"/>
      <c r="F65" s="285" t="n"/>
      <c r="G65" s="285" t="n"/>
      <c r="H65" s="285" t="n"/>
      <c r="I65" s="286" t="n"/>
    </row>
    <row r="66" ht="20.25" customHeight="1">
      <c r="A66" s="252" t="inlineStr">
        <is>
          <t>COMMUNICATIONS</t>
        </is>
      </c>
      <c r="B66" s="283" t="n"/>
      <c r="C66" s="283" t="n"/>
      <c r="D66" s="283" t="n"/>
      <c r="E66" s="283" t="n"/>
      <c r="F66" s="283" t="n"/>
      <c r="G66" s="283" t="n"/>
      <c r="H66" s="283" t="n"/>
      <c r="I66" s="284" t="n"/>
    </row>
    <row r="67" ht="24.95" customHeight="1">
      <c r="A67" s="253" t="inlineStr">
        <is>
          <t>TGS MB1119-05 Scheme D impletmented</t>
        </is>
      </c>
      <c r="B67" s="275" t="n"/>
      <c r="C67" s="275" t="n"/>
      <c r="D67" s="275" t="n"/>
      <c r="E67" s="275" t="n"/>
      <c r="F67" s="275" t="n"/>
      <c r="G67" s="275" t="n"/>
      <c r="H67" s="275" t="n"/>
      <c r="I67" s="277" t="n"/>
    </row>
    <row r="68" ht="24.95" customHeight="1">
      <c r="A68" s="253" t="n"/>
      <c r="B68" s="275" t="n"/>
      <c r="C68" s="275" t="n"/>
      <c r="D68" s="275" t="n"/>
      <c r="E68" s="275" t="n"/>
      <c r="F68" s="275" t="n"/>
      <c r="G68" s="275" t="n"/>
      <c r="H68" s="275" t="n"/>
      <c r="I68" s="277" t="n"/>
    </row>
    <row r="69" ht="24.95" customHeight="1">
      <c r="A69" s="245" t="inlineStr">
        <is>
          <t>PRODUCTION (CONSTRUCTION STATUS &amp; PROGRESS)</t>
        </is>
      </c>
      <c r="B69" s="275" t="n"/>
      <c r="C69" s="275" t="n"/>
      <c r="D69" s="275" t="n"/>
      <c r="E69" s="275" t="n"/>
      <c r="F69" s="275" t="n"/>
      <c r="G69" s="275" t="n"/>
      <c r="H69" s="275" t="n"/>
      <c r="I69" s="277" t="n"/>
    </row>
    <row r="70" ht="24.95" customHeight="1">
      <c r="A70" s="134" t="inlineStr">
        <is>
          <t>.ITP Proof roll with city sign-off</t>
        </is>
      </c>
      <c r="B70" s="135" t="n"/>
      <c r="C70" s="79" t="inlineStr">
        <is>
          <t xml:space="preserve">.Laterial install into garden beds@ Bayly street end </t>
        </is>
      </c>
      <c r="D70" s="79" t="n"/>
      <c r="E70" s="79" t="n"/>
      <c r="F70" s="135" t="n"/>
      <c r="G70" s="135" t="n"/>
      <c r="H70" s="135" t="n"/>
      <c r="I70" s="136" t="n"/>
    </row>
    <row r="71" ht="24.95" customHeight="1">
      <c r="A71" s="134" t="inlineStr">
        <is>
          <t>.Spray seal and 7mm chip installed and rolled</t>
        </is>
      </c>
      <c r="B71" s="135" t="n"/>
      <c r="C71" s="79" t="n"/>
      <c r="D71" s="79" t="n"/>
      <c r="E71" s="135" t="n"/>
      <c r="F71" s="135" t="n"/>
      <c r="G71" s="135" t="n"/>
      <c r="H71" s="135" t="n"/>
      <c r="I71" s="136" t="n"/>
    </row>
    <row r="72" ht="24.95" customHeight="1">
      <c r="A72" s="134" t="inlineStr">
        <is>
          <t>.Northern lots batter trimming 1:6 batter</t>
        </is>
      </c>
      <c r="B72" s="135" t="n"/>
      <c r="C72" s="79" t="n"/>
      <c r="D72" s="135" t="n"/>
      <c r="E72" s="135" t="n"/>
      <c r="F72" s="135" t="n"/>
      <c r="G72" s="135" t="n"/>
      <c r="H72" s="135" t="n"/>
      <c r="I72" s="136" t="n"/>
    </row>
    <row r="73" ht="24.95" customHeight="1">
      <c r="A73" s="134" t="inlineStr">
        <is>
          <t>.Sub-grade box-out@ Bayly street end</t>
        </is>
      </c>
      <c r="B73" s="135" t="n"/>
      <c r="C73" s="79" t="n"/>
      <c r="D73" s="135" t="n"/>
      <c r="E73" s="135" t="n"/>
      <c r="F73" s="135" t="n"/>
      <c r="G73" s="135" t="n"/>
      <c r="H73" s="135" t="n"/>
      <c r="I73" s="136" t="n"/>
    </row>
    <row r="74" ht="26.1" customHeight="1" thickBot="1">
      <c r="A74" s="246" t="inlineStr">
        <is>
          <t>Photos</t>
        </is>
      </c>
      <c r="B74" s="278" t="n"/>
      <c r="C74" s="278" t="n"/>
      <c r="D74" s="278" t="n"/>
      <c r="E74" s="278" t="n"/>
      <c r="F74" s="278" t="n"/>
      <c r="G74" s="278" t="n"/>
      <c r="H74" s="278" t="n"/>
      <c r="I74" s="279" t="n"/>
    </row>
    <row r="75" ht="23.1" customHeight="1">
      <c r="A75" s="137" t="n"/>
      <c r="B75" s="138" t="n"/>
      <c r="C75" s="138" t="n"/>
      <c r="D75" s="138" t="n"/>
      <c r="E75" s="138" t="n"/>
      <c r="F75" s="138" t="n"/>
      <c r="G75" s="138" t="n"/>
      <c r="H75" s="138" t="n"/>
      <c r="I75" s="139" t="n"/>
    </row>
    <row r="76" ht="23.1"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G96" s="141" t="n"/>
      <c r="H96" s="141" t="n"/>
      <c r="I96" s="142" t="n"/>
    </row>
    <row r="97" ht="15" customHeight="1">
      <c r="A97" s="140" t="n"/>
      <c r="B97" s="141" t="n"/>
      <c r="C97" s="141" t="n"/>
      <c r="D97" s="141" t="n"/>
      <c r="E97" s="141" t="n"/>
      <c r="F97" s="141" t="n"/>
      <c r="H97" s="141" t="n"/>
      <c r="I97" s="142" t="n"/>
    </row>
    <row r="98" ht="24.95" customFormat="1" customHeight="1" s="8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0" t="n"/>
      <c r="B112" s="141" t="n"/>
      <c r="C112" s="141" t="n"/>
      <c r="D112" s="141" t="n"/>
      <c r="E112" s="141" t="n"/>
      <c r="F112" s="141" t="n"/>
      <c r="G112" s="141" t="n"/>
      <c r="H112" s="141" t="n"/>
      <c r="I112" s="142" t="n"/>
    </row>
    <row r="113" ht="15" customHeight="1" thickBot="1">
      <c r="A113" s="143" t="n"/>
      <c r="B113" s="144" t="n"/>
      <c r="C113" s="144" t="n"/>
      <c r="D113" s="144" t="n"/>
      <c r="E113" s="144" t="n"/>
      <c r="F113" s="144" t="n"/>
      <c r="G113" s="144" t="n"/>
      <c r="H113" s="144" t="n"/>
      <c r="I113" s="145"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15" customHeight="1">
      <c r="A121" s="140" t="n"/>
      <c r="B121" s="141" t="n"/>
      <c r="C121" s="141" t="n"/>
      <c r="D121" s="141" t="n"/>
      <c r="E121" s="141" t="n"/>
      <c r="F121" s="141" t="n"/>
      <c r="G121" s="141" t="n"/>
      <c r="H121" s="141" t="n"/>
      <c r="I121" s="142" t="n"/>
    </row>
    <row r="122" ht="24.9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15" customHeight="1">
      <c r="A124" s="140" t="n"/>
      <c r="B124" s="141" t="n"/>
      <c r="C124" s="141" t="n"/>
      <c r="D124" s="141" t="n"/>
      <c r="E124" s="141" t="n"/>
      <c r="F124" s="141" t="n"/>
      <c r="G124" s="141" t="n"/>
      <c r="H124" s="141" t="n"/>
      <c r="I124" s="142" t="n"/>
    </row>
    <row r="125" ht="27.9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row>
    <row r="138" ht="15" customHeight="1" thickBot="1">
      <c r="A138" s="140" t="n"/>
      <c r="B138" s="141" t="n"/>
      <c r="C138" s="141" t="n"/>
      <c r="D138" s="141" t="n"/>
      <c r="E138" s="141" t="n"/>
      <c r="F138" s="141" t="n"/>
      <c r="G138" s="141" t="n"/>
      <c r="H138" s="141" t="n"/>
      <c r="I138" s="142" t="n"/>
      <c r="J138" s="146"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 customHeight="1">
      <c r="A144" s="140" t="n"/>
      <c r="B144" s="141" t="n"/>
      <c r="C144" s="141" t="n"/>
      <c r="D144" s="141" t="n"/>
      <c r="E144" s="141" t="n"/>
      <c r="F144" s="141" t="n"/>
      <c r="G144" s="141" t="n"/>
      <c r="H144" s="141" t="n"/>
      <c r="I144" s="142" t="n"/>
    </row>
    <row r="145" ht="15.95" customHeight="1">
      <c r="A145" s="140" t="n"/>
      <c r="B145" s="141" t="n"/>
      <c r="C145" s="141" t="n"/>
      <c r="D145" s="141" t="n"/>
      <c r="E145" s="141" t="n"/>
      <c r="F145" s="141" t="n"/>
      <c r="G145" s="141" t="n"/>
      <c r="H145" s="141" t="n"/>
      <c r="I145" s="142" t="n"/>
    </row>
    <row r="146" ht="30.75" customHeight="1">
      <c r="A146" s="247" t="n"/>
      <c r="E146" s="248" t="n"/>
      <c r="I146" s="271"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ht="15.95" customHeight="1" thickBot="1">
      <c r="A200" s="59" t="n"/>
      <c r="B200" s="60" t="n"/>
      <c r="C200" s="60" t="n"/>
      <c r="D200" s="60" t="n"/>
      <c r="E200" s="60" t="n"/>
      <c r="F200" s="60" t="n"/>
      <c r="G200" s="60" t="n"/>
      <c r="H200" s="60" t="n"/>
      <c r="I200" s="61" t="n"/>
    </row>
    <row r="201">
      <c r="A201" s="64" t="n"/>
      <c r="I201" s="65" t="n"/>
    </row>
    <row r="202">
      <c r="A202" s="64" t="n"/>
      <c r="I202" s="65" t="n"/>
    </row>
    <row r="203">
      <c r="A203" s="64" t="n"/>
      <c r="I203" s="65" t="n"/>
    </row>
    <row r="204">
      <c r="A204" s="64" t="n"/>
      <c r="I204" s="65" t="n"/>
    </row>
    <row r="205">
      <c r="A205" s="64" t="n"/>
      <c r="I205" s="65" t="n"/>
    </row>
    <row r="206">
      <c r="A206" s="64" t="n"/>
      <c r="I206" s="65" t="n"/>
    </row>
    <row r="207" ht="15.95" customHeight="1" thickBot="1">
      <c r="A207" s="59" t="n"/>
      <c r="B207" s="60" t="n"/>
      <c r="C207" s="60" t="n"/>
      <c r="D207" s="60" t="n"/>
      <c r="E207" s="60" t="n"/>
      <c r="F207" s="60" t="n"/>
      <c r="G207" s="60" t="n"/>
      <c r="H207" s="60" t="n"/>
      <c r="I207" s="61" t="n"/>
    </row>
  </sheetData>
  <mergeCells count="40">
    <mergeCell ref="A48:B48"/>
    <mergeCell ref="B47:C47"/>
    <mergeCell ref="D13:F13"/>
    <mergeCell ref="G13:I13"/>
    <mergeCell ref="B8:D8"/>
    <mergeCell ref="A66:I66"/>
    <mergeCell ref="B46:C46"/>
    <mergeCell ref="D48:I48"/>
    <mergeCell ref="A74:I74"/>
    <mergeCell ref="A55:I55"/>
    <mergeCell ref="A12:I12"/>
    <mergeCell ref="D47:I47"/>
    <mergeCell ref="B56:I56"/>
    <mergeCell ref="A69:I69"/>
    <mergeCell ref="A5:I5"/>
    <mergeCell ref="A51:I54"/>
    <mergeCell ref="B9:D9"/>
    <mergeCell ref="B60:I60"/>
    <mergeCell ref="C62:I62"/>
    <mergeCell ref="B57:I57"/>
    <mergeCell ref="B6:D6"/>
    <mergeCell ref="C58:I58"/>
    <mergeCell ref="A13:C13"/>
    <mergeCell ref="A146:D146"/>
    <mergeCell ref="A68:I68"/>
    <mergeCell ref="A10:I10"/>
    <mergeCell ref="A1:I4"/>
    <mergeCell ref="C64:I64"/>
    <mergeCell ref="A67:I67"/>
    <mergeCell ref="B7:D7"/>
    <mergeCell ref="C63:I63"/>
    <mergeCell ref="C65:I65"/>
    <mergeCell ref="A11:I11"/>
    <mergeCell ref="A49:I49"/>
    <mergeCell ref="D46:I46"/>
    <mergeCell ref="C59:I59"/>
    <mergeCell ref="B45:C45"/>
    <mergeCell ref="D45:I45"/>
    <mergeCell ref="A61:I61"/>
    <mergeCell ref="E146:I146"/>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3" min="0" max="8" man="1"/>
  </rowBreaks>
</worksheet>
</file>

<file path=xl/worksheets/sheet32.xml><?xml version="1.0" encoding="utf-8"?>
<worksheet xmlns="http://schemas.openxmlformats.org/spreadsheetml/2006/main">
  <sheetPr>
    <outlinePr summaryBelow="1" summaryRight="1"/>
    <pageSetUpPr fitToPage="1"/>
  </sheetPr>
  <dimension ref="A1:J207"/>
  <sheetViews>
    <sheetView view="pageBreakPreview" topLeftCell="A55" zoomScale="40" zoomScaleNormal="55" zoomScaleSheetLayoutView="40" workbookViewId="0">
      <selection activeCell="D81" sqref="D81"/>
    </sheetView>
  </sheetViews>
  <sheetFormatPr baseColWidth="8" defaultColWidth="9.140625" defaultRowHeight="15"/>
  <cols>
    <col width="62.140625" bestFit="1" customWidth="1" style="232" min="1" max="1"/>
    <col width="36.7109375" bestFit="1" customWidth="1" style="232" min="2" max="2"/>
    <col width="16" customWidth="1" style="232" min="3" max="3"/>
    <col width="35.42578125" customWidth="1" style="232" min="4" max="4"/>
    <col width="21.28515625" customWidth="1" style="232" min="5" max="5"/>
    <col width="11.42578125" bestFit="1" customWidth="1" style="232" min="6" max="6"/>
    <col width="60.42578125" bestFit="1" customWidth="1" style="232" min="7" max="7"/>
    <col width="27.140625" bestFit="1" customWidth="1" style="232" min="8" max="8"/>
    <col width="22.140625" customWidth="1" style="232" min="9" max="9"/>
    <col width="9.140625" customWidth="1" style="232" min="10" max="10"/>
    <col width="9.140625" customWidth="1" style="232" min="11" max="16384"/>
  </cols>
  <sheetData>
    <row r="1">
      <c r="A1" s="265" t="n"/>
      <c r="B1" s="268" t="n"/>
      <c r="C1" s="268" t="n"/>
      <c r="D1" s="268" t="n"/>
      <c r="E1" s="268" t="n"/>
      <c r="F1" s="268" t="n"/>
      <c r="G1" s="268" t="n"/>
      <c r="H1" s="268" t="n"/>
      <c r="I1" s="269" t="n"/>
    </row>
    <row r="2">
      <c r="A2" s="270" t="n"/>
      <c r="I2" s="271" t="n"/>
    </row>
    <row r="3">
      <c r="A3" s="270" t="n"/>
      <c r="I3" s="271" t="n"/>
    </row>
    <row r="4">
      <c r="A4" s="272" t="n"/>
      <c r="B4" s="273" t="n"/>
      <c r="C4" s="273" t="n"/>
      <c r="D4" s="273" t="n"/>
      <c r="E4" s="273" t="n"/>
      <c r="F4" s="273" t="n"/>
      <c r="G4" s="273" t="n"/>
      <c r="H4" s="273" t="n"/>
      <c r="I4" s="274" t="n"/>
    </row>
    <row r="5" ht="24.95" customHeight="1">
      <c r="A5" s="266" t="inlineStr">
        <is>
          <t>TCD DAILY FIELD REPORT</t>
        </is>
      </c>
      <c r="B5" s="275" t="n"/>
      <c r="C5" s="275" t="n"/>
      <c r="D5" s="275" t="n"/>
      <c r="E5" s="275" t="n"/>
      <c r="F5" s="275" t="n"/>
      <c r="G5" s="275" t="n"/>
      <c r="H5" s="275" t="n"/>
      <c r="I5" s="276" t="n"/>
    </row>
    <row r="6" ht="23.1" customHeight="1">
      <c r="A6" s="82" t="inlineStr">
        <is>
          <t>Project Name:</t>
        </is>
      </c>
      <c r="B6" s="267" t="inlineStr">
        <is>
          <t>Batavia Station Square</t>
        </is>
      </c>
      <c r="E6" s="267" t="n"/>
      <c r="F6" s="84" t="n"/>
      <c r="G6" s="84" t="n"/>
      <c r="H6" s="85" t="inlineStr">
        <is>
          <t>Date:</t>
        </is>
      </c>
      <c r="I6" s="86" t="n">
        <v>45905</v>
      </c>
    </row>
    <row r="7" ht="23.1" customHeight="1">
      <c r="A7" s="82" t="inlineStr">
        <is>
          <t>Project Location:</t>
        </is>
      </c>
      <c r="B7" s="267" t="inlineStr">
        <is>
          <t>Geraldton</t>
        </is>
      </c>
      <c r="E7" s="267" t="n"/>
      <c r="F7" s="84" t="n"/>
      <c r="G7" s="84" t="n"/>
      <c r="H7" s="87" t="inlineStr">
        <is>
          <t>Day:</t>
        </is>
      </c>
      <c r="I7" s="88" t="inlineStr">
        <is>
          <t>Friday</t>
        </is>
      </c>
    </row>
    <row r="8" ht="23.1" customHeight="1">
      <c r="A8" s="82" t="inlineStr">
        <is>
          <t>Project Number:</t>
        </is>
      </c>
      <c r="B8" s="267" t="inlineStr">
        <is>
          <t>TCD-1816</t>
        </is>
      </c>
      <c r="E8" s="267" t="n"/>
      <c r="F8" s="84" t="n"/>
      <c r="G8" s="84" t="n"/>
      <c r="H8" s="87" t="inlineStr">
        <is>
          <t>Start:</t>
        </is>
      </c>
      <c r="I8" s="89" t="n">
        <v>0.25</v>
      </c>
    </row>
    <row r="9" ht="23.1" customHeight="1">
      <c r="A9" s="82" t="inlineStr">
        <is>
          <t>Report Number:</t>
        </is>
      </c>
      <c r="B9" s="264" t="n">
        <v>94</v>
      </c>
      <c r="C9" s="273" t="n"/>
      <c r="D9" s="273" t="n"/>
      <c r="E9" s="264" t="n"/>
      <c r="F9" s="91" t="n"/>
      <c r="G9" s="91" t="n"/>
      <c r="H9" s="87" t="inlineStr">
        <is>
          <t>Finish:</t>
        </is>
      </c>
      <c r="I9" s="89" t="n">
        <v>0.7083333333333334</v>
      </c>
    </row>
    <row r="10" ht="24.95" customHeight="1">
      <c r="A10" s="245" t="inlineStr">
        <is>
          <t>WEATHER &amp; GROUND CONDITIONS</t>
        </is>
      </c>
      <c r="B10" s="275" t="n"/>
      <c r="C10" s="275" t="n"/>
      <c r="D10" s="275" t="n"/>
      <c r="E10" s="275" t="n"/>
      <c r="F10" s="275" t="n"/>
      <c r="G10" s="275" t="n"/>
      <c r="H10" s="275" t="n"/>
      <c r="I10" s="277" t="n"/>
    </row>
    <row r="11" ht="23.1" customHeight="1">
      <c r="A11" s="261" t="inlineStr">
        <is>
          <t>Temperature: 22 degrees  Wind:  25km/h E Precip: 0 mm</t>
        </is>
      </c>
      <c r="B11" s="275" t="n"/>
      <c r="C11" s="275" t="n"/>
      <c r="D11" s="275" t="n"/>
      <c r="E11" s="275" t="n"/>
      <c r="F11" s="275" t="n"/>
      <c r="G11" s="275" t="n"/>
      <c r="H11" s="275" t="n"/>
      <c r="I11" s="277" t="n"/>
    </row>
    <row r="12" ht="24.95" customHeight="1">
      <c r="A12" s="246" t="inlineStr">
        <is>
          <t>PERSONNEL</t>
        </is>
      </c>
      <c r="B12" s="278" t="n"/>
      <c r="C12" s="278" t="n"/>
      <c r="D12" s="278" t="n"/>
      <c r="E12" s="278" t="n"/>
      <c r="F12" s="278" t="n"/>
      <c r="G12" s="278" t="n"/>
      <c r="H12" s="278" t="n"/>
      <c r="I12" s="279" t="n"/>
    </row>
    <row r="13" ht="23.1" customHeight="1">
      <c r="A13" s="262" t="inlineStr">
        <is>
          <t>TCD Indirects</t>
        </is>
      </c>
      <c r="B13" s="275" t="n"/>
      <c r="C13" s="276" t="n"/>
      <c r="D13" s="263" t="inlineStr">
        <is>
          <t>TCD Directs</t>
        </is>
      </c>
      <c r="E13" s="275" t="n"/>
      <c r="F13" s="276" t="n"/>
      <c r="G13" s="263" t="inlineStr">
        <is>
          <t>Subcontractors</t>
        </is>
      </c>
      <c r="H13" s="275" t="n"/>
      <c r="I13" s="276" t="n"/>
    </row>
    <row r="14" ht="24" customHeight="1">
      <c r="A14" s="262" t="inlineStr">
        <is>
          <t xml:space="preserve"> Name</t>
        </is>
      </c>
      <c r="B14" s="263" t="inlineStr">
        <is>
          <t>Position</t>
        </is>
      </c>
      <c r="C14" s="94" t="inlineStr">
        <is>
          <t>Hours</t>
        </is>
      </c>
      <c r="D14" s="263" t="inlineStr">
        <is>
          <t xml:space="preserve"> Name</t>
        </is>
      </c>
      <c r="E14" s="263" t="inlineStr">
        <is>
          <t>Position</t>
        </is>
      </c>
      <c r="F14" s="94" t="inlineStr">
        <is>
          <t>Hours</t>
        </is>
      </c>
      <c r="G14" s="263" t="inlineStr">
        <is>
          <t xml:space="preserve"> Name</t>
        </is>
      </c>
      <c r="H14" s="263" t="inlineStr">
        <is>
          <t>Position</t>
        </is>
      </c>
      <c r="I14" s="256" t="inlineStr">
        <is>
          <t>Hours</t>
        </is>
      </c>
    </row>
    <row r="15" ht="23.1" customHeight="1">
      <c r="A15" s="96" t="inlineStr">
        <is>
          <t>WATKINS, Steve</t>
        </is>
      </c>
      <c r="B15" s="97" t="inlineStr">
        <is>
          <t>Civil Manager</t>
        </is>
      </c>
      <c r="C15" s="98" t="n"/>
      <c r="D15" s="99" t="inlineStr">
        <is>
          <t>Asmatullayev, Ikhtiyar</t>
        </is>
      </c>
      <c r="E15" s="97" t="inlineStr">
        <is>
          <t>Labourer</t>
        </is>
      </c>
      <c r="F15" s="97" t="n">
        <v>11</v>
      </c>
      <c r="G15" s="100" t="inlineStr">
        <is>
          <t>Khegan Brockman</t>
        </is>
      </c>
      <c r="H15" s="97" t="inlineStr">
        <is>
          <t>Labourer</t>
        </is>
      </c>
      <c r="I15" s="101" t="n">
        <v>10</v>
      </c>
    </row>
    <row r="16" ht="23.1" customHeight="1">
      <c r="A16" s="96" t="inlineStr">
        <is>
          <t>GRIFFITHS, Daniel</t>
        </is>
      </c>
      <c r="B16" s="97" t="inlineStr">
        <is>
          <t>Project Manager</t>
        </is>
      </c>
      <c r="C16" s="102" t="n">
        <v>11.5</v>
      </c>
      <c r="D16" s="100" t="inlineStr">
        <is>
          <t>Hanly,Thomas</t>
        </is>
      </c>
      <c r="E16" s="97" t="inlineStr">
        <is>
          <t>Operator</t>
        </is>
      </c>
      <c r="F16" s="97" t="n">
        <v>11</v>
      </c>
      <c r="G16" s="100" t="inlineStr">
        <is>
          <t>Daniel McAuffile</t>
        </is>
      </c>
      <c r="H16" s="97" t="inlineStr">
        <is>
          <t>Operator</t>
        </is>
      </c>
      <c r="I16" s="101" t="n">
        <v>10</v>
      </c>
    </row>
    <row r="17" ht="23.1" customHeight="1">
      <c r="A17" s="96" t="inlineStr">
        <is>
          <t>O"SHEA, John</t>
        </is>
      </c>
      <c r="B17" s="97" t="inlineStr">
        <is>
          <t>Senior Project Engineer</t>
        </is>
      </c>
      <c r="C17" s="102" t="n"/>
      <c r="D17" s="103" t="n"/>
      <c r="E17" s="103" t="n"/>
      <c r="F17" s="97" t="n"/>
      <c r="G17" s="100" t="inlineStr">
        <is>
          <t>Jachai Griffiths</t>
        </is>
      </c>
      <c r="H17" s="97" t="inlineStr">
        <is>
          <t>Operator</t>
        </is>
      </c>
      <c r="I17" s="101" t="n"/>
    </row>
    <row r="18" ht="23.1" customHeight="1">
      <c r="A18" s="96" t="inlineStr">
        <is>
          <t>GRIFFITHS, Ashley</t>
        </is>
      </c>
      <c r="B18" s="97" t="inlineStr">
        <is>
          <t>Supervisor</t>
        </is>
      </c>
      <c r="C18" s="102" t="n"/>
      <c r="D18" s="99" t="n"/>
      <c r="E18" s="99" t="n"/>
      <c r="F18" s="97" t="n"/>
      <c r="G18" s="100" t="inlineStr">
        <is>
          <t>O'Brian, Jamie</t>
        </is>
      </c>
      <c r="H18" s="97" t="inlineStr">
        <is>
          <t>Operator</t>
        </is>
      </c>
      <c r="I18" s="101" t="n">
        <v>10</v>
      </c>
    </row>
    <row r="19" ht="23.1" customHeight="1">
      <c r="A19" s="96" t="inlineStr">
        <is>
          <t>LOW, June</t>
        </is>
      </c>
      <c r="B19" s="97" t="inlineStr">
        <is>
          <t>HSET</t>
        </is>
      </c>
      <c r="C19" s="102" t="n"/>
      <c r="D19" s="99" t="n"/>
      <c r="E19" s="99" t="n"/>
      <c r="F19" s="97" t="n"/>
      <c r="G19" s="100" t="inlineStr">
        <is>
          <t>O'Reilly,James</t>
        </is>
      </c>
      <c r="H19" s="97" t="inlineStr">
        <is>
          <t>Operator</t>
        </is>
      </c>
      <c r="I19" s="101" t="n"/>
    </row>
    <row r="20" ht="23.1" customHeight="1">
      <c r="A20" s="96" t="inlineStr">
        <is>
          <t>SKINNER,Jamie</t>
        </is>
      </c>
      <c r="B20" s="97" t="inlineStr">
        <is>
          <t>Supervisor</t>
        </is>
      </c>
      <c r="C20" s="102" t="n">
        <v>11.5</v>
      </c>
      <c r="D20" s="99" t="n"/>
      <c r="E20" s="99" t="n"/>
      <c r="F20" s="97" t="n"/>
      <c r="G20" s="100" t="inlineStr">
        <is>
          <t>Dixon, Warren</t>
        </is>
      </c>
      <c r="H20" s="97" t="inlineStr">
        <is>
          <t>Irrigation Installer</t>
        </is>
      </c>
      <c r="I20" s="101" t="n"/>
    </row>
    <row r="21" ht="23.1" customHeight="1">
      <c r="A21" s="96" t="n"/>
      <c r="B21" s="97" t="n"/>
      <c r="C21" s="102" t="n"/>
      <c r="D21" s="99" t="n"/>
      <c r="E21" s="99" t="n"/>
      <c r="F21" s="97" t="n"/>
      <c r="G21" s="100" t="inlineStr">
        <is>
          <t>Mosley,Joshua</t>
        </is>
      </c>
      <c r="H21" s="97" t="inlineStr">
        <is>
          <t>Surveyor</t>
        </is>
      </c>
      <c r="I21" s="101" t="n"/>
    </row>
    <row r="22" ht="23.1" customHeight="1">
      <c r="A22" s="96" t="n"/>
      <c r="B22" s="97" t="n"/>
      <c r="C22" s="102" t="n"/>
      <c r="D22" s="99" t="n"/>
      <c r="E22" s="99" t="n"/>
      <c r="F22" s="97" t="n"/>
      <c r="G22" s="100" t="n"/>
      <c r="H22" s="97" t="n"/>
      <c r="I22" s="101" t="n"/>
    </row>
    <row r="23" ht="23.1" customHeight="1">
      <c r="A23" s="96" t="n"/>
      <c r="B23" s="97" t="n"/>
      <c r="C23" s="102" t="n"/>
      <c r="D23" s="99" t="n"/>
      <c r="E23" s="99" t="n"/>
      <c r="F23" s="97" t="n"/>
      <c r="G23" s="100" t="n"/>
      <c r="H23" s="97" t="n"/>
      <c r="I23" s="101" t="n"/>
    </row>
    <row r="24" ht="23.1" customHeight="1">
      <c r="A24" s="96" t="n"/>
      <c r="B24" s="97" t="n"/>
      <c r="C24" s="102" t="n"/>
      <c r="D24" s="99" t="n"/>
      <c r="E24" s="99" t="n"/>
      <c r="F24" s="97" t="n"/>
      <c r="G24" s="100" t="n"/>
      <c r="H24" s="97" t="n"/>
      <c r="I24" s="101" t="n"/>
    </row>
    <row r="25" ht="23.1" customHeight="1">
      <c r="A25" s="96" t="n"/>
      <c r="B25" s="97" t="n"/>
      <c r="C25" s="102" t="n"/>
      <c r="D25" s="99" t="n"/>
      <c r="E25" s="99" t="n"/>
      <c r="F25" s="97" t="n"/>
      <c r="G25" s="151" t="n"/>
      <c r="H25" s="151" t="n"/>
      <c r="I25" s="107" t="n"/>
    </row>
    <row r="26" ht="23.1" customHeight="1">
      <c r="A26" s="255" t="inlineStr">
        <is>
          <t xml:space="preserve">Total Indirect Personnel onsite: </t>
        </is>
      </c>
      <c r="B26" s="105">
        <f>COUNT(C15:C26)</f>
        <v/>
      </c>
      <c r="C26" s="99" t="n"/>
      <c r="D26" s="99" t="n"/>
      <c r="E26" s="99" t="n"/>
      <c r="F26" s="97" t="n"/>
      <c r="G26" s="152" t="n"/>
      <c r="H26" s="151" t="n"/>
      <c r="I26" s="101" t="n"/>
    </row>
    <row r="27" ht="23.1" customHeight="1">
      <c r="A27" s="255" t="inlineStr">
        <is>
          <t xml:space="preserve">Total Indirect Personnel hours: </t>
        </is>
      </c>
      <c r="B27" s="105">
        <f>SUM(C15:C25)</f>
        <v/>
      </c>
      <c r="C27" s="102" t="n"/>
      <c r="D27" s="99" t="n"/>
      <c r="E27" s="99" t="n"/>
      <c r="F27" s="97" t="n"/>
      <c r="G27" s="106" t="inlineStr">
        <is>
          <t>Total Subcontractor on-site:</t>
        </is>
      </c>
      <c r="H27" s="107">
        <f>COUNT(I15:I25)</f>
        <v/>
      </c>
      <c r="I27" s="101" t="n"/>
    </row>
    <row r="28" ht="23.1" customHeight="1">
      <c r="A28" s="255" t="inlineStr">
        <is>
          <t xml:space="preserve">Total Direct Personnel onsite:  </t>
        </is>
      </c>
      <c r="B28" s="105">
        <f>COUNTIF(F15:F29,"&gt;0")</f>
        <v/>
      </c>
      <c r="C28" s="105" t="n"/>
      <c r="D28" s="99" t="n"/>
      <c r="E28" s="99" t="n"/>
      <c r="F28" s="108" t="n"/>
      <c r="G28" s="106" t="inlineStr">
        <is>
          <t>Total Subcontractor hours:</t>
        </is>
      </c>
      <c r="H28" s="107">
        <f>SUM(I15:I25)</f>
        <v/>
      </c>
      <c r="I28" s="254" t="n"/>
    </row>
    <row r="29" ht="23.1" customHeight="1">
      <c r="A29" s="255" t="inlineStr">
        <is>
          <t xml:space="preserve">Total Direct Personnel hours: </t>
        </is>
      </c>
      <c r="B29" s="105">
        <f>SUM(F15:F29)</f>
        <v/>
      </c>
      <c r="C29" s="105" t="n"/>
      <c r="D29" s="105" t="n"/>
      <c r="E29" s="105" t="n"/>
      <c r="F29" s="105" t="n"/>
      <c r="G29" s="105" t="n"/>
      <c r="H29" s="105" t="n"/>
      <c r="I29" s="254" t="n"/>
    </row>
    <row r="30" ht="24.95" customHeight="1">
      <c r="A30" s="110" t="inlineStr">
        <is>
          <t>PLANT &amp; EQUIPMENT</t>
        </is>
      </c>
      <c r="B30" s="111" t="n"/>
      <c r="C30" s="111" t="n"/>
      <c r="D30" s="111" t="n"/>
      <c r="E30" s="111" t="n"/>
      <c r="F30" s="111" t="n"/>
      <c r="G30" s="111" t="n"/>
      <c r="H30" s="111" t="n"/>
      <c r="I30" s="112" t="n"/>
    </row>
    <row r="31" ht="24" customHeight="1">
      <c r="A31" s="262" t="inlineStr">
        <is>
          <t>Plant</t>
        </is>
      </c>
      <c r="B31" s="263" t="inlineStr">
        <is>
          <t>ID</t>
        </is>
      </c>
      <c r="C31" s="263" t="inlineStr">
        <is>
          <t>Hours</t>
        </is>
      </c>
      <c r="D31" s="263" t="inlineStr">
        <is>
          <t xml:space="preserve"> Vehicles</t>
        </is>
      </c>
      <c r="E31" s="263" t="inlineStr">
        <is>
          <t>ID</t>
        </is>
      </c>
      <c r="F31" s="263" t="inlineStr">
        <is>
          <t>QTY</t>
        </is>
      </c>
      <c r="G31" s="113" t="inlineStr">
        <is>
          <t>Site Facilities</t>
        </is>
      </c>
      <c r="H31" s="113" t="inlineStr">
        <is>
          <t>ID</t>
        </is>
      </c>
      <c r="I31" s="114" t="inlineStr">
        <is>
          <t>Qty</t>
        </is>
      </c>
    </row>
    <row r="32" ht="23.1" customHeight="1">
      <c r="A32" s="96" t="inlineStr">
        <is>
          <t>Komatsu WA320</t>
        </is>
      </c>
      <c r="B32" s="97" t="inlineStr">
        <is>
          <t>FWL18</t>
        </is>
      </c>
      <c r="C32" s="97" t="n">
        <v>5</v>
      </c>
      <c r="D32" s="102" t="inlineStr">
        <is>
          <t>Hilux</t>
        </is>
      </c>
      <c r="E32" s="102" t="inlineStr">
        <is>
          <t>DLV90</t>
        </is>
      </c>
      <c r="F32" s="102" t="n">
        <v>1</v>
      </c>
      <c r="G32" s="102" t="inlineStr">
        <is>
          <t>Office 40ft</t>
        </is>
      </c>
      <c r="H32" s="102" t="n">
        <v>9255540</v>
      </c>
      <c r="I32" s="101" t="n">
        <v>1</v>
      </c>
    </row>
    <row r="33" ht="23.1" customHeight="1">
      <c r="A33" s="96" t="inlineStr">
        <is>
          <t>Wacker Neuson DPU</t>
        </is>
      </c>
      <c r="B33" s="97" t="inlineStr">
        <is>
          <t>DPC15</t>
        </is>
      </c>
      <c r="C33" s="97" t="n"/>
      <c r="D33" s="102" t="inlineStr">
        <is>
          <t>Hilux</t>
        </is>
      </c>
      <c r="E33" s="102" t="inlineStr">
        <is>
          <t>1DAH:400</t>
        </is>
      </c>
      <c r="F33" s="102" t="n">
        <v>1</v>
      </c>
      <c r="G33" s="102" t="inlineStr">
        <is>
          <t>Sea Container 20ft</t>
        </is>
      </c>
      <c r="H33" s="97" t="n">
        <v>951200</v>
      </c>
      <c r="I33" s="101" t="n">
        <v>1</v>
      </c>
    </row>
    <row r="34" ht="23.1" customHeight="1">
      <c r="A34" s="115" t="inlineStr">
        <is>
          <t>Watercart</t>
        </is>
      </c>
      <c r="B34" s="102" t="inlineStr">
        <is>
          <t>WC04</t>
        </is>
      </c>
      <c r="C34" s="97" t="n">
        <v>10</v>
      </c>
      <c r="D34" s="102" t="n"/>
      <c r="E34" s="97" t="n"/>
      <c r="F34" s="102" t="n"/>
      <c r="G34" s="102" t="inlineStr">
        <is>
          <t>Site Sentry Tower</t>
        </is>
      </c>
      <c r="H34" s="102" t="n"/>
      <c r="I34" s="101" t="n">
        <v>2</v>
      </c>
    </row>
    <row r="35" ht="23.1" customHeight="1">
      <c r="A35" s="115" t="inlineStr">
        <is>
          <t>8T Excavator</t>
        </is>
      </c>
      <c r="B35" s="116" t="inlineStr">
        <is>
          <t>AMG 014</t>
        </is>
      </c>
      <c r="C35" s="97" t="n"/>
      <c r="D35" s="102" t="n"/>
      <c r="E35" s="102" t="n"/>
      <c r="F35" s="102" t="n"/>
      <c r="G35" s="102" t="inlineStr">
        <is>
          <t>Skip Bin</t>
        </is>
      </c>
      <c r="H35" s="102" t="n"/>
      <c r="I35" s="101" t="n">
        <v>1</v>
      </c>
    </row>
    <row r="36" ht="23.1" customHeight="1">
      <c r="A36" s="102" t="inlineStr">
        <is>
          <t>Mini Tipper</t>
        </is>
      </c>
      <c r="B36" s="102" t="inlineStr">
        <is>
          <t>SLS05</t>
        </is>
      </c>
      <c r="C36" s="102" t="n"/>
      <c r="D36" s="102" t="n"/>
      <c r="E36" s="102" t="n"/>
      <c r="F36" s="102" t="n"/>
      <c r="G36" s="102" t="inlineStr">
        <is>
          <t>Hydrocarbon Bund</t>
        </is>
      </c>
      <c r="H36" s="102" t="n"/>
      <c r="I36" s="101" t="n">
        <v>1</v>
      </c>
    </row>
    <row r="37" ht="23.1" customHeight="1">
      <c r="A37" s="150" t="inlineStr">
        <is>
          <t>1 t Excavator</t>
        </is>
      </c>
      <c r="B37" s="102" t="inlineStr">
        <is>
          <t>SLS03</t>
        </is>
      </c>
      <c r="C37" s="102" t="n"/>
      <c r="D37" s="102" t="n"/>
      <c r="E37" s="102" t="n"/>
      <c r="F37" s="102" t="n"/>
      <c r="G37" s="102" t="inlineStr">
        <is>
          <t>Temp Fence</t>
        </is>
      </c>
      <c r="H37" s="97" t="n"/>
      <c r="I37" s="101" t="n">
        <v>1</v>
      </c>
    </row>
    <row r="38" ht="24" customHeight="1">
      <c r="A38" s="150" t="inlineStr">
        <is>
          <t>14t Excavator with GPS</t>
        </is>
      </c>
      <c r="B38" s="102" t="n"/>
      <c r="C38" s="102" t="n"/>
      <c r="D38" s="102" t="n"/>
      <c r="E38" s="102" t="n"/>
      <c r="F38" s="102" t="n"/>
      <c r="G38" s="31" t="n"/>
      <c r="H38" s="31" t="n"/>
      <c r="I38" s="32" t="n"/>
    </row>
    <row r="39" ht="24" customHeight="1">
      <c r="A39" s="150" t="inlineStr">
        <is>
          <t>5t Excavator</t>
        </is>
      </c>
      <c r="B39" s="102" t="inlineStr">
        <is>
          <t>A118</t>
        </is>
      </c>
      <c r="C39" s="102" t="n"/>
      <c r="D39" s="102" t="n"/>
      <c r="E39" s="102" t="n"/>
      <c r="F39" s="102" t="n"/>
      <c r="G39" s="31" t="n"/>
      <c r="H39" s="31" t="n"/>
      <c r="I39" s="32" t="n"/>
    </row>
    <row r="40" ht="24" customHeight="1">
      <c r="A40" s="115" t="inlineStr">
        <is>
          <t>Padfoot/ Smooth Drum Roller</t>
        </is>
      </c>
      <c r="B40" s="102" t="inlineStr">
        <is>
          <t>RR 03</t>
        </is>
      </c>
      <c r="C40" s="97" t="n">
        <v>5</v>
      </c>
      <c r="D40" s="102" t="n"/>
      <c r="E40" s="102" t="n"/>
      <c r="F40" s="102" t="n"/>
      <c r="G40" s="31" t="n"/>
      <c r="H40" s="31" t="n"/>
      <c r="I40" s="32" t="n"/>
    </row>
    <row r="41" ht="24" customHeight="1">
      <c r="A41" s="115" t="inlineStr">
        <is>
          <t>Multi Roller</t>
        </is>
      </c>
      <c r="B41" s="102" t="n">
        <v>256</v>
      </c>
      <c r="C41" s="97" t="n">
        <v>5</v>
      </c>
      <c r="D41" s="102" t="n"/>
      <c r="E41" s="102" t="n"/>
      <c r="F41" s="102" t="n"/>
      <c r="G41" s="31" t="n"/>
      <c r="H41" s="31" t="n"/>
      <c r="I41" s="32" t="n"/>
    </row>
    <row r="42" ht="24" customHeight="1">
      <c r="A42" s="115" t="inlineStr">
        <is>
          <t>Positrak SSL</t>
        </is>
      </c>
      <c r="B42" s="102" t="inlineStr">
        <is>
          <t>SSL08</t>
        </is>
      </c>
      <c r="C42" s="97" t="n">
        <v>5</v>
      </c>
      <c r="D42" s="102" t="n"/>
      <c r="E42" s="102" t="n"/>
      <c r="F42" s="102" t="n"/>
      <c r="G42" s="31" t="n"/>
      <c r="H42" s="31" t="n"/>
      <c r="I42" s="32" t="n"/>
    </row>
    <row r="43" ht="24" customHeight="1">
      <c r="A43" s="115" t="inlineStr">
        <is>
          <t>Grader</t>
        </is>
      </c>
      <c r="B43" s="102" t="inlineStr">
        <is>
          <t>SLS01</t>
        </is>
      </c>
      <c r="C43" s="97" t="n">
        <v>9</v>
      </c>
      <c r="D43" s="102" t="n"/>
      <c r="E43" s="102" t="n"/>
      <c r="F43" s="102" t="n"/>
      <c r="G43" s="31" t="n"/>
      <c r="H43" s="31" t="n"/>
      <c r="I43" s="32" t="n"/>
    </row>
    <row r="44" ht="24" customHeight="1">
      <c r="A44" s="115" t="n"/>
      <c r="B44" s="102" t="n"/>
      <c r="C44" s="97" t="n"/>
      <c r="D44" s="31" t="n"/>
      <c r="E44" s="31" t="n"/>
      <c r="F44" s="31" t="n"/>
      <c r="G44" s="31" t="n"/>
      <c r="H44" s="31" t="n"/>
      <c r="I44" s="32" t="n"/>
    </row>
    <row r="45" ht="18" customHeight="1">
      <c r="A45" s="117" t="n">
        <v>0</v>
      </c>
      <c r="B45" s="260" t="inlineStr">
        <is>
          <t xml:space="preserve">Repairs Required </t>
        </is>
      </c>
      <c r="C45" s="276" t="n"/>
      <c r="D45" s="249" t="inlineStr">
        <is>
          <t>N/A</t>
        </is>
      </c>
      <c r="E45" s="275" t="n"/>
      <c r="F45" s="275" t="n"/>
      <c r="G45" s="275" t="n"/>
      <c r="H45" s="275" t="n"/>
      <c r="I45" s="277" t="n"/>
    </row>
    <row r="46" ht="18" customHeight="1">
      <c r="A46" s="118" t="n">
        <v>0</v>
      </c>
      <c r="B46" s="260" t="inlineStr">
        <is>
          <t>Scheduled Service</t>
        </is>
      </c>
      <c r="C46" s="276" t="n"/>
      <c r="D46" s="249" t="inlineStr">
        <is>
          <t>N/A</t>
        </is>
      </c>
      <c r="E46" s="275" t="n"/>
      <c r="F46" s="275" t="n"/>
      <c r="G46" s="275" t="n"/>
      <c r="H46" s="275" t="n"/>
      <c r="I46" s="277" t="n"/>
    </row>
    <row r="47" ht="18" customHeight="1">
      <c r="A47" s="119" t="n">
        <v>0</v>
      </c>
      <c r="B47" s="260" t="n"/>
      <c r="C47" s="276" t="n"/>
      <c r="D47" s="249" t="inlineStr">
        <is>
          <t>N/A</t>
        </is>
      </c>
      <c r="E47" s="275" t="n"/>
      <c r="F47" s="275" t="n"/>
      <c r="G47" s="275" t="n"/>
      <c r="H47" s="275" t="n"/>
      <c r="I47" s="277" t="n"/>
    </row>
    <row r="48" ht="23.1" customHeight="1">
      <c r="A48" s="255" t="inlineStr">
        <is>
          <t xml:space="preserve">Total Plant and Equipment Hours: </t>
        </is>
      </c>
      <c r="B48" s="276" t="n"/>
      <c r="C48" s="120">
        <f>SUM(C32:C44)</f>
        <v/>
      </c>
      <c r="D48" s="256" t="n"/>
      <c r="E48" s="275" t="n"/>
      <c r="F48" s="275" t="n"/>
      <c r="G48" s="275" t="n"/>
      <c r="H48" s="275" t="n"/>
      <c r="I48" s="277" t="n"/>
    </row>
    <row r="49" ht="24.95" customHeight="1">
      <c r="A49" s="245" t="inlineStr">
        <is>
          <t>DELAYS-OPPORTUNITY</t>
        </is>
      </c>
      <c r="B49" s="275" t="n"/>
      <c r="C49" s="275" t="n"/>
      <c r="D49" s="275" t="n"/>
      <c r="E49" s="275" t="n"/>
      <c r="F49" s="275" t="n"/>
      <c r="G49" s="275" t="n"/>
      <c r="H49" s="275" t="n"/>
      <c r="I49" s="277" t="n"/>
    </row>
    <row r="50" ht="20.1" customHeight="1">
      <c r="A50" s="121" t="n"/>
      <c r="B50" s="122" t="n"/>
      <c r="C50" s="122" t="n"/>
      <c r="D50" s="122" t="n"/>
      <c r="E50" s="122" t="n"/>
      <c r="F50" s="122" t="n"/>
      <c r="G50" s="122" t="n"/>
      <c r="H50" s="122" t="n"/>
      <c r="I50" s="123" t="n"/>
    </row>
    <row r="51" ht="15" customHeight="1">
      <c r="A51" s="244" t="inlineStr">
        <is>
          <t>Awaiting COGG confirmation on detail of Centrelink Carpark                             
Awaiting Kerbing Plan being Amended by TCD
Awaiting Direction on Service Clash Forrest Street
Awaiting Confirmation on Batters Treatment 
Awaiting finalised fencing details
Awaiting COGG confirmation on "Ballast Pile"
Instructions Provided for Laneway Sewer, Drainage and Light Pole Removal</t>
        </is>
      </c>
      <c r="B51" s="278" t="n"/>
      <c r="C51" s="278" t="n"/>
      <c r="D51" s="278" t="n"/>
      <c r="E51" s="278" t="n"/>
      <c r="F51" s="278" t="n"/>
      <c r="G51" s="278" t="n"/>
      <c r="H51" s="278" t="n"/>
      <c r="I51" s="279" t="n"/>
    </row>
    <row r="52">
      <c r="A52" s="270" t="n"/>
      <c r="I52" s="271" t="n"/>
    </row>
    <row r="53" ht="49.5" customHeight="1">
      <c r="A53" s="270" t="n"/>
      <c r="I53" s="271" t="n"/>
    </row>
    <row r="54" ht="80.09999999999999" customHeight="1">
      <c r="A54" s="280" t="n"/>
      <c r="B54" s="281" t="n"/>
      <c r="C54" s="281" t="n"/>
      <c r="D54" s="281" t="n"/>
      <c r="E54" s="281" t="n"/>
      <c r="F54" s="281" t="n"/>
      <c r="G54" s="281" t="n"/>
      <c r="H54" s="281" t="n"/>
      <c r="I54" s="282" t="n"/>
    </row>
    <row r="55" ht="24.95" customHeight="1">
      <c r="A55" s="252" t="inlineStr">
        <is>
          <t>HSEQ MESSAGES</t>
        </is>
      </c>
      <c r="B55" s="283" t="n"/>
      <c r="C55" s="283" t="n"/>
      <c r="D55" s="283" t="n"/>
      <c r="E55" s="283" t="n"/>
      <c r="F55" s="283" t="n"/>
      <c r="G55" s="283" t="n"/>
      <c r="H55" s="283" t="n"/>
      <c r="I55" s="284" t="n"/>
    </row>
    <row r="56" ht="18" customHeight="1">
      <c r="A56" s="124" t="inlineStr">
        <is>
          <t>TCD - Monthly Safety Focus:</t>
        </is>
      </c>
      <c r="B56" s="257" t="inlineStr">
        <is>
          <t>Return to Work</t>
        </is>
      </c>
      <c r="C56" s="275" t="n"/>
      <c r="D56" s="275" t="n"/>
      <c r="E56" s="275" t="n"/>
      <c r="F56" s="275" t="n"/>
      <c r="G56" s="275" t="n"/>
      <c r="H56" s="275" t="n"/>
      <c r="I56" s="276" t="n"/>
    </row>
    <row r="57" ht="24" customHeight="1">
      <c r="A57" s="124" t="inlineStr">
        <is>
          <t>TCD - Daily Safety Focus:</t>
        </is>
      </c>
      <c r="B57" s="258" t="inlineStr">
        <is>
          <t>Pre-starts</t>
        </is>
      </c>
      <c r="C57" s="275" t="n"/>
      <c r="D57" s="275" t="n"/>
      <c r="E57" s="275" t="n"/>
      <c r="F57" s="275" t="n"/>
      <c r="G57" s="275" t="n"/>
      <c r="H57" s="275" t="n"/>
      <c r="I57" s="277" t="n"/>
    </row>
    <row r="58" ht="18" customHeight="1">
      <c r="A58" s="125" t="inlineStr">
        <is>
          <t xml:space="preserve">Hazards Reported: </t>
        </is>
      </c>
      <c r="B58" s="126" t="inlineStr">
        <is>
          <t>Nil</t>
        </is>
      </c>
      <c r="C58" s="258" t="n"/>
      <c r="D58" s="275" t="n"/>
      <c r="E58" s="275" t="n"/>
      <c r="F58" s="275" t="n"/>
      <c r="G58" s="275" t="n"/>
      <c r="H58" s="275" t="n"/>
      <c r="I58" s="277" t="n"/>
    </row>
    <row r="59" ht="18" customHeight="1">
      <c r="A59" s="125" t="inlineStr">
        <is>
          <t>Incident Free Days</t>
        </is>
      </c>
      <c r="B59" s="126" t="n">
        <v>11</v>
      </c>
      <c r="C59" s="257" t="n"/>
      <c r="D59" s="275" t="n"/>
      <c r="E59" s="275" t="n"/>
      <c r="F59" s="275" t="n"/>
      <c r="G59" s="275" t="n"/>
      <c r="H59" s="275" t="n"/>
      <c r="I59" s="276" t="n"/>
    </row>
    <row r="60" ht="18" customHeight="1">
      <c r="A60" s="127" t="inlineStr">
        <is>
          <t>Other Notes</t>
        </is>
      </c>
      <c r="B60" s="259" t="n"/>
      <c r="C60" s="278" t="n"/>
      <c r="D60" s="278" t="n"/>
      <c r="E60" s="278" t="n"/>
      <c r="F60" s="278" t="n"/>
      <c r="G60" s="278" t="n"/>
      <c r="H60" s="278" t="n"/>
      <c r="I60" s="279" t="n"/>
    </row>
    <row r="61" ht="20.25" customHeight="1">
      <c r="A61" s="245" t="inlineStr">
        <is>
          <t xml:space="preserve">INCIDENTS &amp; REPORTS </t>
        </is>
      </c>
      <c r="B61" s="275" t="n"/>
      <c r="C61" s="275" t="n"/>
      <c r="D61" s="275" t="n"/>
      <c r="E61" s="275" t="n"/>
      <c r="F61" s="275" t="n"/>
      <c r="G61" s="275" t="n"/>
      <c r="H61" s="275" t="n"/>
      <c r="I61" s="277" t="n"/>
    </row>
    <row r="62" ht="24.95" customHeight="1">
      <c r="A62" s="128" t="n"/>
      <c r="B62" s="263" t="inlineStr">
        <is>
          <t>QTY</t>
        </is>
      </c>
      <c r="C62" s="254" t="inlineStr">
        <is>
          <t>Comments</t>
        </is>
      </c>
      <c r="D62" s="275" t="n"/>
      <c r="E62" s="275" t="n"/>
      <c r="F62" s="275" t="n"/>
      <c r="G62" s="275" t="n"/>
      <c r="H62" s="275" t="n"/>
      <c r="I62" s="277" t="n"/>
    </row>
    <row r="63" ht="24.95" customHeight="1">
      <c r="A63" s="129" t="inlineStr">
        <is>
          <t>INCIDENT</t>
        </is>
      </c>
      <c r="B63" s="263" t="n">
        <v>0</v>
      </c>
      <c r="C63" s="249" t="inlineStr">
        <is>
          <t>NA</t>
        </is>
      </c>
      <c r="D63" s="275" t="n"/>
      <c r="E63" s="275" t="n"/>
      <c r="F63" s="275" t="n"/>
      <c r="G63" s="275" t="n"/>
      <c r="H63" s="275" t="n"/>
      <c r="I63" s="277" t="n"/>
    </row>
    <row r="64" ht="24.95" customHeight="1">
      <c r="A64" s="130" t="inlineStr">
        <is>
          <t>IR</t>
        </is>
      </c>
      <c r="B64" s="131" t="n">
        <v>0</v>
      </c>
      <c r="C64" s="250" t="inlineStr">
        <is>
          <t>NA</t>
        </is>
      </c>
      <c r="D64" s="278" t="n"/>
      <c r="E64" s="278" t="n"/>
      <c r="F64" s="278" t="n"/>
      <c r="G64" s="278" t="n"/>
      <c r="H64" s="278" t="n"/>
      <c r="I64" s="279" t="n"/>
    </row>
    <row r="65" ht="24.95" customHeight="1">
      <c r="A65" s="132" t="inlineStr">
        <is>
          <t>NCR</t>
        </is>
      </c>
      <c r="B65" s="133" t="n">
        <v>0</v>
      </c>
      <c r="C65" s="251" t="inlineStr">
        <is>
          <t>NA</t>
        </is>
      </c>
      <c r="D65" s="285" t="n"/>
      <c r="E65" s="285" t="n"/>
      <c r="F65" s="285" t="n"/>
      <c r="G65" s="285" t="n"/>
      <c r="H65" s="285" t="n"/>
      <c r="I65" s="286" t="n"/>
    </row>
    <row r="66" ht="20.25" customHeight="1">
      <c r="A66" s="252" t="inlineStr">
        <is>
          <t>COMMUNICATIONS</t>
        </is>
      </c>
      <c r="B66" s="283" t="n"/>
      <c r="C66" s="283" t="n"/>
      <c r="D66" s="283" t="n"/>
      <c r="E66" s="283" t="n"/>
      <c r="F66" s="283" t="n"/>
      <c r="G66" s="283" t="n"/>
      <c r="H66" s="283" t="n"/>
      <c r="I66" s="284" t="n"/>
    </row>
    <row r="67" ht="24.95" customHeight="1">
      <c r="A67" s="253" t="inlineStr">
        <is>
          <t>TGS MB1119-05 Scheme D impletmented</t>
        </is>
      </c>
      <c r="B67" s="275" t="n"/>
      <c r="C67" s="275" t="n"/>
      <c r="D67" s="275" t="n"/>
      <c r="E67" s="275" t="n"/>
      <c r="F67" s="275" t="n"/>
      <c r="G67" s="275" t="n"/>
      <c r="H67" s="275" t="n"/>
      <c r="I67" s="277" t="n"/>
    </row>
    <row r="68" ht="24.95" customHeight="1">
      <c r="A68" s="253" t="n"/>
      <c r="B68" s="275" t="n"/>
      <c r="C68" s="275" t="n"/>
      <c r="D68" s="275" t="n"/>
      <c r="E68" s="275" t="n"/>
      <c r="F68" s="275" t="n"/>
      <c r="G68" s="275" t="n"/>
      <c r="H68" s="275" t="n"/>
      <c r="I68" s="277" t="n"/>
    </row>
    <row r="69" ht="24.95" customHeight="1">
      <c r="A69" s="245" t="inlineStr">
        <is>
          <t>PRODUCTION (CONSTRUCTION STATUS &amp; PROGRESS)</t>
        </is>
      </c>
      <c r="B69" s="275" t="n"/>
      <c r="C69" s="275" t="n"/>
      <c r="D69" s="275" t="n"/>
      <c r="E69" s="275" t="n"/>
      <c r="F69" s="275" t="n"/>
      <c r="G69" s="275" t="n"/>
      <c r="H69" s="275" t="n"/>
      <c r="I69" s="277" t="n"/>
    </row>
    <row r="70" ht="24.95" customHeight="1">
      <c r="A70" s="134" t="n"/>
      <c r="B70" s="135" t="n"/>
      <c r="C70" s="79" t="n"/>
      <c r="D70" s="79" t="n"/>
      <c r="E70" s="79" t="n"/>
      <c r="F70" s="135" t="n"/>
      <c r="G70" s="135" t="n"/>
      <c r="H70" s="135" t="n"/>
      <c r="I70" s="136" t="n"/>
    </row>
    <row r="71" ht="24.95" customHeight="1">
      <c r="A71" s="134" t="n"/>
      <c r="B71" s="135" t="n"/>
      <c r="C71" s="79" t="n"/>
      <c r="D71" s="79" t="n"/>
      <c r="E71" s="135" t="n"/>
      <c r="F71" s="135" t="n"/>
      <c r="G71" s="135" t="n"/>
      <c r="H71" s="135" t="n"/>
      <c r="I71" s="136" t="n"/>
    </row>
    <row r="72" ht="24.95" customHeight="1">
      <c r="A72" s="134" t="n"/>
      <c r="B72" s="135" t="n"/>
      <c r="C72" s="79" t="n"/>
      <c r="D72" s="135" t="n"/>
      <c r="E72" s="135" t="n"/>
      <c r="F72" s="135" t="n"/>
      <c r="G72" s="135" t="n"/>
      <c r="H72" s="135" t="n"/>
      <c r="I72" s="136" t="n"/>
    </row>
    <row r="73" ht="24.95" customHeight="1">
      <c r="A73" s="134" t="n"/>
      <c r="B73" s="135" t="n"/>
      <c r="C73" s="79" t="n"/>
      <c r="D73" s="135" t="n"/>
      <c r="E73" s="135" t="n"/>
      <c r="F73" s="135" t="n"/>
      <c r="G73" s="135" t="n"/>
      <c r="H73" s="135" t="n"/>
      <c r="I73" s="136" t="n"/>
    </row>
    <row r="74" ht="26.1" customHeight="1">
      <c r="A74" s="246" t="inlineStr">
        <is>
          <t>Photos</t>
        </is>
      </c>
      <c r="B74" s="278" t="n"/>
      <c r="C74" s="278" t="n"/>
      <c r="D74" s="278" t="n"/>
      <c r="E74" s="278" t="n"/>
      <c r="F74" s="278" t="n"/>
      <c r="G74" s="278" t="n"/>
      <c r="H74" s="278" t="n"/>
      <c r="I74" s="279" t="n"/>
    </row>
    <row r="75" ht="23.1" customHeight="1">
      <c r="A75" s="137" t="n"/>
      <c r="B75" s="138" t="n"/>
      <c r="C75" s="138" t="n"/>
      <c r="D75" s="138" t="n"/>
      <c r="E75" s="138" t="n"/>
      <c r="F75" s="138" t="n"/>
      <c r="G75" s="138" t="n"/>
      <c r="H75" s="138" t="n"/>
      <c r="I75" s="139" t="n"/>
    </row>
    <row r="76" ht="23.1" customHeight="1">
      <c r="A76" s="140" t="n"/>
      <c r="B76" s="141" t="n"/>
      <c r="C76" s="141" t="n"/>
      <c r="D76" s="141" t="n"/>
      <c r="E76" s="141" t="n"/>
      <c r="F76" s="141" t="n"/>
      <c r="G76" s="141" t="n"/>
      <c r="H76" s="141" t="n"/>
      <c r="I76" s="142" t="n"/>
    </row>
    <row r="77" ht="15" customHeight="1">
      <c r="A77" s="140" t="n"/>
      <c r="B77" s="141" t="n"/>
      <c r="C77" s="141" t="n"/>
      <c r="D77" s="141" t="n"/>
      <c r="E77" s="141" t="n"/>
      <c r="F77" s="141" t="n"/>
      <c r="G77" s="141" t="n"/>
      <c r="H77" s="141" t="n"/>
      <c r="I77" s="142" t="n"/>
    </row>
    <row r="78" ht="15" customHeight="1">
      <c r="A78" s="140" t="n"/>
      <c r="B78" s="141" t="n"/>
      <c r="C78" s="141" t="n"/>
      <c r="D78" s="141" t="n"/>
      <c r="E78" s="141" t="n"/>
      <c r="F78" s="141" t="n"/>
      <c r="G78" s="141" t="n"/>
      <c r="H78" s="141" t="n"/>
      <c r="I78" s="142" t="n"/>
    </row>
    <row r="79" ht="15" customHeight="1">
      <c r="A79" s="140" t="n"/>
      <c r="B79" s="141" t="n"/>
      <c r="C79" s="141" t="n"/>
      <c r="D79" s="141" t="n"/>
      <c r="E79" s="141" t="n"/>
      <c r="F79" s="141" t="n"/>
      <c r="G79" s="141" t="n"/>
      <c r="H79" s="141" t="n"/>
      <c r="I79" s="142" t="n"/>
    </row>
    <row r="80" ht="15" customHeight="1">
      <c r="A80" s="140" t="n"/>
      <c r="B80" s="141" t="n"/>
      <c r="C80" s="141" t="n"/>
      <c r="D80" s="141" t="n"/>
      <c r="E80" s="141" t="n"/>
      <c r="F80" s="141" t="n"/>
      <c r="G80" s="141" t="n"/>
      <c r="H80" s="141" t="n"/>
      <c r="I80" s="142" t="n"/>
    </row>
    <row r="81" ht="15" customHeight="1">
      <c r="A81" s="140" t="n"/>
      <c r="B81" s="141" t="n"/>
      <c r="C81" s="141" t="n"/>
      <c r="D81" s="141" t="n"/>
      <c r="E81" s="141" t="n"/>
      <c r="F81" s="141" t="n"/>
      <c r="G81" s="141" t="n"/>
      <c r="H81" s="141" t="n"/>
      <c r="I81" s="142" t="n"/>
    </row>
    <row r="82" ht="15" customHeight="1">
      <c r="A82" s="140" t="n"/>
      <c r="B82" s="141" t="n"/>
      <c r="C82" s="141" t="n"/>
      <c r="D82" s="141" t="n"/>
      <c r="E82" s="141" t="n"/>
      <c r="F82" s="141" t="n"/>
      <c r="G82" s="141" t="n"/>
      <c r="H82" s="141" t="n"/>
      <c r="I82" s="142" t="n"/>
    </row>
    <row r="83" ht="15" customHeight="1">
      <c r="A83" s="140" t="n"/>
      <c r="B83" s="141" t="n"/>
      <c r="C83" s="141" t="n"/>
      <c r="D83" s="141" t="n"/>
      <c r="E83" s="141" t="n"/>
      <c r="F83" s="141" t="n"/>
      <c r="G83" s="141" t="n"/>
      <c r="H83" s="141" t="n"/>
      <c r="I83" s="142" t="n"/>
    </row>
    <row r="84" ht="15" customHeight="1">
      <c r="A84" s="140" t="n"/>
      <c r="B84" s="141" t="n"/>
      <c r="C84" s="141" t="n"/>
      <c r="D84" s="141" t="n"/>
      <c r="E84" s="141" t="n"/>
      <c r="F84" s="141" t="n"/>
      <c r="G84" s="141" t="n"/>
      <c r="H84" s="141" t="n"/>
      <c r="I84" s="142" t="n"/>
    </row>
    <row r="85" ht="15" customHeight="1">
      <c r="A85" s="140" t="n"/>
      <c r="B85" s="141" t="n"/>
      <c r="C85" s="141" t="n"/>
      <c r="D85" s="141" t="n"/>
      <c r="E85" s="141" t="n"/>
      <c r="F85" s="141" t="n"/>
      <c r="G85" s="141" t="n"/>
      <c r="H85" s="141" t="n"/>
      <c r="I85" s="142" t="n"/>
    </row>
    <row r="86" ht="15" customHeight="1">
      <c r="A86" s="140" t="n"/>
      <c r="B86" s="141" t="n"/>
      <c r="C86" s="141" t="n"/>
      <c r="D86" s="141" t="n"/>
      <c r="E86" s="141" t="n"/>
      <c r="F86" s="141" t="n"/>
      <c r="G86" s="141" t="n"/>
      <c r="H86" s="141" t="n"/>
      <c r="I86" s="142" t="n"/>
    </row>
    <row r="87" ht="15" customHeight="1">
      <c r="A87" s="140" t="n"/>
      <c r="B87" s="141" t="n"/>
      <c r="C87" s="141" t="n"/>
      <c r="D87" s="141" t="n"/>
      <c r="E87" s="141" t="n"/>
      <c r="F87" s="141" t="n"/>
      <c r="G87" s="141" t="n"/>
      <c r="H87" s="141" t="n"/>
      <c r="I87" s="142" t="n"/>
    </row>
    <row r="88" ht="15" customHeight="1">
      <c r="A88" s="140" t="n"/>
      <c r="B88" s="141" t="n"/>
      <c r="C88" s="141" t="n"/>
      <c r="D88" s="141" t="n"/>
      <c r="E88" s="141" t="n"/>
      <c r="F88" s="141" t="n"/>
      <c r="G88" s="141" t="n"/>
      <c r="H88" s="141" t="n"/>
      <c r="I88" s="142" t="n"/>
    </row>
    <row r="89" ht="15" customHeight="1">
      <c r="A89" s="140" t="n"/>
      <c r="B89" s="141" t="n"/>
      <c r="C89" s="141" t="n"/>
      <c r="D89" s="141" t="n"/>
      <c r="E89" s="141" t="n"/>
      <c r="F89" s="141" t="n"/>
      <c r="G89" s="141" t="n"/>
      <c r="H89" s="141" t="n"/>
      <c r="I89" s="142" t="n"/>
    </row>
    <row r="90" ht="15" customHeight="1">
      <c r="A90" s="140" t="n"/>
      <c r="B90" s="141" t="n"/>
      <c r="C90" s="141" t="n"/>
      <c r="D90" s="141" t="n"/>
      <c r="E90" s="141" t="n"/>
      <c r="F90" s="141" t="n"/>
      <c r="G90" s="141" t="n"/>
      <c r="H90" s="141" t="n"/>
      <c r="I90" s="142" t="n"/>
    </row>
    <row r="91" ht="15" customHeight="1">
      <c r="A91" s="140" t="n"/>
      <c r="B91" s="141" t="n"/>
      <c r="C91" s="141" t="n"/>
      <c r="D91" s="141" t="n"/>
      <c r="E91" s="141" t="n"/>
      <c r="F91" s="141" t="n"/>
      <c r="G91" s="141" t="n"/>
      <c r="H91" s="141" t="n"/>
      <c r="I91" s="142" t="n"/>
    </row>
    <row r="92" ht="15" customHeight="1">
      <c r="A92" s="140" t="n"/>
      <c r="B92" s="141" t="n"/>
      <c r="C92" s="141" t="n"/>
      <c r="D92" s="141" t="n"/>
      <c r="E92" s="141" t="n"/>
      <c r="F92" s="141" t="n"/>
      <c r="G92" s="141" t="n"/>
      <c r="H92" s="141" t="n"/>
      <c r="I92" s="142" t="n"/>
    </row>
    <row r="93" ht="15" customHeight="1">
      <c r="A93" s="140" t="n"/>
      <c r="B93" s="141" t="n"/>
      <c r="C93" s="141" t="n"/>
      <c r="D93" s="141" t="n"/>
      <c r="E93" s="141" t="n"/>
      <c r="F93" s="141" t="n"/>
      <c r="G93" s="141" t="n"/>
      <c r="H93" s="141" t="n"/>
      <c r="I93" s="142" t="n"/>
    </row>
    <row r="94" ht="15" customHeight="1">
      <c r="A94" s="140" t="n"/>
      <c r="B94" s="141" t="n"/>
      <c r="C94" s="141" t="n"/>
      <c r="D94" s="141" t="n"/>
      <c r="E94" s="141" t="n"/>
      <c r="F94" s="141" t="n"/>
      <c r="G94" s="141" t="n"/>
      <c r="H94" s="141" t="n"/>
      <c r="I94" s="142" t="n"/>
    </row>
    <row r="95" ht="15" customHeight="1">
      <c r="A95" s="140" t="n"/>
      <c r="B95" s="141" t="n"/>
      <c r="C95" s="141" t="n"/>
      <c r="D95" s="141" t="n"/>
      <c r="E95" s="141" t="n"/>
      <c r="F95" s="141" t="n"/>
      <c r="G95" s="141" t="n"/>
      <c r="H95" s="141" t="n"/>
      <c r="I95" s="142" t="n"/>
    </row>
    <row r="96" ht="15" customHeight="1">
      <c r="A96" s="140" t="n"/>
      <c r="B96" s="141" t="n"/>
      <c r="C96" s="141" t="n"/>
      <c r="D96" s="141" t="n"/>
      <c r="E96" s="141" t="n"/>
      <c r="F96" s="141" t="n"/>
      <c r="G96" s="141" t="n"/>
      <c r="H96" s="141" t="n"/>
      <c r="I96" s="142" t="n"/>
    </row>
    <row r="97" ht="15" customHeight="1">
      <c r="A97" s="140" t="n"/>
      <c r="B97" s="141" t="n"/>
      <c r="C97" s="141" t="n"/>
      <c r="D97" s="141" t="n"/>
      <c r="E97" s="141" t="n"/>
      <c r="F97" s="141" t="n"/>
      <c r="H97" s="141" t="n"/>
      <c r="I97" s="142" t="n"/>
    </row>
    <row r="98" ht="24.95" customFormat="1" customHeight="1" s="81">
      <c r="A98" s="140" t="n"/>
      <c r="B98" s="141" t="n"/>
      <c r="C98" s="141" t="n"/>
      <c r="D98" s="141" t="n"/>
      <c r="E98" s="141" t="n"/>
      <c r="F98" s="141" t="n"/>
      <c r="G98" s="141" t="n"/>
      <c r="H98" s="141" t="n"/>
      <c r="I98" s="142" t="n"/>
    </row>
    <row r="99" ht="15" customHeight="1">
      <c r="A99" s="140" t="n"/>
      <c r="B99" s="141" t="n"/>
      <c r="C99" s="141" t="n"/>
      <c r="D99" s="141" t="n"/>
      <c r="E99" s="141" t="n"/>
      <c r="F99" s="141" t="n"/>
      <c r="G99" s="141" t="n"/>
      <c r="H99" s="141" t="n"/>
      <c r="I99" s="142" t="n"/>
    </row>
    <row r="100" ht="15" customHeight="1">
      <c r="A100" s="140" t="n"/>
      <c r="B100" s="141" t="n"/>
      <c r="C100" s="141" t="n"/>
      <c r="D100" s="141" t="n"/>
      <c r="E100" s="141" t="n"/>
      <c r="F100" s="141" t="n"/>
      <c r="G100" s="141" t="n"/>
      <c r="H100" s="141" t="n"/>
      <c r="I100" s="142" t="n"/>
    </row>
    <row r="101" ht="15" customHeight="1">
      <c r="A101" s="140" t="n"/>
      <c r="B101" s="141" t="n"/>
      <c r="C101" s="141" t="n"/>
      <c r="D101" s="141" t="n"/>
      <c r="E101" s="141" t="n"/>
      <c r="F101" s="141" t="n"/>
      <c r="G101" s="141" t="n"/>
      <c r="H101" s="141" t="n"/>
      <c r="I101" s="142" t="n"/>
    </row>
    <row r="102" ht="15" customHeight="1">
      <c r="A102" s="140" t="n"/>
      <c r="B102" s="141" t="n"/>
      <c r="C102" s="141" t="n"/>
      <c r="D102" s="141" t="n"/>
      <c r="E102" s="141" t="n"/>
      <c r="F102" s="141" t="n"/>
      <c r="G102" s="141" t="n"/>
      <c r="H102" s="141" t="n"/>
      <c r="I102" s="142" t="n"/>
    </row>
    <row r="103" ht="15" customHeight="1">
      <c r="A103" s="140" t="n"/>
      <c r="B103" s="141" t="n"/>
      <c r="C103" s="141" t="n"/>
      <c r="D103" s="141" t="n"/>
      <c r="E103" s="141" t="n"/>
      <c r="F103" s="141" t="n"/>
      <c r="G103" s="141" t="n"/>
      <c r="H103" s="141" t="n"/>
      <c r="I103" s="142" t="n"/>
    </row>
    <row r="104" ht="15" customHeight="1">
      <c r="A104" s="140" t="n"/>
      <c r="B104" s="141" t="n"/>
      <c r="C104" s="141" t="n"/>
      <c r="D104" s="141" t="n"/>
      <c r="E104" s="141" t="n"/>
      <c r="F104" s="141" t="n"/>
      <c r="G104" s="141" t="n"/>
      <c r="H104" s="141" t="n"/>
      <c r="I104" s="142" t="n"/>
    </row>
    <row r="105" ht="15" customHeight="1">
      <c r="A105" s="140" t="n"/>
      <c r="B105" s="141" t="n"/>
      <c r="C105" s="141" t="n"/>
      <c r="D105" s="141" t="n"/>
      <c r="E105" s="141" t="n"/>
      <c r="F105" s="141" t="n"/>
      <c r="G105" s="141" t="n"/>
      <c r="H105" s="141" t="n"/>
      <c r="I105" s="142" t="n"/>
    </row>
    <row r="106" ht="15" customHeight="1">
      <c r="A106" s="140" t="n"/>
      <c r="B106" s="141" t="n"/>
      <c r="C106" s="141" t="n"/>
      <c r="D106" s="141" t="n"/>
      <c r="E106" s="141" t="n"/>
      <c r="F106" s="141" t="n"/>
      <c r="G106" s="141" t="n"/>
      <c r="H106" s="141" t="n"/>
      <c r="I106" s="142" t="n"/>
    </row>
    <row r="107" ht="15" customHeight="1">
      <c r="A107" s="140" t="n"/>
      <c r="B107" s="141" t="n"/>
      <c r="C107" s="141" t="n"/>
      <c r="D107" s="141" t="n"/>
      <c r="E107" s="141" t="n"/>
      <c r="F107" s="141" t="n"/>
      <c r="G107" s="141" t="n"/>
      <c r="H107" s="141" t="n"/>
      <c r="I107" s="142" t="n"/>
    </row>
    <row r="108" ht="15" customHeight="1">
      <c r="A108" s="140" t="n"/>
      <c r="B108" s="141" t="n"/>
      <c r="C108" s="141" t="n"/>
      <c r="D108" s="141" t="n"/>
      <c r="E108" s="141" t="n"/>
      <c r="F108" s="141" t="n"/>
      <c r="G108" s="141" t="n"/>
      <c r="H108" s="141" t="n"/>
      <c r="I108" s="142" t="n"/>
    </row>
    <row r="109" ht="15" customHeight="1">
      <c r="A109" s="140" t="n"/>
      <c r="B109" s="141" t="n"/>
      <c r="C109" s="141" t="n"/>
      <c r="D109" s="141" t="n"/>
      <c r="E109" s="141" t="n"/>
      <c r="F109" s="141" t="n"/>
      <c r="G109" s="141" t="n"/>
      <c r="H109" s="141" t="n"/>
      <c r="I109" s="142" t="n"/>
    </row>
    <row r="110" ht="15" customHeight="1">
      <c r="A110" s="140" t="n"/>
      <c r="B110" s="141" t="n"/>
      <c r="C110" s="141" t="n"/>
      <c r="D110" s="141" t="n"/>
      <c r="E110" s="141" t="n"/>
      <c r="F110" s="141" t="n"/>
      <c r="G110" s="141" t="n"/>
      <c r="H110" s="141" t="n"/>
      <c r="I110" s="142" t="n"/>
    </row>
    <row r="111" ht="15" customHeight="1">
      <c r="A111" s="140" t="n"/>
      <c r="B111" s="141" t="n"/>
      <c r="C111" s="141" t="n"/>
      <c r="D111" s="141" t="n"/>
      <c r="E111" s="141" t="n"/>
      <c r="F111" s="141" t="n"/>
      <c r="G111" s="141" t="n"/>
      <c r="H111" s="141" t="n"/>
      <c r="I111" s="142" t="n"/>
    </row>
    <row r="112" ht="15" customHeight="1">
      <c r="A112" s="140" t="n"/>
      <c r="B112" s="141" t="n"/>
      <c r="C112" s="141" t="n"/>
      <c r="D112" s="141" t="n"/>
      <c r="E112" s="141" t="n"/>
      <c r="F112" s="141" t="n"/>
      <c r="G112" s="141" t="n"/>
      <c r="H112" s="141" t="n"/>
      <c r="I112" s="142" t="n"/>
    </row>
    <row r="113" ht="15" customHeight="1">
      <c r="A113" s="143" t="n"/>
      <c r="B113" s="144" t="n"/>
      <c r="C113" s="144" t="n"/>
      <c r="D113" s="144" t="n"/>
      <c r="E113" s="144" t="n"/>
      <c r="F113" s="144" t="n"/>
      <c r="G113" s="144" t="n"/>
      <c r="H113" s="144" t="n"/>
      <c r="I113" s="145" t="n"/>
    </row>
    <row r="114" ht="15" customHeight="1">
      <c r="A114" s="140" t="n"/>
      <c r="B114" s="141" t="n"/>
      <c r="C114" s="141" t="n"/>
      <c r="D114" s="141" t="n"/>
      <c r="E114" s="141" t="n"/>
      <c r="F114" s="141" t="n"/>
      <c r="G114" s="141" t="n"/>
      <c r="H114" s="141" t="n"/>
      <c r="I114" s="142" t="n"/>
    </row>
    <row r="115" ht="15" customHeight="1">
      <c r="A115" s="140" t="n"/>
      <c r="B115" s="141" t="n"/>
      <c r="C115" s="141" t="n"/>
      <c r="D115" s="141" t="n"/>
      <c r="E115" s="141" t="n"/>
      <c r="F115" s="141" t="n"/>
      <c r="G115" s="141" t="n"/>
      <c r="H115" s="141" t="n"/>
      <c r="I115" s="142" t="n"/>
    </row>
    <row r="116" ht="15" customHeight="1">
      <c r="A116" s="140" t="n"/>
      <c r="B116" s="141" t="n"/>
      <c r="C116" s="141" t="n"/>
      <c r="D116" s="141" t="n"/>
      <c r="E116" s="141" t="n"/>
      <c r="F116" s="141" t="n"/>
      <c r="G116" s="141" t="n"/>
      <c r="H116" s="141" t="n"/>
      <c r="I116" s="142" t="n"/>
    </row>
    <row r="117" ht="15" customHeight="1">
      <c r="A117" s="140" t="n"/>
      <c r="B117" s="141" t="n"/>
      <c r="C117" s="141" t="n"/>
      <c r="D117" s="141" t="n"/>
      <c r="E117" s="141" t="n"/>
      <c r="F117" s="141" t="n"/>
      <c r="G117" s="141" t="n"/>
      <c r="H117" s="141" t="n"/>
      <c r="I117" s="142" t="n"/>
    </row>
    <row r="118" ht="15" customHeight="1">
      <c r="A118" s="140" t="n"/>
      <c r="B118" s="141" t="n"/>
      <c r="C118" s="141" t="n"/>
      <c r="D118" s="141" t="n"/>
      <c r="E118" s="141" t="n"/>
      <c r="F118" s="141" t="n"/>
      <c r="G118" s="141" t="n"/>
      <c r="H118" s="141" t="n"/>
      <c r="I118" s="142" t="n"/>
    </row>
    <row r="119" ht="15" customHeight="1">
      <c r="A119" s="140" t="n"/>
      <c r="B119" s="141" t="n"/>
      <c r="C119" s="141" t="n"/>
      <c r="D119" s="141" t="n"/>
      <c r="E119" s="141" t="n"/>
      <c r="F119" s="141" t="n"/>
      <c r="G119" s="141" t="n"/>
      <c r="H119" s="141" t="n"/>
      <c r="I119" s="142" t="n"/>
    </row>
    <row r="120" ht="15" customHeight="1">
      <c r="A120" s="140" t="n"/>
      <c r="B120" s="141" t="n"/>
      <c r="C120" s="141" t="n"/>
      <c r="D120" s="141" t="n"/>
      <c r="E120" s="141" t="n"/>
      <c r="F120" s="141" t="n"/>
      <c r="G120" s="141" t="n"/>
      <c r="H120" s="141" t="n"/>
      <c r="I120" s="142" t="n"/>
    </row>
    <row r="121" ht="15" customHeight="1">
      <c r="A121" s="140" t="n"/>
      <c r="B121" s="141" t="n"/>
      <c r="C121" s="141" t="n"/>
      <c r="D121" s="141" t="n"/>
      <c r="E121" s="141" t="n"/>
      <c r="F121" s="141" t="n"/>
      <c r="G121" s="141" t="n"/>
      <c r="H121" s="141" t="n"/>
      <c r="I121" s="142" t="n"/>
    </row>
    <row r="122" ht="24.95" customHeight="1">
      <c r="A122" s="140" t="n"/>
      <c r="B122" s="141" t="n"/>
      <c r="C122" s="141" t="n"/>
      <c r="D122" s="141" t="n"/>
      <c r="E122" s="141" t="n"/>
      <c r="F122" s="141" t="n"/>
      <c r="G122" s="141" t="n"/>
      <c r="H122" s="141" t="n"/>
      <c r="I122" s="142" t="n"/>
    </row>
    <row r="123" ht="15" customHeight="1">
      <c r="A123" s="140" t="n"/>
      <c r="B123" s="141" t="n"/>
      <c r="C123" s="141" t="n"/>
      <c r="D123" s="141" t="n"/>
      <c r="E123" s="141" t="n"/>
      <c r="F123" s="141" t="n"/>
      <c r="G123" s="141" t="n"/>
      <c r="H123" s="141" t="n"/>
      <c r="I123" s="142" t="n"/>
    </row>
    <row r="124" ht="15" customHeight="1">
      <c r="A124" s="140" t="n"/>
      <c r="B124" s="141" t="n"/>
      <c r="C124" s="141" t="n"/>
      <c r="D124" s="141" t="n"/>
      <c r="E124" s="141" t="n"/>
      <c r="F124" s="141" t="n"/>
      <c r="G124" s="141" t="n"/>
      <c r="H124" s="141" t="n"/>
      <c r="I124" s="142" t="n"/>
    </row>
    <row r="125" ht="27.95" customHeight="1">
      <c r="A125" s="140" t="n"/>
      <c r="B125" s="141" t="n"/>
      <c r="C125" s="141" t="n"/>
      <c r="D125" s="141" t="n"/>
      <c r="E125" s="141" t="n"/>
      <c r="F125" s="141" t="n"/>
      <c r="G125" s="141" t="n"/>
      <c r="H125" s="141" t="n"/>
      <c r="I125" s="142" t="n"/>
    </row>
    <row r="126" ht="15" customHeight="1">
      <c r="A126" s="140" t="n"/>
      <c r="B126" s="141" t="n"/>
      <c r="C126" s="141" t="n"/>
      <c r="D126" s="141" t="n"/>
      <c r="E126" s="141" t="n"/>
      <c r="F126" s="141" t="n"/>
      <c r="G126" s="141" t="n"/>
      <c r="H126" s="141" t="n"/>
      <c r="I126" s="142" t="n"/>
    </row>
    <row r="127" ht="15" customHeight="1">
      <c r="A127" s="140" t="n"/>
      <c r="B127" s="141" t="n"/>
      <c r="C127" s="141" t="n"/>
      <c r="D127" s="141" t="n"/>
      <c r="E127" s="141" t="n"/>
      <c r="F127" s="141" t="n"/>
      <c r="G127" s="141" t="n"/>
      <c r="H127" s="141" t="n"/>
      <c r="I127" s="142" t="n"/>
    </row>
    <row r="128" ht="15" customHeight="1">
      <c r="A128" s="140" t="n"/>
      <c r="B128" s="141" t="n"/>
      <c r="C128" s="141" t="n"/>
      <c r="D128" s="141" t="n"/>
      <c r="E128" s="141" t="n"/>
      <c r="F128" s="141" t="n"/>
      <c r="G128" s="141" t="n"/>
      <c r="H128" s="141" t="n"/>
      <c r="I128" s="142" t="n"/>
    </row>
    <row r="129" ht="15" customHeight="1">
      <c r="A129" s="140" t="n"/>
      <c r="B129" s="141" t="n"/>
      <c r="C129" s="141" t="n"/>
      <c r="D129" s="141" t="n"/>
      <c r="E129" s="141" t="n"/>
      <c r="F129" s="141" t="n"/>
      <c r="G129" s="141" t="n"/>
      <c r="H129" s="141" t="n"/>
      <c r="I129" s="142" t="n"/>
    </row>
    <row r="130" ht="15" customHeight="1">
      <c r="A130" s="140" t="n"/>
      <c r="B130" s="141" t="n"/>
      <c r="C130" s="141" t="n"/>
      <c r="D130" s="141" t="n"/>
      <c r="E130" s="141" t="n"/>
      <c r="F130" s="141" t="n"/>
      <c r="G130" s="141" t="n"/>
      <c r="H130" s="141" t="n"/>
      <c r="I130" s="142" t="n"/>
    </row>
    <row r="131" ht="15" customHeight="1">
      <c r="A131" s="140" t="n"/>
      <c r="B131" s="141" t="n"/>
      <c r="C131" s="141" t="n"/>
      <c r="D131" s="141" t="n"/>
      <c r="E131" s="141" t="n"/>
      <c r="F131" s="141" t="n"/>
      <c r="G131" s="141" t="n"/>
      <c r="H131" s="141" t="n"/>
      <c r="I131" s="142" t="n"/>
    </row>
    <row r="132" ht="15" customHeight="1">
      <c r="A132" s="140" t="n"/>
      <c r="B132" s="141" t="n"/>
      <c r="C132" s="141" t="n"/>
      <c r="D132" s="141" t="n"/>
      <c r="E132" s="141" t="n"/>
      <c r="F132" s="141" t="n"/>
      <c r="G132" s="141" t="n"/>
      <c r="H132" s="141" t="n"/>
      <c r="I132" s="142" t="n"/>
    </row>
    <row r="133" ht="15" customHeight="1">
      <c r="A133" s="140" t="n"/>
      <c r="B133" s="141" t="n"/>
      <c r="C133" s="141" t="n"/>
      <c r="D133" s="141" t="n"/>
      <c r="E133" s="141" t="n"/>
      <c r="F133" s="141" t="n"/>
      <c r="G133" s="141" t="n"/>
      <c r="H133" s="141" t="n"/>
      <c r="I133" s="142" t="n"/>
    </row>
    <row r="134" ht="15" customHeight="1">
      <c r="A134" s="140" t="n"/>
      <c r="B134" s="141" t="n"/>
      <c r="C134" s="141" t="n"/>
      <c r="D134" s="141" t="n"/>
      <c r="E134" s="141" t="n"/>
      <c r="F134" s="141" t="n"/>
      <c r="G134" s="141" t="n"/>
      <c r="H134" s="141" t="n"/>
      <c r="I134" s="142" t="n"/>
    </row>
    <row r="135" ht="15" customHeight="1">
      <c r="A135" s="140" t="n"/>
      <c r="B135" s="141" t="n"/>
      <c r="C135" s="141" t="n"/>
      <c r="D135" s="141" t="n"/>
      <c r="E135" s="141" t="n"/>
      <c r="F135" s="141" t="n"/>
      <c r="G135" s="141" t="n"/>
      <c r="H135" s="141" t="n"/>
      <c r="I135" s="142" t="n"/>
    </row>
    <row r="136" ht="15" customHeight="1">
      <c r="A136" s="140" t="n"/>
      <c r="B136" s="141" t="n"/>
      <c r="C136" s="141" t="n"/>
      <c r="D136" s="141" t="n"/>
      <c r="E136" s="141" t="n"/>
      <c r="F136" s="141" t="n"/>
      <c r="G136" s="141" t="n"/>
      <c r="H136" s="141" t="n"/>
      <c r="I136" s="142" t="n"/>
    </row>
    <row r="137" ht="15" customHeight="1">
      <c r="A137" s="140" t="n"/>
      <c r="B137" s="141" t="n"/>
      <c r="C137" s="141" t="n"/>
      <c r="D137" s="141" t="n"/>
      <c r="E137" s="141" t="n"/>
      <c r="F137" s="141" t="n"/>
      <c r="G137" s="141" t="n"/>
      <c r="H137" s="141" t="n"/>
      <c r="I137" s="142" t="n"/>
    </row>
    <row r="138" ht="15" customHeight="1">
      <c r="A138" s="140" t="n"/>
      <c r="B138" s="141" t="n"/>
      <c r="C138" s="141" t="n"/>
      <c r="D138" s="141" t="n"/>
      <c r="E138" s="141" t="n"/>
      <c r="F138" s="141" t="n"/>
      <c r="G138" s="141" t="n"/>
      <c r="H138" s="141" t="n"/>
      <c r="I138" s="142" t="n"/>
      <c r="J138" s="146" t="n"/>
    </row>
    <row r="139" ht="15" customHeight="1">
      <c r="A139" s="140" t="n"/>
      <c r="B139" s="141" t="n"/>
      <c r="C139" s="141" t="n"/>
      <c r="D139" s="141" t="n"/>
      <c r="E139" s="141" t="n"/>
      <c r="F139" s="141" t="n"/>
      <c r="G139" s="141" t="n"/>
      <c r="H139" s="141" t="n"/>
      <c r="I139" s="142" t="n"/>
    </row>
    <row r="140" ht="15" customHeight="1">
      <c r="A140" s="140" t="n"/>
      <c r="B140" s="141" t="n"/>
      <c r="C140" s="141" t="n"/>
      <c r="D140" s="141" t="n"/>
      <c r="E140" s="141" t="n"/>
      <c r="F140" s="141" t="n"/>
      <c r="G140" s="141" t="n"/>
      <c r="H140" s="141" t="n"/>
      <c r="I140" s="142" t="n"/>
    </row>
    <row r="141" ht="15" customHeight="1">
      <c r="A141" s="140" t="n"/>
      <c r="B141" s="141" t="n"/>
      <c r="C141" s="141" t="n"/>
      <c r="D141" s="141" t="n"/>
      <c r="E141" s="141" t="n"/>
      <c r="F141" s="141" t="n"/>
      <c r="G141" s="141" t="n"/>
      <c r="H141" s="141" t="n"/>
      <c r="I141" s="142" t="n"/>
    </row>
    <row r="142" ht="15" customHeight="1">
      <c r="A142" s="140" t="n"/>
      <c r="B142" s="141" t="n"/>
      <c r="C142" s="141" t="n"/>
      <c r="D142" s="141" t="n"/>
      <c r="E142" s="141" t="n"/>
      <c r="F142" s="141" t="n"/>
      <c r="G142" s="141" t="n"/>
      <c r="H142" s="141" t="n"/>
      <c r="I142" s="142" t="n"/>
    </row>
    <row r="143" ht="15" customHeight="1">
      <c r="A143" s="140" t="n"/>
      <c r="B143" s="141" t="n"/>
      <c r="C143" s="141" t="n"/>
      <c r="D143" s="141" t="n"/>
      <c r="E143" s="141" t="n"/>
      <c r="F143" s="141" t="n"/>
      <c r="G143" s="141" t="n"/>
      <c r="H143" s="141" t="n"/>
      <c r="I143" s="142" t="n"/>
    </row>
    <row r="144" ht="15" customHeight="1">
      <c r="A144" s="140" t="n"/>
      <c r="B144" s="141" t="n"/>
      <c r="C144" s="141" t="n"/>
      <c r="D144" s="141" t="n"/>
      <c r="E144" s="141" t="n"/>
      <c r="F144" s="141" t="n"/>
      <c r="G144" s="141" t="n"/>
      <c r="H144" s="141" t="n"/>
      <c r="I144" s="142" t="n"/>
    </row>
    <row r="145" ht="15.95" customHeight="1">
      <c r="A145" s="140" t="n"/>
      <c r="B145" s="141" t="n"/>
      <c r="C145" s="141" t="n"/>
      <c r="D145" s="141" t="n"/>
      <c r="E145" s="141" t="n"/>
      <c r="F145" s="141" t="n"/>
      <c r="G145" s="141" t="n"/>
      <c r="H145" s="141" t="n"/>
      <c r="I145" s="142" t="n"/>
    </row>
    <row r="146" ht="30.75" customHeight="1">
      <c r="A146" s="247" t="n"/>
      <c r="E146" s="248" t="n"/>
      <c r="I146" s="271" t="n"/>
    </row>
    <row r="147">
      <c r="A147" s="64" t="n"/>
      <c r="I147" s="65" t="n"/>
    </row>
    <row r="148">
      <c r="A148" s="64" t="n"/>
      <c r="I148" s="65" t="n"/>
    </row>
    <row r="149">
      <c r="A149" s="64" t="n"/>
      <c r="I149" s="65" t="n"/>
    </row>
    <row r="150">
      <c r="A150" s="64" t="n"/>
      <c r="I150" s="65" t="n"/>
    </row>
    <row r="151">
      <c r="A151" s="64" t="n"/>
      <c r="I151" s="65" t="n"/>
    </row>
    <row r="152">
      <c r="A152" s="64" t="n"/>
      <c r="I152" s="65" t="n"/>
    </row>
    <row r="153">
      <c r="A153" s="64" t="n"/>
      <c r="I153" s="65" t="n"/>
    </row>
    <row r="154">
      <c r="A154" s="64" t="n"/>
      <c r="I154" s="65" t="n"/>
    </row>
    <row r="155">
      <c r="A155" s="64" t="n"/>
      <c r="I155" s="65" t="n"/>
    </row>
    <row r="156">
      <c r="A156" s="64" t="n"/>
      <c r="I156" s="65" t="n"/>
    </row>
    <row r="157">
      <c r="A157" s="64" t="n"/>
      <c r="I157" s="65" t="n"/>
    </row>
    <row r="158">
      <c r="A158" s="64" t="n"/>
      <c r="I158" s="65" t="n"/>
    </row>
    <row r="159">
      <c r="A159" s="64" t="n"/>
      <c r="I159" s="65" t="n"/>
    </row>
    <row r="160">
      <c r="A160" s="64" t="n"/>
      <c r="I160" s="65" t="n"/>
    </row>
    <row r="161">
      <c r="A161" s="64" t="n"/>
      <c r="I161" s="65" t="n"/>
    </row>
    <row r="162">
      <c r="A162" s="64" t="n"/>
      <c r="I162" s="65" t="n"/>
    </row>
    <row r="163">
      <c r="A163" s="64" t="n"/>
      <c r="I163" s="65" t="n"/>
    </row>
    <row r="164">
      <c r="A164" s="64" t="n"/>
      <c r="I164" s="65" t="n"/>
    </row>
    <row r="165">
      <c r="A165" s="64" t="n"/>
      <c r="I165" s="65" t="n"/>
    </row>
    <row r="166">
      <c r="A166" s="64" t="n"/>
      <c r="I166" s="65" t="n"/>
    </row>
    <row r="167">
      <c r="A167" s="64" t="n"/>
      <c r="I167" s="65" t="n"/>
    </row>
    <row r="168">
      <c r="A168" s="64" t="n"/>
      <c r="I168" s="65" t="n"/>
    </row>
    <row r="169">
      <c r="A169" s="64" t="n"/>
      <c r="I169" s="65" t="n"/>
    </row>
    <row r="170">
      <c r="A170" s="64" t="n"/>
      <c r="I170" s="65" t="n"/>
    </row>
    <row r="171">
      <c r="A171" s="64" t="n"/>
      <c r="I171" s="65" t="n"/>
    </row>
    <row r="172">
      <c r="A172" s="64" t="n"/>
      <c r="I172" s="65" t="n"/>
    </row>
    <row r="173">
      <c r="A173" s="64" t="n"/>
      <c r="I173" s="65" t="n"/>
    </row>
    <row r="174">
      <c r="A174" s="64" t="n"/>
      <c r="I174" s="65" t="n"/>
    </row>
    <row r="175">
      <c r="A175" s="64" t="n"/>
      <c r="I175" s="65" t="n"/>
    </row>
    <row r="176">
      <c r="A176" s="64" t="n"/>
      <c r="I176" s="65" t="n"/>
    </row>
    <row r="177">
      <c r="A177" s="64" t="n"/>
      <c r="I177" s="65" t="n"/>
    </row>
    <row r="178">
      <c r="A178" s="64" t="n"/>
      <c r="I178" s="65" t="n"/>
    </row>
    <row r="179">
      <c r="A179" s="64" t="n"/>
      <c r="I179" s="65" t="n"/>
    </row>
    <row r="180">
      <c r="A180" s="64" t="n"/>
      <c r="I180" s="65" t="n"/>
    </row>
    <row r="181">
      <c r="I181" s="65" t="n"/>
    </row>
    <row r="182">
      <c r="A182" s="64" t="n"/>
      <c r="I182" s="65" t="n"/>
    </row>
    <row r="183">
      <c r="A183" s="64" t="n"/>
      <c r="I183" s="65" t="n"/>
    </row>
    <row r="184">
      <c r="A184" s="64" t="n"/>
      <c r="I184" s="65" t="n"/>
    </row>
    <row r="185">
      <c r="A185" s="64" t="n"/>
      <c r="I185" s="65" t="n"/>
    </row>
    <row r="186">
      <c r="A186" s="64" t="n"/>
      <c r="I186" s="65" t="n"/>
    </row>
    <row r="187">
      <c r="A187" s="64" t="n"/>
      <c r="I187" s="65" t="n"/>
    </row>
    <row r="188">
      <c r="A188" s="64" t="n"/>
      <c r="I188" s="65" t="n"/>
    </row>
    <row r="189">
      <c r="A189" s="64" t="n"/>
      <c r="I189" s="65" t="n"/>
    </row>
    <row r="190">
      <c r="A190" s="64" t="n"/>
      <c r="I190" s="65" t="n"/>
    </row>
    <row r="191">
      <c r="A191" s="64" t="n"/>
      <c r="I191" s="65" t="n"/>
    </row>
    <row r="192">
      <c r="A192" s="64" t="n"/>
      <c r="I192" s="65" t="n"/>
    </row>
    <row r="193">
      <c r="A193" s="64" t="n"/>
      <c r="I193" s="65" t="n"/>
    </row>
    <row r="194">
      <c r="A194" s="64" t="n"/>
      <c r="I194" s="65" t="n"/>
    </row>
    <row r="195">
      <c r="A195" s="64" t="n"/>
      <c r="I195" s="65" t="n"/>
    </row>
    <row r="196">
      <c r="A196" s="64" t="n"/>
      <c r="I196" s="65" t="n"/>
    </row>
    <row r="197">
      <c r="A197" s="64" t="n"/>
      <c r="I197" s="65" t="n"/>
    </row>
    <row r="198">
      <c r="A198" s="64" t="n"/>
      <c r="I198" s="65" t="n"/>
    </row>
    <row r="199">
      <c r="A199" s="64" t="n"/>
      <c r="I199" s="65" t="n"/>
    </row>
    <row r="200" ht="15.95" customHeight="1">
      <c r="A200" s="59" t="n"/>
      <c r="B200" s="60" t="n"/>
      <c r="C200" s="60" t="n"/>
      <c r="D200" s="60" t="n"/>
      <c r="E200" s="60" t="n"/>
      <c r="F200" s="60" t="n"/>
      <c r="G200" s="60" t="n"/>
      <c r="H200" s="60" t="n"/>
      <c r="I200" s="61" t="n"/>
    </row>
    <row r="201">
      <c r="A201" s="64" t="n"/>
      <c r="I201" s="65" t="n"/>
    </row>
    <row r="202">
      <c r="A202" s="64" t="n"/>
      <c r="I202" s="65" t="n"/>
    </row>
    <row r="203">
      <c r="A203" s="64" t="n"/>
      <c r="I203" s="65" t="n"/>
    </row>
    <row r="204">
      <c r="A204" s="64" t="n"/>
      <c r="I204" s="65" t="n"/>
    </row>
    <row r="205">
      <c r="A205" s="64" t="n"/>
      <c r="I205" s="65" t="n"/>
    </row>
    <row r="206">
      <c r="A206" s="64" t="n"/>
      <c r="I206" s="65" t="n"/>
    </row>
    <row r="207" ht="15.95" customHeight="1">
      <c r="A207" s="59" t="n"/>
      <c r="B207" s="60" t="n"/>
      <c r="C207" s="60" t="n"/>
      <c r="D207" s="60" t="n"/>
      <c r="E207" s="60" t="n"/>
      <c r="F207" s="60" t="n"/>
      <c r="G207" s="60" t="n"/>
      <c r="H207" s="60" t="n"/>
      <c r="I207" s="61" t="n"/>
    </row>
  </sheetData>
  <mergeCells count="40">
    <mergeCell ref="A48:B48"/>
    <mergeCell ref="B47:C47"/>
    <mergeCell ref="D13:F13"/>
    <mergeCell ref="G13:I13"/>
    <mergeCell ref="B8:D8"/>
    <mergeCell ref="A66:I66"/>
    <mergeCell ref="B46:C46"/>
    <mergeCell ref="D48:I48"/>
    <mergeCell ref="A74:I74"/>
    <mergeCell ref="A55:I55"/>
    <mergeCell ref="A12:I12"/>
    <mergeCell ref="E146:I146"/>
    <mergeCell ref="D47:I47"/>
    <mergeCell ref="B56:I56"/>
    <mergeCell ref="A5:I5"/>
    <mergeCell ref="A51:I54"/>
    <mergeCell ref="B9:D9"/>
    <mergeCell ref="B60:I60"/>
    <mergeCell ref="C62:I62"/>
    <mergeCell ref="B57:I57"/>
    <mergeCell ref="B6:D6"/>
    <mergeCell ref="C58:I58"/>
    <mergeCell ref="A146:D146"/>
    <mergeCell ref="A68:I68"/>
    <mergeCell ref="A13:C13"/>
    <mergeCell ref="A10:I10"/>
    <mergeCell ref="C64:I64"/>
    <mergeCell ref="A1:I4"/>
    <mergeCell ref="A67:I67"/>
    <mergeCell ref="B7:D7"/>
    <mergeCell ref="C65:I65"/>
    <mergeCell ref="C63:I63"/>
    <mergeCell ref="A49:I49"/>
    <mergeCell ref="A11:I11"/>
    <mergeCell ref="D46:I46"/>
    <mergeCell ref="C59:I59"/>
    <mergeCell ref="B45:C45"/>
    <mergeCell ref="D45:I45"/>
    <mergeCell ref="A61:I61"/>
    <mergeCell ref="A69:I69"/>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3" min="0" max="8"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Barry Langan</dc:creator>
  <dcterms:created xsi:type="dcterms:W3CDTF">2025-03-23T14:16:19Z</dcterms:created>
  <dcterms:modified xsi:type="dcterms:W3CDTF">2025-11-19T15:52:57Z</dcterms:modified>
  <cp:lastModifiedBy>Jamie Skinner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0x01010054D974174226C149948D7A6780F4D3DD</vt:lpwstr>
  </property>
  <property name="MediaServiceImageTags" fmtid="{D5CDD505-2E9C-101B-9397-08002B2CF9AE}" pid="3">
    <vt:lpwstr/>
  </property>
</Properties>
</file>