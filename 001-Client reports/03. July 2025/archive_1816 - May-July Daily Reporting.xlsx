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1000" firstSheet="69" activeTab="69" autoFilterDateGrouping="1"/>
  </bookViews>
  <sheets>
    <sheet name="001" sheetId="1" state="visible" r:id="rId1"/>
    <sheet name="002" sheetId="2" state="visible" r:id="rId2"/>
    <sheet name="003" sheetId="3" state="visible" r:id="rId3"/>
    <sheet name="004" sheetId="4" state="visible" r:id="rId4"/>
    <sheet name="005" sheetId="5" state="visible" r:id="rId5"/>
    <sheet name="006" sheetId="6" state="visible" r:id="rId6"/>
    <sheet name="007" sheetId="7" state="visible" r:id="rId7"/>
    <sheet name="008" sheetId="8" state="visible" r:id="rId8"/>
    <sheet name="009" sheetId="9" state="visible" r:id="rId9"/>
    <sheet name="010" sheetId="10" state="visible" r:id="rId10"/>
    <sheet name="011" sheetId="11" state="visible" r:id="rId11"/>
    <sheet name="012" sheetId="12" state="visible" r:id="rId12"/>
    <sheet name="013" sheetId="13" state="visible" r:id="rId13"/>
    <sheet name="014" sheetId="14" state="visible" r:id="rId14"/>
    <sheet name="015" sheetId="15" state="visible" r:id="rId15"/>
    <sheet name="016" sheetId="16" state="visible" r:id="rId16"/>
    <sheet name="017" sheetId="17" state="visible" r:id="rId17"/>
    <sheet name="018" sheetId="18" state="visible" r:id="rId18"/>
    <sheet name="019" sheetId="19" state="visible" r:id="rId19"/>
    <sheet name="020" sheetId="20" state="visible" r:id="rId20"/>
    <sheet name="021" sheetId="21" state="visible" r:id="rId21"/>
    <sheet name="022" sheetId="22" state="visible" r:id="rId22"/>
    <sheet name="023" sheetId="23" state="visible" r:id="rId23"/>
    <sheet name="024" sheetId="24" state="visible" r:id="rId24"/>
    <sheet name="025" sheetId="25" state="visible" r:id="rId25"/>
    <sheet name="026" sheetId="26" state="visible" r:id="rId26"/>
    <sheet name="027" sheetId="27" state="visible" r:id="rId27"/>
    <sheet name="028" sheetId="28" state="visible" r:id="rId28"/>
    <sheet name="029" sheetId="29" state="visible" r:id="rId29"/>
    <sheet name="031" sheetId="30" state="visible" r:id="rId30"/>
    <sheet name="032" sheetId="31" state="visible" r:id="rId31"/>
    <sheet name="033" sheetId="32" state="visible" r:id="rId32"/>
    <sheet name="034" sheetId="33" state="visible" r:id="rId33"/>
    <sheet name="035" sheetId="34" state="visible" r:id="rId34"/>
    <sheet name="036" sheetId="35" state="visible" r:id="rId35"/>
    <sheet name="037" sheetId="36" state="visible" r:id="rId36"/>
    <sheet name="038" sheetId="37" state="visible" r:id="rId37"/>
    <sheet name="039" sheetId="38" state="visible" r:id="rId38"/>
    <sheet name="040" sheetId="39" state="visible" r:id="rId39"/>
    <sheet name="041" sheetId="40" state="visible" r:id="rId40"/>
    <sheet name="042" sheetId="41" state="visible" r:id="rId41"/>
    <sheet name="043" sheetId="42" state="visible" r:id="rId42"/>
    <sheet name="044" sheetId="43" state="visible" r:id="rId43"/>
    <sheet name="045" sheetId="44" state="visible" r:id="rId44"/>
    <sheet name="046" sheetId="45" state="visible" r:id="rId45"/>
    <sheet name="047" sheetId="46" state="visible" r:id="rId46"/>
    <sheet name="048" sheetId="47" state="visible" r:id="rId47"/>
    <sheet name="049" sheetId="48" state="visible" r:id="rId48"/>
    <sheet name="050" sheetId="49" state="visible" r:id="rId49"/>
    <sheet name="051" sheetId="50" state="visible" r:id="rId50"/>
    <sheet name="052" sheetId="51" state="visible" r:id="rId51"/>
    <sheet name="053" sheetId="52" state="visible" r:id="rId52"/>
    <sheet name="054" sheetId="53" state="visible" r:id="rId53"/>
    <sheet name="055" sheetId="54" state="visible" r:id="rId54"/>
    <sheet name="056" sheetId="55" state="visible" r:id="rId55"/>
    <sheet name="057" sheetId="56" state="visible" r:id="rId56"/>
    <sheet name="058" sheetId="57" state="visible" r:id="rId57"/>
    <sheet name="059" sheetId="58" state="visible" r:id="rId58"/>
    <sheet name="060" sheetId="59" state="visible" r:id="rId59"/>
    <sheet name="061" sheetId="60" state="visible" r:id="rId60"/>
    <sheet name="062" sheetId="61" state="visible" r:id="rId61"/>
    <sheet name="063" sheetId="62" state="visible" r:id="rId62"/>
    <sheet name="064" sheetId="63" state="visible" r:id="rId63"/>
    <sheet name="065" sheetId="64" state="visible" r:id="rId64"/>
    <sheet name="066" sheetId="65" state="visible" r:id="rId65"/>
    <sheet name="067" sheetId="66" state="visible" r:id="rId66"/>
    <sheet name="068" sheetId="67" state="visible" r:id="rId67"/>
    <sheet name="069" sheetId="68" state="visible" r:id="rId68"/>
    <sheet name="070" sheetId="69" state="visible" r:id="rId69"/>
    <sheet name="071" sheetId="70" state="visible" r:id="rId70"/>
    <sheet name="072" sheetId="71" state="visible" r:id="rId71"/>
    <sheet name="073" sheetId="72" state="visible" r:id="rId72"/>
  </sheets>
  <definedNames>
    <definedName name="_xlnm.Print_Area" localSheetId="0">'001'!$B$2:$J$100</definedName>
    <definedName name="_xlnm.Print_Area" localSheetId="1">'002'!$B$2:$J$100</definedName>
    <definedName name="_xlnm.Print_Area" localSheetId="2">'003'!$B$2:$J$126</definedName>
    <definedName name="_xlnm.Print_Area" localSheetId="3">'004'!$A$1:$I$122</definedName>
    <definedName name="_xlnm.Print_Area" localSheetId="4">'005'!$A$1:$I$141</definedName>
    <definedName name="_xlnm.Print_Area" localSheetId="5">'006'!$A$1:$I$98</definedName>
    <definedName name="_xlnm.Print_Area" localSheetId="6">'007'!$A$1:$I$95</definedName>
    <definedName name="_xlnm.Print_Area" localSheetId="7">'008'!$A$1:$I$136</definedName>
    <definedName name="_xlnm.Print_Area" localSheetId="8">'009'!$A$1:$I$202</definedName>
    <definedName name="_xlnm.Print_Area" localSheetId="9">'010'!$A$1:$I$201</definedName>
    <definedName name="_xlnm.Print_Area" localSheetId="10">'011'!$A$1:$I$143</definedName>
    <definedName name="_xlnm.Print_Area" localSheetId="11">'012'!$A$1:$I$143</definedName>
    <definedName name="_xlnm.Print_Area" localSheetId="12">'013'!$A$1:$I$161</definedName>
    <definedName name="_xlnm.Print_Area" localSheetId="13">'014'!$A$1:$I$151</definedName>
    <definedName name="_xlnm.Print_Area" localSheetId="14">'015'!$A$1:$I$156</definedName>
    <definedName name="_xlnm.Print_Area" localSheetId="15">'016'!$A$1:$I$141</definedName>
    <definedName name="_xlnm.Print_Area" localSheetId="16">'017'!$A$1:$I$141</definedName>
    <definedName name="_xlnm.Print_Area" localSheetId="17">'018'!$A$1:$I$174</definedName>
    <definedName name="_xlnm.Print_Area" localSheetId="18">'019'!$A$1:$I$133</definedName>
    <definedName name="_xlnm.Print_Area" localSheetId="19">'020'!$A$1:$I$67</definedName>
    <definedName name="_xlnm.Print_Area" localSheetId="20">'021'!$A$1:$I$107</definedName>
    <definedName name="_xlnm.Print_Area" localSheetId="21">'022'!$A$1:$I$171</definedName>
    <definedName name="_xlnm.Print_Area" localSheetId="22">'023'!$A$1:$I$204</definedName>
    <definedName name="_xlnm.Print_Area" localSheetId="23">'024'!$A$1:$I$203</definedName>
    <definedName name="_xlnm.Print_Area" localSheetId="24">'025'!$A$1:$I$194</definedName>
    <definedName name="_xlnm.Print_Area" localSheetId="25">'026'!$A$1:$I$194</definedName>
    <definedName name="_xlnm.Print_Area" localSheetId="26">'027'!$A$1:$I$190</definedName>
    <definedName name="_xlnm.Print_Area" localSheetId="27">'028'!$A$1:$I$68</definedName>
    <definedName name="_xlnm.Print_Area" localSheetId="28">'029'!$A$1:$I$106</definedName>
    <definedName name="_xlnm.Print_Area" localSheetId="29">'031'!$A$1:$I$139</definedName>
    <definedName name="_xlnm.Print_Area" localSheetId="30">'032'!$A$1:$I$142</definedName>
    <definedName name="_xlnm.Print_Area" localSheetId="31">'033'!$A$1:$I$143</definedName>
    <definedName name="_xlnm.Print_Area" localSheetId="32">'034'!$A$1:$I$145</definedName>
    <definedName name="_xlnm.Print_Area" localSheetId="33">'035'!$A$1:$I$137</definedName>
    <definedName name="_xlnm.Print_Area" localSheetId="34">'036'!$A$1:$I$198</definedName>
    <definedName name="_xlnm.Print_Area" localSheetId="35">'037'!$A$1:$I$175</definedName>
    <definedName name="_xlnm.Print_Area" localSheetId="36">'038'!$A$1:$I$197</definedName>
    <definedName name="_xlnm.Print_Area" localSheetId="37">'039'!$A$1:$I$144</definedName>
    <definedName name="_xlnm.Print_Area" localSheetId="38">'040'!$A$1:$I$144</definedName>
    <definedName name="_xlnm.Print_Area" localSheetId="39">'041'!$A$1:$I$148</definedName>
    <definedName name="_xlnm.Print_Area" localSheetId="40">'042'!$A$1:$I$144</definedName>
    <definedName name="_xlnm.Print_Area" localSheetId="41">'043'!$A$1:$I$144</definedName>
    <definedName name="_xlnm.Print_Area" localSheetId="42">'044'!$A$1:$I$143</definedName>
    <definedName name="_xlnm.Print_Area" localSheetId="43">'045'!$A$1:$I$190</definedName>
    <definedName name="_xlnm.Print_Area" localSheetId="44">'046'!$A$1:$I$172</definedName>
    <definedName name="_xlnm.Print_Area" localSheetId="45">'047'!$A$1:$I$172</definedName>
    <definedName name="_xlnm.Print_Area" localSheetId="46">'048'!$A$1:$I$206</definedName>
    <definedName name="_xlnm.Print_Area" localSheetId="47">'049'!$A$1:$I$204</definedName>
    <definedName name="_xlnm.Print_Area" localSheetId="48">'050'!$A$1:$I$177</definedName>
    <definedName name="_xlnm.Print_Area" localSheetId="49">'051'!$A$1:$I$205</definedName>
    <definedName name="_xlnm.Print_Area" localSheetId="50">'052'!$A$1:$I$179</definedName>
    <definedName name="_xlnm.Print_Area" localSheetId="51">'053'!$A$1:$I$179</definedName>
    <definedName name="_xlnm.Print_Area" localSheetId="52">'054'!$A$1:$I$207</definedName>
    <definedName name="_xlnm.Print_Area" localSheetId="53">'055'!$A$1:$I$208</definedName>
    <definedName name="_xlnm.Print_Area" localSheetId="54">'056'!$A$1:$I$209</definedName>
    <definedName name="_xlnm.Print_Area" localSheetId="55">'057'!$A$1:$I$207</definedName>
    <definedName name="_xlnm.Print_Area" localSheetId="56">'058'!$A$1:$I$206</definedName>
    <definedName name="_xlnm.Print_Area" localSheetId="57">'059'!$A$1:$I$208</definedName>
    <definedName name="_xlnm.Print_Area" localSheetId="58">'060'!$A$1:$I$139</definedName>
    <definedName name="_xlnm.Print_Area" localSheetId="59">'061'!$A$1:$I$150</definedName>
    <definedName name="_xlnm.Print_Area" localSheetId="60">'062'!$A$1:$I$151</definedName>
    <definedName name="_xlnm.Print_Area" localSheetId="61">'063'!$A$1:$I$151</definedName>
    <definedName name="_xlnm.Print_Area" localSheetId="62">'064'!$A$1:$I$151</definedName>
    <definedName name="_xlnm.Print_Area" localSheetId="63">'065'!$A$1:$I$151</definedName>
    <definedName name="_xlnm.Print_Area" localSheetId="64">'066'!$A$1:$I$153</definedName>
    <definedName name="_xlnm.Print_Area" localSheetId="65">'067'!$A$1:$I$151</definedName>
    <definedName name="_xlnm.Print_Area" localSheetId="66">'068'!$A$1:$I$151</definedName>
    <definedName name="_xlnm.Print_Area" localSheetId="67">'069'!$A$1:$I$151</definedName>
    <definedName name="_xlnm.Print_Area" localSheetId="68">'070'!$A$1:$I$153</definedName>
    <definedName name="_xlnm.Print_Area" localSheetId="69">'071'!$A$1:$I$154</definedName>
    <definedName name="_xlnm.Print_Area" localSheetId="70">'072'!$A$1:$I$152</definedName>
    <definedName name="_xlnm.Print_Area" localSheetId="71">'073'!$A$1:$I$151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dd"/>
  </numFmts>
  <fonts count="20">
    <font>
      <name val="Aptos Narrow"/>
      <family val="2"/>
      <color theme="1"/>
      <sz val="11"/>
      <scheme val="minor"/>
    </font>
    <font>
      <name val="Arial"/>
      <family val="2"/>
      <b val="1"/>
      <color theme="0"/>
      <sz val="16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b val="1"/>
      <color theme="1"/>
      <sz val="26"/>
    </font>
    <font>
      <name val="Arial"/>
      <family val="2"/>
      <sz val="16"/>
    </font>
    <font>
      <name val="Arial"/>
      <family val="2"/>
      <sz val="18"/>
    </font>
    <font>
      <name val="Arial"/>
      <family val="2"/>
      <b val="1"/>
      <color theme="0"/>
      <sz val="18"/>
    </font>
    <font>
      <name val="Arial"/>
      <family val="2"/>
      <b val="1"/>
      <color theme="1"/>
      <sz val="14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color theme="1"/>
      <sz val="12"/>
    </font>
    <font>
      <name val="Aptos Narrow"/>
      <family val="2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20"/>
    </font>
    <font>
      <name val="Arial"/>
      <family val="2"/>
      <color theme="1"/>
      <sz val="18"/>
    </font>
    <font>
      <name val="Arial"/>
      <family val="2"/>
      <b val="1"/>
      <sz val="18"/>
    </font>
    <font>
      <name val="Aptos Narrow"/>
      <family val="2"/>
      <color theme="1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FD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0" borderId="7" applyAlignment="1" pivotButton="0" quotePrefix="1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9" fillId="0" borderId="19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8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8" fillId="0" borderId="9" applyAlignment="1" pivotButton="0" quotePrefix="0" xfId="0">
      <alignment horizontal="right" vertical="center"/>
    </xf>
    <xf numFmtId="14" fontId="9" fillId="0" borderId="0" applyAlignment="1" pivotButton="0" quotePrefix="0" xfId="0">
      <alignment horizontal="right" vertical="center"/>
    </xf>
    <xf numFmtId="14" fontId="9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164" fontId="9" fillId="0" borderId="5" applyAlignment="1" pivotButton="0" quotePrefix="0" xfId="0">
      <alignment horizontal="right" vertical="center"/>
    </xf>
    <xf numFmtId="20" fontId="9" fillId="0" borderId="5" applyAlignment="1" pivotButton="0" quotePrefix="0" xfId="0">
      <alignment horizontal="right" vertical="center"/>
    </xf>
    <xf numFmtId="0" fontId="8" fillId="0" borderId="9" applyAlignment="1" pivotButton="0" quotePrefix="0" xfId="0">
      <alignment vertical="center" wrapText="1"/>
    </xf>
    <xf numFmtId="0" fontId="8" fillId="0" borderId="9" applyAlignment="1" pivotButton="0" quotePrefix="0" xfId="0">
      <alignment vertical="center"/>
    </xf>
    <xf numFmtId="0" fontId="8" fillId="0" borderId="19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8" fillId="0" borderId="27" applyAlignment="1" pivotButton="0" quotePrefix="0" xfId="0">
      <alignment horizontal="right" vertical="center"/>
    </xf>
    <xf numFmtId="0" fontId="8" fillId="0" borderId="28" applyAlignment="1" pivotButton="0" quotePrefix="0" xfId="0">
      <alignment horizontal="center" vertical="center"/>
    </xf>
    <xf numFmtId="0" fontId="8" fillId="0" borderId="20" applyAlignment="1" pivotButton="0" quotePrefix="0" xfId="0">
      <alignment horizontal="right" vertical="center"/>
    </xf>
    <xf numFmtId="0" fontId="8" fillId="0" borderId="24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/>
    </xf>
    <xf numFmtId="0" fontId="3" fillId="6" borderId="14" applyAlignment="1" pivotButton="0" quotePrefix="0" xfId="0">
      <alignment horizontal="left" vertical="center"/>
    </xf>
    <xf numFmtId="0" fontId="10" fillId="0" borderId="9" applyAlignment="1" pivotButton="0" quotePrefix="0" xfId="0">
      <alignment horizontal="center" vertical="center"/>
    </xf>
    <xf numFmtId="0" fontId="8" fillId="6" borderId="10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/>
    </xf>
    <xf numFmtId="0" fontId="3" fillId="6" borderId="8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8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12" fillId="6" borderId="4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6" fillId="6" borderId="4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6" borderId="5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12" fillId="6" borderId="5" applyAlignment="1" pivotButton="0" quotePrefix="0" xfId="0">
      <alignment vertical="center" wrapText="1"/>
    </xf>
    <xf numFmtId="0" fontId="3" fillId="6" borderId="16" applyAlignment="1" pivotButton="0" quotePrefix="0" xfId="0">
      <alignment horizontal="left" vertical="center"/>
    </xf>
    <xf numFmtId="0" fontId="3" fillId="6" borderId="12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5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0" fontId="1" fillId="5" borderId="16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0" fontId="1" fillId="5" borderId="17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/>
    </xf>
    <xf numFmtId="0" fontId="10" fillId="0" borderId="22" applyAlignment="1" pivotButton="0" quotePrefix="0" xfId="0">
      <alignment vertical="center" wrapText="1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left" vertical="center" wrapText="1"/>
    </xf>
    <xf numFmtId="0" fontId="3" fillId="6" borderId="14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0" fontId="0" fillId="0" borderId="4" pivotButton="0" quotePrefix="0" xfId="0"/>
    <xf numFmtId="0" fontId="12" fillId="6" borderId="1" applyAlignment="1" pivotButton="0" quotePrefix="0" xfId="0">
      <alignment vertical="center" wrapText="1"/>
    </xf>
    <xf numFmtId="0" fontId="12" fillId="6" borderId="2" applyAlignment="1" pivotButton="0" quotePrefix="0" xfId="0">
      <alignment vertical="center" wrapText="1"/>
    </xf>
    <xf numFmtId="0" fontId="12" fillId="6" borderId="3" applyAlignment="1" pivotButton="0" quotePrefix="0" xfId="0">
      <alignment vertical="center" wrapText="1"/>
    </xf>
    <xf numFmtId="0" fontId="15" fillId="0" borderId="9" applyAlignment="1" pivotButton="0" quotePrefix="0" xfId="0">
      <alignment horizontal="left" vertical="center"/>
    </xf>
    <xf numFmtId="0" fontId="16" fillId="5" borderId="6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7" fillId="6" borderId="14" applyAlignment="1" pivotButton="0" quotePrefix="0" xfId="0">
      <alignment horizontal="left" vertical="center"/>
    </xf>
    <xf numFmtId="0" fontId="17" fillId="6" borderId="7" applyAlignment="1" pivotButton="0" quotePrefix="0" xfId="0">
      <alignment horizontal="left" vertical="center"/>
    </xf>
    <xf numFmtId="0" fontId="17" fillId="6" borderId="8" applyAlignment="1" pivotButton="0" quotePrefix="0" xfId="0">
      <alignment horizontal="left" vertical="center"/>
    </xf>
    <xf numFmtId="0" fontId="17" fillId="0" borderId="9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/>
    </xf>
    <xf numFmtId="0" fontId="15" fillId="0" borderId="9" applyAlignment="1" pivotButton="0" quotePrefix="0" xfId="0">
      <alignment horizontal="right" vertical="center"/>
    </xf>
    <xf numFmtId="0" fontId="15" fillId="0" borderId="20" applyAlignment="1" pivotButton="0" quotePrefix="0" xfId="0">
      <alignment horizontal="right" vertical="center"/>
    </xf>
    <xf numFmtId="0" fontId="15" fillId="0" borderId="24" applyAlignment="1" pivotButton="0" quotePrefix="0" xfId="0">
      <alignment horizontal="center" vertical="center"/>
    </xf>
    <xf numFmtId="0" fontId="15" fillId="0" borderId="27" applyAlignment="1" pivotButton="0" quotePrefix="0" xfId="0">
      <alignment horizontal="right" vertical="center"/>
    </xf>
    <xf numFmtId="0" fontId="15" fillId="0" borderId="28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 wrapText="1"/>
    </xf>
    <xf numFmtId="0" fontId="15" fillId="0" borderId="9" applyAlignment="1" pivotButton="0" quotePrefix="0" xfId="0">
      <alignment vertical="center"/>
    </xf>
    <xf numFmtId="0" fontId="18" fillId="0" borderId="10" applyAlignment="1" pivotButton="0" quotePrefix="0" xfId="0">
      <alignment horizontal="left" vertical="center" wrapText="1"/>
    </xf>
    <xf numFmtId="0" fontId="15" fillId="0" borderId="20" applyAlignment="1" pivotButton="0" quotePrefix="0" xfId="0">
      <alignment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15" fillId="0" borderId="19" applyAlignment="1" pivotButton="0" quotePrefix="0" xfId="0">
      <alignment horizontal="left" vertical="center"/>
    </xf>
    <xf numFmtId="0" fontId="15" fillId="0" borderId="18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vertical="center"/>
    </xf>
    <xf numFmtId="0" fontId="17" fillId="0" borderId="19" applyAlignment="1" pivotButton="0" quotePrefix="0" xfId="0">
      <alignment horizontal="center" vertical="center"/>
    </xf>
    <xf numFmtId="0" fontId="17" fillId="0" borderId="10" applyAlignment="1" pivotButton="0" quotePrefix="0" xfId="0">
      <alignment horizontal="left" vertical="center"/>
    </xf>
    <xf numFmtId="0" fontId="17" fillId="0" borderId="19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0" applyAlignment="1" pivotButton="0" quotePrefix="0" xfId="0">
      <alignment vertical="center"/>
    </xf>
    <xf numFmtId="0" fontId="17" fillId="6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left" vertical="center"/>
    </xf>
    <xf numFmtId="0" fontId="15" fillId="0" borderId="4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14" fontId="17" fillId="0" borderId="0" applyAlignment="1" pivotButton="0" quotePrefix="0" xfId="0">
      <alignment horizontal="right" vertical="center"/>
    </xf>
    <xf numFmtId="14" fontId="17" fillId="0" borderId="5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164" fontId="17" fillId="0" borderId="5" applyAlignment="1" pivotButton="0" quotePrefix="0" xfId="0">
      <alignment horizontal="right" vertical="center"/>
    </xf>
    <xf numFmtId="20" fontId="17" fillId="0" borderId="5" applyAlignment="1" pivotButton="0" quotePrefix="0" xfId="0">
      <alignment horizontal="right" vertical="center"/>
    </xf>
    <xf numFmtId="0" fontId="17" fillId="0" borderId="7" applyAlignment="1" pivotButton="0" quotePrefix="1" xfId="0">
      <alignment horizontal="left" vertical="center"/>
    </xf>
    <xf numFmtId="0" fontId="17" fillId="0" borderId="7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17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7" fillId="0" borderId="16" applyAlignment="1" pivotButton="0" quotePrefix="0" xfId="0">
      <alignment horizontal="left" vertical="center"/>
    </xf>
    <xf numFmtId="0" fontId="12" fillId="6" borderId="21" applyAlignment="1" pivotButton="0" quotePrefix="0" xfId="0">
      <alignment vertical="center" wrapText="1"/>
    </xf>
    <xf numFmtId="0" fontId="12" fillId="6" borderId="22" applyAlignment="1" pivotButton="0" quotePrefix="0" xfId="0">
      <alignment vertical="center" wrapText="1"/>
    </xf>
    <xf numFmtId="0" fontId="12" fillId="6" borderId="23" applyAlignment="1" pivotButton="0" quotePrefix="0" xfId="0">
      <alignment vertical="center" wrapText="1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17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3" fillId="6" borderId="14" applyAlignment="1" pivotButton="0" quotePrefix="0" xfId="0">
      <alignment horizontal="center" vertical="center"/>
    </xf>
    <xf numFmtId="0" fontId="3" fillId="6" borderId="19" applyAlignment="1" pivotButton="0" quotePrefix="0" xfId="0">
      <alignment horizontal="center" vertical="center"/>
    </xf>
    <xf numFmtId="0" fontId="7" fillId="5" borderId="13" applyAlignment="1" pivotButton="0" quotePrefix="0" xfId="0">
      <alignment horizontal="left" vertical="center"/>
    </xf>
    <xf numFmtId="0" fontId="7" fillId="5" borderId="14" applyAlignment="1" pivotButton="0" quotePrefix="0" xfId="0">
      <alignment horizontal="left" vertical="center"/>
    </xf>
    <xf numFmtId="0" fontId="7" fillId="5" borderId="15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1" fillId="5" borderId="13" applyAlignment="1" pivotButton="0" quotePrefix="0" xfId="0">
      <alignment horizontal="left" vertical="center"/>
    </xf>
    <xf numFmtId="0" fontId="1" fillId="5" borderId="14" applyAlignment="1" pivotButton="0" quotePrefix="0" xfId="0">
      <alignment horizontal="left" vertical="center"/>
    </xf>
    <xf numFmtId="0" fontId="1" fillId="5" borderId="15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9" fillId="0" borderId="15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0" fontId="9" fillId="0" borderId="29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1" fillId="5" borderId="31" applyAlignment="1" pivotButton="0" quotePrefix="0" xfId="0">
      <alignment horizontal="left" vertical="center"/>
    </xf>
    <xf numFmtId="0" fontId="1" fillId="5" borderId="32" applyAlignment="1" pivotButton="0" quotePrefix="0" xfId="0">
      <alignment horizontal="left" vertical="center"/>
    </xf>
    <xf numFmtId="0" fontId="1" fillId="5" borderId="3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0" fillId="0" borderId="18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6" borderId="13" applyAlignment="1" pivotButton="0" quotePrefix="0" xfId="0">
      <alignment horizontal="left" vertical="center" wrapText="1"/>
    </xf>
    <xf numFmtId="0" fontId="10" fillId="6" borderId="14" applyAlignment="1" pivotButton="0" quotePrefix="0" xfId="0">
      <alignment horizontal="left" vertical="center" wrapText="1"/>
    </xf>
    <xf numFmtId="0" fontId="10" fillId="6" borderId="15" applyAlignment="1" pivotButton="0" quotePrefix="0" xfId="0">
      <alignment horizontal="left" vertical="center" wrapText="1"/>
    </xf>
    <xf numFmtId="0" fontId="1" fillId="5" borderId="16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0" fontId="1" fillId="5" borderId="17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1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5" borderId="9" applyAlignment="1" pivotButton="0" quotePrefix="0" xfId="0">
      <alignment horizontal="left" vertical="center"/>
    </xf>
    <xf numFmtId="0" fontId="1" fillId="5" borderId="10" applyAlignment="1" pivotButton="0" quotePrefix="0" xfId="0">
      <alignment horizontal="left" vertical="center"/>
    </xf>
    <xf numFmtId="0" fontId="1" fillId="5" borderId="1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17" fillId="0" borderId="7" applyAlignment="1" pivotButton="0" quotePrefix="1" xfId="0">
      <alignment horizontal="left" vertical="center"/>
    </xf>
    <xf numFmtId="0" fontId="16" fillId="5" borderId="9" applyAlignment="1" pivotButton="0" quotePrefix="0" xfId="0">
      <alignment horizontal="left" vertical="center"/>
    </xf>
    <xf numFmtId="0" fontId="16" fillId="5" borderId="10" applyAlignment="1" pivotButton="0" quotePrefix="0" xfId="0">
      <alignment horizontal="left" vertical="center"/>
    </xf>
    <xf numFmtId="0" fontId="16" fillId="5" borderId="1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6" fillId="5" borderId="13" applyAlignment="1" pivotButton="0" quotePrefix="0" xfId="0">
      <alignment horizontal="left" vertical="center"/>
    </xf>
    <xf numFmtId="0" fontId="16" fillId="5" borderId="14" applyAlignment="1" pivotButton="0" quotePrefix="0" xfId="0">
      <alignment horizontal="left" vertical="center"/>
    </xf>
    <xf numFmtId="0" fontId="16" fillId="5" borderId="15" applyAlignment="1" pivotButton="0" quotePrefix="0" xfId="0">
      <alignment horizontal="left" vertical="center"/>
    </xf>
    <xf numFmtId="0" fontId="6" fillId="6" borderId="13" applyAlignment="1" pivotButton="0" quotePrefix="0" xfId="0">
      <alignment horizontal="left" vertical="center" wrapText="1"/>
    </xf>
    <xf numFmtId="0" fontId="6" fillId="6" borderId="14" applyAlignment="1" pivotButton="0" quotePrefix="0" xfId="0">
      <alignment horizontal="left" vertical="center" wrapText="1"/>
    </xf>
    <xf numFmtId="0" fontId="6" fillId="6" borderId="15" applyAlignment="1" pivotButton="0" quotePrefix="0" xfId="0">
      <alignment horizontal="left" vertical="center" wrapText="1"/>
    </xf>
    <xf numFmtId="0" fontId="16" fillId="5" borderId="16" applyAlignment="1" pivotButton="0" quotePrefix="0" xfId="0">
      <alignment horizontal="left" vertical="center"/>
    </xf>
    <xf numFmtId="0" fontId="16" fillId="5" borderId="12" applyAlignment="1" pivotButton="0" quotePrefix="0" xfId="0">
      <alignment horizontal="left" vertical="center"/>
    </xf>
    <xf numFmtId="0" fontId="16" fillId="5" borderId="17" applyAlignment="1" pivotButton="0" quotePrefix="0" xfId="0">
      <alignment horizontal="left"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/>
    </xf>
    <xf numFmtId="0" fontId="17" fillId="0" borderId="18" applyAlignment="1" pivotButton="0" quotePrefix="0" xfId="0">
      <alignment horizontal="left" vertical="center"/>
    </xf>
    <xf numFmtId="0" fontId="17" fillId="0" borderId="14" applyAlignment="1" pivotButton="0" quotePrefix="0" xfId="0">
      <alignment horizontal="left" vertical="center"/>
    </xf>
    <xf numFmtId="0" fontId="17" fillId="0" borderId="15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5" fillId="0" borderId="19" applyAlignment="1" pivotButton="0" quotePrefix="0" xfId="0">
      <alignment horizontal="left" vertical="center"/>
    </xf>
    <xf numFmtId="0" fontId="15" fillId="0" borderId="18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6" fillId="5" borderId="31" applyAlignment="1" pivotButton="0" quotePrefix="0" xfId="0">
      <alignment horizontal="left" vertical="center"/>
    </xf>
    <xf numFmtId="0" fontId="16" fillId="5" borderId="32" applyAlignment="1" pivotButton="0" quotePrefix="0" xfId="0">
      <alignment horizontal="left" vertical="center"/>
    </xf>
    <xf numFmtId="0" fontId="16" fillId="5" borderId="33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 vertical="center"/>
    </xf>
    <xf numFmtId="0" fontId="17" fillId="0" borderId="30" applyAlignment="1" pivotButton="0" quotePrefix="0" xfId="0">
      <alignment horizontal="left" vertical="center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7" fillId="0" borderId="29" applyAlignment="1" pivotButton="0" quotePrefix="0" xfId="0">
      <alignment horizontal="left" vertical="center"/>
    </xf>
    <xf numFmtId="0" fontId="17" fillId="0" borderId="25" applyAlignment="1" pivotButton="0" quotePrefix="0" xfId="0">
      <alignment horizontal="left" vertical="center"/>
    </xf>
    <xf numFmtId="0" fontId="17" fillId="0" borderId="26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16" fillId="5" borderId="3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2" fillId="6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 wrapText="1"/>
    </xf>
    <xf numFmtId="0" fontId="4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9" pivotButton="0" quotePrefix="0" xfId="0"/>
    <xf numFmtId="0" fontId="1" fillId="5" borderId="36" applyAlignment="1" pivotButton="0" quotePrefix="0" xfId="0">
      <alignment horizontal="left" vertical="center"/>
    </xf>
    <xf numFmtId="0" fontId="0" fillId="0" borderId="15" pivotButton="0" quotePrefix="0" xfId="0"/>
    <xf numFmtId="0" fontId="10" fillId="6" borderId="36" applyAlignment="1" pivotButton="0" quotePrefix="0" xfId="0">
      <alignment horizontal="left" vertical="center" wrapText="1"/>
    </xf>
    <xf numFmtId="0" fontId="1" fillId="5" borderId="3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7" pivotButton="0" quotePrefix="0" xfId="0"/>
    <xf numFmtId="0" fontId="9" fillId="0" borderId="11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5" fillId="0" borderId="3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5" borderId="34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10" fillId="0" borderId="39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5" fillId="0" borderId="3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7" fillId="5" borderId="36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36" applyAlignment="1" pivotButton="0" quotePrefix="0" xfId="0">
      <alignment horizontal="left" vertical="center"/>
    </xf>
    <xf numFmtId="0" fontId="16" fillId="5" borderId="36" applyAlignment="1" pivotButton="0" quotePrefix="0" xfId="0">
      <alignment horizontal="left" vertical="center"/>
    </xf>
    <xf numFmtId="0" fontId="6" fillId="6" borderId="36" applyAlignment="1" pivotButton="0" quotePrefix="0" xfId="0">
      <alignment horizontal="left" vertical="center" wrapText="1"/>
    </xf>
    <xf numFmtId="0" fontId="16" fillId="5" borderId="37" applyAlignment="1" pivotButton="0" quotePrefix="0" xfId="0">
      <alignment horizontal="left" vertical="center"/>
    </xf>
    <xf numFmtId="0" fontId="17" fillId="0" borderId="11" applyAlignment="1" pivotButton="0" quotePrefix="0" xfId="0">
      <alignment horizontal="left" vertical="center"/>
    </xf>
    <xf numFmtId="0" fontId="16" fillId="5" borderId="34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 wrapText="1"/>
    </xf>
    <xf numFmtId="0" fontId="17" fillId="0" borderId="39" applyAlignment="1" pivotButton="0" quotePrefix="0" xfId="0">
      <alignment horizontal="left" vertical="center"/>
    </xf>
    <xf numFmtId="0" fontId="17" fillId="0" borderId="40" applyAlignment="1" pivotButton="0" quotePrefix="0" xfId="0">
      <alignment horizontal="left" vertical="center"/>
    </xf>
    <xf numFmtId="0" fontId="15" fillId="0" borderId="36" applyAlignment="1" pivotButton="0" quotePrefix="0" xfId="0">
      <alignment horizontal="left" vertical="center"/>
    </xf>
    <xf numFmtId="0" fontId="16" fillId="5" borderId="42" applyAlignment="1" pivotButton="0" quotePrefix="0" xfId="0">
      <alignment horizontal="left" vertical="center"/>
    </xf>
    <xf numFmtId="0" fontId="12" fillId="6" borderId="41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148"/>
  <sheetViews>
    <sheetView view="pageBreakPreview" topLeftCell="A49" zoomScale="70" zoomScaleNormal="100" zoomScaleSheetLayoutView="70" workbookViewId="0">
      <selection activeCell="N67" sqref="N67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37.632812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45782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1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29 degrees    Wind: 24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>
        <v>5</v>
      </c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/>
      <c r="H34" s="23" t="n"/>
      <c r="I34" s="23" t="n"/>
      <c r="J34" s="24" t="n"/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Loading and Unloading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1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1" t="n">
        <v>5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n"/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Enabling compound-Running water and toilet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inlineStr">
        <is>
          <t>Commence install of site fencing</t>
        </is>
      </c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n"/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48" t="n"/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H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B108" s="65" t="n"/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C9:E9"/>
    <mergeCell ref="B46:C46"/>
    <mergeCell ref="C45:D45"/>
    <mergeCell ref="C58:J58"/>
    <mergeCell ref="B124:E124"/>
    <mergeCell ref="B53:J53"/>
    <mergeCell ref="C74:J74"/>
    <mergeCell ref="F124:J124"/>
    <mergeCell ref="B73:J73"/>
    <mergeCell ref="B13:J13"/>
    <mergeCell ref="B69:J69"/>
    <mergeCell ref="F127:J127"/>
    <mergeCell ref="B133:E133"/>
    <mergeCell ref="F77:J98"/>
    <mergeCell ref="E46:J46"/>
    <mergeCell ref="B126:E126"/>
    <mergeCell ref="F133:J133"/>
    <mergeCell ref="E45:J45"/>
    <mergeCell ref="C8:E8"/>
    <mergeCell ref="C54:J54"/>
    <mergeCell ref="B100:E100"/>
    <mergeCell ref="D60:J60"/>
    <mergeCell ref="C44:D44"/>
    <mergeCell ref="B65:J65"/>
    <mergeCell ref="C7:E7"/>
    <mergeCell ref="C55:J55"/>
    <mergeCell ref="D63:J63"/>
    <mergeCell ref="B6:J6"/>
    <mergeCell ref="B68:J68"/>
    <mergeCell ref="B64:J64"/>
    <mergeCell ref="B131:E131"/>
    <mergeCell ref="C43:D43"/>
    <mergeCell ref="F126:J126"/>
    <mergeCell ref="F100:J100"/>
    <mergeCell ref="B71:E71"/>
    <mergeCell ref="B140:E140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K148"/>
  <sheetViews>
    <sheetView view="pageBreakPreview" topLeftCell="A46" zoomScale="70" zoomScaleNormal="100" zoomScaleSheetLayoutView="70" workbookViewId="0">
      <selection activeCell="N67" sqref="N67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37.632812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45783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2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26 degrees    Wind: 22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>
        <v>5</v>
      </c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/>
      <c r="H34" s="23" t="n"/>
      <c r="I34" s="23" t="n"/>
      <c r="J34" s="24" t="n"/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PPE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1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1" t="n">
        <v>6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inlineStr">
        <is>
          <t>APRA Issued to Watercorp</t>
        </is>
      </c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Ongoing Fencing Install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n"/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n"/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48" t="n"/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H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B108" s="65" t="n"/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B46:C46"/>
    <mergeCell ref="C58:J58"/>
    <mergeCell ref="C45:D45"/>
    <mergeCell ref="B124:E124"/>
    <mergeCell ref="C9:E9"/>
    <mergeCell ref="F124:J124"/>
    <mergeCell ref="B133:E133"/>
    <mergeCell ref="C74:J74"/>
    <mergeCell ref="B73:J73"/>
    <mergeCell ref="B53:J53"/>
    <mergeCell ref="B69:J69"/>
    <mergeCell ref="F127:J127"/>
    <mergeCell ref="B13:J13"/>
    <mergeCell ref="F77:J98"/>
    <mergeCell ref="E46:J46"/>
    <mergeCell ref="B126:E126"/>
    <mergeCell ref="F133:J133"/>
    <mergeCell ref="E45:J45"/>
    <mergeCell ref="B100:E100"/>
    <mergeCell ref="C54:J54"/>
    <mergeCell ref="C8:E8"/>
    <mergeCell ref="D60:J60"/>
    <mergeCell ref="C44:D44"/>
    <mergeCell ref="B65:J65"/>
    <mergeCell ref="C55:J55"/>
    <mergeCell ref="C7:E7"/>
    <mergeCell ref="D63:J63"/>
    <mergeCell ref="B6:J6"/>
    <mergeCell ref="B68:J68"/>
    <mergeCell ref="B131:E131"/>
    <mergeCell ref="B64:J64"/>
    <mergeCell ref="C43:D43"/>
    <mergeCell ref="F126:J126"/>
    <mergeCell ref="B140:E140"/>
    <mergeCell ref="F100:J100"/>
    <mergeCell ref="B71:E71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T148"/>
  <sheetViews>
    <sheetView view="pageBreakPreview" topLeftCell="A6" zoomScale="40" zoomScaleNormal="100" zoomScaleSheetLayoutView="40" workbookViewId="0">
      <selection activeCell="Q20" sqref="Q20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42.179687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45784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3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30 degrees    Wind: 23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/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>
        <v>1</v>
      </c>
      <c r="H34" s="23" t="inlineStr">
        <is>
          <t>Site Sentry Tower</t>
        </is>
      </c>
      <c r="I34" s="23" t="n"/>
      <c r="J34" s="24" t="n">
        <v>2</v>
      </c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Public Interaction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2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2" t="n">
        <v>7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n"/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Complete Fencing Install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inlineStr">
        <is>
          <t>Establish Site Security Cameras</t>
        </is>
      </c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inlineStr">
        <is>
          <t>Demo of fencing in front of sump</t>
        </is>
      </c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50" t="inlineStr">
        <is>
          <t xml:space="preserve">Inspection of carpark works </t>
        </is>
      </c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B46:C46"/>
    <mergeCell ref="C58:J58"/>
    <mergeCell ref="C45:D45"/>
    <mergeCell ref="B124:E124"/>
    <mergeCell ref="C9:E9"/>
    <mergeCell ref="F124:J124"/>
    <mergeCell ref="B133:E133"/>
    <mergeCell ref="C74:J74"/>
    <mergeCell ref="B73:J73"/>
    <mergeCell ref="B53:J53"/>
    <mergeCell ref="B69:J69"/>
    <mergeCell ref="F127:J127"/>
    <mergeCell ref="B13:J13"/>
    <mergeCell ref="F77:J98"/>
    <mergeCell ref="E46:J46"/>
    <mergeCell ref="B126:E126"/>
    <mergeCell ref="F133:J133"/>
    <mergeCell ref="E45:J45"/>
    <mergeCell ref="B100:E100"/>
    <mergeCell ref="C54:J54"/>
    <mergeCell ref="C8:E8"/>
    <mergeCell ref="D60:J60"/>
    <mergeCell ref="C44:D44"/>
    <mergeCell ref="B65:J65"/>
    <mergeCell ref="C55:J55"/>
    <mergeCell ref="C7:E7"/>
    <mergeCell ref="D63:J63"/>
    <mergeCell ref="B6:J6"/>
    <mergeCell ref="B68:J68"/>
    <mergeCell ref="B131:E131"/>
    <mergeCell ref="B64:J64"/>
    <mergeCell ref="C43:D43"/>
    <mergeCell ref="F126:J126"/>
    <mergeCell ref="B140:E140"/>
    <mergeCell ref="F100:J100"/>
    <mergeCell ref="B71:E71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view="pageBreakPreview" topLeftCell="A51" zoomScale="40" zoomScaleNormal="100" zoomScaleSheetLayoutView="40" workbookViewId="0">
      <selection activeCell="E37" sqref="E37"/>
    </sheetView>
  </sheetViews>
  <sheetFormatPr baseColWidth="8" defaultColWidth="9.1796875" defaultRowHeight="14.5"/>
  <cols>
    <col width="42.6328125" bestFit="1" customWidth="1" style="55" min="1" max="1"/>
    <col width="31.81640625" bestFit="1" customWidth="1" style="55" min="2" max="2"/>
    <col width="9.453125" bestFit="1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2.1796875" bestFit="1" customWidth="1" style="55" min="7" max="7"/>
    <col width="19.81640625" bestFit="1" customWidth="1" style="55" min="8" max="8"/>
    <col width="16.45312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0" customHeight="1">
      <c r="A5" s="25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0" customHeight="1">
      <c r="A6" s="17" t="inlineStr">
        <is>
          <t>Project Name:</t>
        </is>
      </c>
      <c r="B6" s="253" t="inlineStr">
        <is>
          <t>Batavia Station Square</t>
        </is>
      </c>
      <c r="E6" s="12" t="n"/>
      <c r="F6" s="13" t="n"/>
      <c r="G6" s="13" t="n"/>
      <c r="H6" s="34" t="inlineStr">
        <is>
          <t>Date:</t>
        </is>
      </c>
      <c r="I6" s="35" t="n">
        <v>45785</v>
      </c>
    </row>
    <row r="7" ht="20" customHeight="1">
      <c r="A7" s="17" t="inlineStr">
        <is>
          <t>Project Location:</t>
        </is>
      </c>
      <c r="B7" s="253" t="inlineStr">
        <is>
          <t>Geraldton</t>
        </is>
      </c>
      <c r="E7" s="12" t="n"/>
      <c r="F7" s="13" t="n"/>
      <c r="G7" s="13" t="n"/>
      <c r="H7" s="36" t="inlineStr">
        <is>
          <t>Day:</t>
        </is>
      </c>
      <c r="I7" s="37">
        <f>I6</f>
        <v/>
      </c>
    </row>
    <row r="8" ht="20" customHeight="1">
      <c r="A8" s="17" t="inlineStr">
        <is>
          <t>Project Number:</t>
        </is>
      </c>
      <c r="B8" s="253" t="inlineStr">
        <is>
          <t>TCD-1816</t>
        </is>
      </c>
      <c r="E8" s="12" t="n"/>
      <c r="F8" s="13" t="n"/>
      <c r="G8" s="13" t="n"/>
      <c r="H8" s="36" t="inlineStr">
        <is>
          <t>Start:</t>
        </is>
      </c>
      <c r="I8" s="38" t="n">
        <v>0.2916666666666667</v>
      </c>
    </row>
    <row r="9" ht="20" customHeight="1">
      <c r="A9" s="17" t="inlineStr">
        <is>
          <t>Report Number:</t>
        </is>
      </c>
      <c r="B9" s="239" t="n">
        <v>4</v>
      </c>
      <c r="C9" s="322" t="n"/>
      <c r="D9" s="322" t="n"/>
      <c r="E9" s="1" t="n"/>
      <c r="F9" s="2" t="n"/>
      <c r="G9" s="2" t="n"/>
      <c r="H9" s="36" t="inlineStr">
        <is>
          <t>Finish:</t>
        </is>
      </c>
      <c r="I9" s="38" t="n">
        <v>0.7083333333333334</v>
      </c>
    </row>
    <row r="10" ht="20" customHeight="1">
      <c r="A10" s="326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17.5" customHeight="1">
      <c r="A11" s="328" t="inlineStr">
        <is>
          <t>Temperature: 35 degrees    Wind: 35 km/h  WE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0" customHeight="1">
      <c r="A12" s="329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18" customHeight="1">
      <c r="A13" s="236" t="inlineStr">
        <is>
          <t>TCD Indirects</t>
        </is>
      </c>
      <c r="B13" s="324" t="n"/>
      <c r="C13" s="325" t="n"/>
      <c r="D13" s="237" t="inlineStr">
        <is>
          <t>TCD Directs</t>
        </is>
      </c>
      <c r="E13" s="324" t="n"/>
      <c r="F13" s="325" t="n"/>
      <c r="G13" s="237" t="inlineStr">
        <is>
          <t>Subcontractors</t>
        </is>
      </c>
      <c r="H13" s="324" t="n"/>
      <c r="I13" s="325" t="n"/>
    </row>
    <row r="14" ht="18" customHeight="1">
      <c r="A14" s="236" t="inlineStr">
        <is>
          <t xml:space="preserve"> Name</t>
        </is>
      </c>
      <c r="B14" s="237" t="inlineStr">
        <is>
          <t>Position</t>
        </is>
      </c>
      <c r="C14" s="50" t="inlineStr">
        <is>
          <t>Hours</t>
        </is>
      </c>
      <c r="D14" s="237" t="inlineStr">
        <is>
          <t xml:space="preserve"> Name</t>
        </is>
      </c>
      <c r="E14" s="237" t="inlineStr">
        <is>
          <t>Position</t>
        </is>
      </c>
      <c r="F14" s="50" t="inlineStr">
        <is>
          <t>Hours</t>
        </is>
      </c>
      <c r="G14" s="237" t="inlineStr">
        <is>
          <t xml:space="preserve"> Name</t>
        </is>
      </c>
      <c r="H14" s="237" t="inlineStr">
        <is>
          <t>Position</t>
        </is>
      </c>
      <c r="I14" s="238" t="inlineStr">
        <is>
          <t>Hours</t>
        </is>
      </c>
    </row>
    <row r="15" ht="17.5" customHeight="1">
      <c r="A15" s="21" t="inlineStr">
        <is>
          <t>WATKINS, Steve</t>
        </is>
      </c>
      <c r="B15" s="22" t="inlineStr">
        <is>
          <t>Civil Manager</t>
        </is>
      </c>
      <c r="C15" s="76" t="n">
        <v>0</v>
      </c>
      <c r="D15" s="29" t="n"/>
      <c r="E15" s="29" t="n"/>
      <c r="F15" s="22" t="n"/>
      <c r="G15" s="26" t="inlineStr">
        <is>
          <t>Khegan Brockman</t>
        </is>
      </c>
      <c r="H15" s="22" t="inlineStr">
        <is>
          <t>Labourer</t>
        </is>
      </c>
      <c r="I15" s="24" t="n">
        <v>10</v>
      </c>
    </row>
    <row r="16" ht="17.5" customHeight="1">
      <c r="A16" s="21" t="inlineStr">
        <is>
          <t>GRIFFITHS, Daniel</t>
        </is>
      </c>
      <c r="B16" s="22" t="inlineStr">
        <is>
          <t>Project Manager</t>
        </is>
      </c>
      <c r="C16" s="23" t="n">
        <v>10</v>
      </c>
      <c r="D16" s="25" t="n"/>
      <c r="E16" s="25" t="n"/>
      <c r="F16" s="22" t="n"/>
      <c r="G16" s="26" t="n"/>
      <c r="H16" s="22" t="n"/>
      <c r="I16" s="24" t="n"/>
    </row>
    <row r="17" ht="17.5" customHeight="1">
      <c r="A17" s="21" t="inlineStr">
        <is>
          <t>GRIFFITHS, Ashley</t>
        </is>
      </c>
      <c r="B17" s="22" t="inlineStr">
        <is>
          <t>Supervisor</t>
        </is>
      </c>
      <c r="C17" s="23" t="n">
        <v>10</v>
      </c>
      <c r="D17" s="29" t="n"/>
      <c r="E17" s="29" t="n"/>
      <c r="F17" s="22" t="n"/>
      <c r="G17" s="26" t="n"/>
      <c r="H17" s="22" t="n"/>
      <c r="I17" s="24" t="n"/>
    </row>
    <row r="18" ht="17.5" customHeight="1">
      <c r="A18" s="21" t="n"/>
      <c r="B18" s="22" t="n"/>
      <c r="C18" s="23" t="n"/>
      <c r="D18" s="29" t="n"/>
      <c r="E18" s="29" t="n"/>
      <c r="F18" s="22" t="n"/>
      <c r="G18" s="26" t="n"/>
      <c r="H18" s="22" t="n"/>
      <c r="I18" s="24" t="n"/>
    </row>
    <row r="19" ht="17.5" customHeight="1">
      <c r="A19" s="21" t="n"/>
      <c r="B19" s="22" t="n"/>
      <c r="C19" s="23" t="n"/>
      <c r="D19" s="29" t="n"/>
      <c r="E19" s="29" t="n"/>
      <c r="F19" s="22" t="n"/>
      <c r="G19" s="47" t="n"/>
      <c r="H19" s="22" t="n"/>
      <c r="I19" s="24" t="n"/>
    </row>
    <row r="20" ht="17.5" customHeight="1">
      <c r="A20" s="21" t="n"/>
      <c r="B20" s="22" t="n"/>
      <c r="C20" s="23" t="n"/>
      <c r="D20" s="29" t="n"/>
      <c r="E20" s="29" t="n"/>
      <c r="F20" s="22" t="n"/>
      <c r="G20" s="47" t="n"/>
      <c r="H20" s="22" t="n"/>
      <c r="I20" s="24" t="n"/>
    </row>
    <row r="21" ht="17.5" customHeight="1">
      <c r="A21" s="21" t="n"/>
      <c r="B21" s="22" t="n"/>
      <c r="C21" s="23" t="n"/>
      <c r="D21" s="29" t="n"/>
      <c r="E21" s="29" t="n"/>
      <c r="F21" s="22" t="n"/>
      <c r="G21" s="47" t="n"/>
      <c r="H21" s="22" t="n"/>
      <c r="I21" s="24" t="n"/>
    </row>
    <row r="22" ht="20" customHeight="1">
      <c r="A22" s="27" t="inlineStr">
        <is>
          <t xml:space="preserve">Total Indirect Personnel onsite: </t>
        </is>
      </c>
      <c r="B22" s="28">
        <f>COUNTIF(C15:C21,"&gt;0")</f>
        <v/>
      </c>
      <c r="C22" s="29" t="n"/>
      <c r="D22" s="29" t="n"/>
      <c r="E22" s="29" t="n"/>
      <c r="F22" s="22" t="n"/>
      <c r="G22" s="206" t="inlineStr">
        <is>
          <t>Total Subcontractor on-site:</t>
        </is>
      </c>
      <c r="H22" s="30">
        <f>COUNTIF(I15:I21,"&gt;0")</f>
        <v/>
      </c>
      <c r="I22" s="3" t="n"/>
    </row>
    <row r="23" ht="20" customHeight="1">
      <c r="A23" s="27" t="inlineStr">
        <is>
          <t xml:space="preserve">Total Indirect Personnel hours: </t>
        </is>
      </c>
      <c r="B23" s="28">
        <f>SUM(C15:C21)</f>
        <v/>
      </c>
      <c r="C23" s="23" t="n"/>
      <c r="D23" s="29" t="n"/>
      <c r="E23" s="29" t="n"/>
      <c r="F23" s="22" t="n"/>
      <c r="G23" s="206" t="inlineStr">
        <is>
          <t>Total Subcontractor hours:</t>
        </is>
      </c>
      <c r="H23" s="30">
        <f>SUM(I15:I21)</f>
        <v/>
      </c>
      <c r="I23" s="3" t="n"/>
    </row>
    <row r="24" ht="20" customHeight="1">
      <c r="A24" s="27" t="inlineStr">
        <is>
          <t xml:space="preserve">Total Direct Personnel onsite:  </t>
        </is>
      </c>
      <c r="B24" s="28">
        <f>COUNTIF(F15:F25,"&gt;0")</f>
        <v/>
      </c>
      <c r="C24" s="28" t="n"/>
      <c r="D24" s="29" t="n"/>
      <c r="E24" s="29" t="n"/>
      <c r="F24" s="56" t="n"/>
      <c r="G24" s="206" t="n"/>
      <c r="H24" s="30" t="n"/>
      <c r="I24" s="4" t="n"/>
    </row>
    <row r="25" ht="20" customHeight="1">
      <c r="A25" s="27" t="inlineStr">
        <is>
          <t xml:space="preserve">Total Direct Personnel hours: </t>
        </is>
      </c>
      <c r="B25" s="28">
        <f>SUM(F15:F25)</f>
        <v/>
      </c>
      <c r="C25" s="28" t="n"/>
      <c r="D25" s="28" t="n"/>
      <c r="E25" s="28" t="n"/>
      <c r="F25" s="28" t="n"/>
      <c r="G25" s="28" t="n"/>
      <c r="H25" s="28" t="n"/>
      <c r="I25" s="4" t="n"/>
    </row>
    <row r="26" ht="20" customHeight="1">
      <c r="A26" s="9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0" customHeight="1">
      <c r="A27" s="5" t="inlineStr">
        <is>
          <t>Plant</t>
        </is>
      </c>
      <c r="B27" s="6" t="inlineStr">
        <is>
          <t>ID</t>
        </is>
      </c>
      <c r="C27" s="6" t="inlineStr">
        <is>
          <t>Hours</t>
        </is>
      </c>
      <c r="D27" s="6" t="inlineStr">
        <is>
          <t xml:space="preserve"> Vehicles</t>
        </is>
      </c>
      <c r="E27" s="6" t="inlineStr">
        <is>
          <t>ID</t>
        </is>
      </c>
      <c r="F27" s="6" t="inlineStr">
        <is>
          <t>QTY</t>
        </is>
      </c>
      <c r="G27" s="7" t="inlineStr">
        <is>
          <t>Site Facilities</t>
        </is>
      </c>
      <c r="H27" s="7" t="inlineStr">
        <is>
          <t>ID</t>
        </is>
      </c>
      <c r="I27" s="8" t="inlineStr">
        <is>
          <t>Qty</t>
        </is>
      </c>
    </row>
    <row r="28" ht="17.5" customHeight="1">
      <c r="A28" s="21" t="inlineStr">
        <is>
          <t>Komatsu WA320</t>
        </is>
      </c>
      <c r="B28" s="22" t="inlineStr">
        <is>
          <t>FWL18</t>
        </is>
      </c>
      <c r="C28" s="22" t="n"/>
      <c r="D28" s="23" t="n"/>
      <c r="E28" s="23" t="n"/>
      <c r="F28" s="23" t="n"/>
      <c r="G28" s="23" t="inlineStr">
        <is>
          <t>Office 40ft</t>
        </is>
      </c>
      <c r="H28" s="23" t="n">
        <v>9255540</v>
      </c>
      <c r="I28" s="24" t="n">
        <v>1</v>
      </c>
    </row>
    <row r="29" ht="17.5" customHeight="1">
      <c r="A29" s="21" t="inlineStr">
        <is>
          <t>Wacker Neuson DPU</t>
        </is>
      </c>
      <c r="B29" s="22" t="inlineStr">
        <is>
          <t>DPC15</t>
        </is>
      </c>
      <c r="C29" s="22" t="n"/>
      <c r="D29" s="23" t="n"/>
      <c r="E29" s="23" t="n"/>
      <c r="F29" s="23" t="n"/>
      <c r="G29" s="23" t="inlineStr">
        <is>
          <t>Sea Container 20ft</t>
        </is>
      </c>
      <c r="H29" s="22" t="n">
        <v>951200</v>
      </c>
      <c r="I29" s="24" t="n">
        <v>1</v>
      </c>
    </row>
    <row r="30" ht="17.5" customHeight="1">
      <c r="A30" s="49" t="n"/>
      <c r="B30" s="23" t="n"/>
      <c r="C30" s="22" t="n"/>
      <c r="D30" s="23" t="n"/>
      <c r="E30" s="22" t="n"/>
      <c r="F30" s="23" t="n"/>
      <c r="G30" s="23" t="inlineStr">
        <is>
          <t>Site Sentry Tower</t>
        </is>
      </c>
      <c r="H30" s="23" t="n"/>
      <c r="I30" s="24" t="n">
        <v>2</v>
      </c>
    </row>
    <row r="31" ht="17.5" customHeight="1">
      <c r="A31" s="49" t="n"/>
      <c r="B31" s="23" t="n"/>
      <c r="C31" s="22" t="n"/>
      <c r="D31" s="23" t="n"/>
      <c r="E31" s="23" t="n"/>
      <c r="F31" s="23" t="n"/>
      <c r="G31" s="23" t="inlineStr">
        <is>
          <t>Skip Bin</t>
        </is>
      </c>
      <c r="H31" s="23" t="n"/>
      <c r="I31" s="24" t="n">
        <v>1</v>
      </c>
    </row>
    <row r="32" ht="17.5" customHeight="1">
      <c r="A32" s="49" t="n"/>
      <c r="B32" s="42" t="n"/>
      <c r="C32" s="22" t="n"/>
      <c r="D32" s="23" t="n"/>
      <c r="E32" s="23" t="n"/>
      <c r="F32" s="23" t="n"/>
      <c r="G32" s="23" t="inlineStr">
        <is>
          <t>Hydrocarbon Bund</t>
        </is>
      </c>
      <c r="H32" s="23" t="n"/>
      <c r="I32" s="24" t="n">
        <v>1</v>
      </c>
    </row>
    <row r="33" ht="17.5" customHeight="1">
      <c r="A33" s="49" t="n"/>
      <c r="B33" s="23" t="n"/>
      <c r="C33" s="22" t="n"/>
      <c r="D33" s="23" t="n"/>
      <c r="E33" s="23" t="n"/>
      <c r="F33" s="23" t="n"/>
      <c r="G33" s="23" t="inlineStr">
        <is>
          <t>Temp Fence</t>
        </is>
      </c>
      <c r="H33" s="22" t="n"/>
      <c r="I33" s="24" t="n">
        <v>1</v>
      </c>
    </row>
    <row r="34" ht="17.5" customHeight="1">
      <c r="A34" s="49" t="n"/>
      <c r="B34" s="23" t="n"/>
      <c r="C34" s="22" t="n"/>
      <c r="D34" s="23" t="n"/>
      <c r="E34" s="23" t="n"/>
      <c r="F34" s="23" t="n"/>
      <c r="G34" s="72" t="n"/>
      <c r="H34" s="72" t="n"/>
      <c r="I34" s="84" t="n"/>
    </row>
    <row r="35" ht="17.5" customHeight="1">
      <c r="A35" s="49" t="n"/>
      <c r="B35" s="23" t="n"/>
      <c r="C35" s="22" t="n"/>
      <c r="D35" s="23" t="n"/>
      <c r="E35" s="23" t="n"/>
      <c r="F35" s="23" t="n"/>
      <c r="G35" s="23" t="n"/>
      <c r="H35" s="22" t="n"/>
      <c r="I35" s="24" t="n"/>
    </row>
    <row r="36" ht="17.5" customHeight="1">
      <c r="A36" s="49" t="n"/>
      <c r="B36" s="23" t="n"/>
      <c r="C36" s="22" t="n"/>
      <c r="D36" s="23" t="n"/>
      <c r="E36" s="23" t="n"/>
      <c r="F36" s="23" t="n"/>
      <c r="G36" s="23" t="n"/>
      <c r="H36" s="22" t="n"/>
      <c r="I36" s="24" t="n"/>
    </row>
    <row r="37" ht="17.5" customHeight="1">
      <c r="A37" s="49" t="n"/>
      <c r="B37" s="23" t="n"/>
      <c r="C37" s="22" t="n"/>
      <c r="D37" s="23" t="n"/>
      <c r="E37" s="23" t="n"/>
      <c r="F37" s="23" t="n"/>
      <c r="G37" s="23" t="n"/>
      <c r="H37" s="22" t="n"/>
      <c r="I37" s="24" t="n"/>
    </row>
    <row r="38" ht="17.5" customHeight="1">
      <c r="A38" s="49" t="n"/>
      <c r="B38" s="23" t="n"/>
      <c r="C38" s="22" t="n"/>
      <c r="D38" s="72" t="n"/>
      <c r="E38" s="72" t="n"/>
      <c r="F38" s="72" t="n"/>
      <c r="G38" s="72" t="n"/>
      <c r="H38" s="72" t="n"/>
      <c r="I38" s="84" t="n"/>
    </row>
    <row r="39" ht="18" customHeight="1">
      <c r="A39" s="14" t="n">
        <v>0</v>
      </c>
      <c r="B39" s="225" t="inlineStr">
        <is>
          <t xml:space="preserve">Repairs Required </t>
        </is>
      </c>
      <c r="C39" s="325" t="n"/>
      <c r="D39" s="332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5" t="n">
        <v>0</v>
      </c>
      <c r="B40" s="225" t="inlineStr">
        <is>
          <t>Scheduled Service</t>
        </is>
      </c>
      <c r="C40" s="325" t="n"/>
      <c r="D40" s="332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6" t="n">
        <v>0</v>
      </c>
      <c r="B41" s="225" t="inlineStr">
        <is>
          <t>Repairs required but operable</t>
        </is>
      </c>
      <c r="C41" s="325" t="n"/>
      <c r="D41" s="332" t="inlineStr">
        <is>
          <t>N/A</t>
        </is>
      </c>
      <c r="E41" s="324" t="n"/>
      <c r="F41" s="324" t="n"/>
      <c r="G41" s="324" t="n"/>
      <c r="H41" s="324" t="n"/>
      <c r="I41" s="327" t="n"/>
    </row>
    <row r="42" ht="20" customHeight="1">
      <c r="A42" s="27" t="inlineStr">
        <is>
          <t xml:space="preserve">Total Plant and Equipment Hours: </t>
        </is>
      </c>
      <c r="B42" s="325" t="n"/>
      <c r="C42" s="31">
        <f>SUM(C31:C38,F28:F38)</f>
        <v/>
      </c>
      <c r="D42" s="333" t="n"/>
      <c r="E42" s="324" t="n"/>
      <c r="F42" s="324" t="n"/>
      <c r="G42" s="324" t="n"/>
      <c r="H42" s="324" t="n"/>
      <c r="I42" s="327" t="n"/>
    </row>
    <row r="43" ht="20" customHeight="1">
      <c r="A43" s="326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0" customHeight="1">
      <c r="A49" s="338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39" t="inlineStr">
        <is>
          <t>TCD - Monthly Safety Focus:</t>
        </is>
      </c>
      <c r="B50" s="220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39" t="inlineStr">
        <is>
          <t>TCD - Daily Safety Focus:</t>
        </is>
      </c>
      <c r="B51" s="221" t="inlineStr">
        <is>
          <t>Positive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40" t="inlineStr">
        <is>
          <t xml:space="preserve">Hazards Reported: </t>
        </is>
      </c>
      <c r="B52" s="82" t="inlineStr">
        <is>
          <t>Nil</t>
        </is>
      </c>
      <c r="C52" s="221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40" t="inlineStr">
        <is>
          <t>Incident Free Days</t>
        </is>
      </c>
      <c r="B53" s="82" t="n">
        <v>8</v>
      </c>
      <c r="C53" s="220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54" t="inlineStr">
        <is>
          <t>Other Notes</t>
        </is>
      </c>
      <c r="B54" s="341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26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32" t="n"/>
      <c r="B56" s="237" t="inlineStr">
        <is>
          <t>QTY</t>
        </is>
      </c>
      <c r="C56" s="342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33" t="inlineStr">
        <is>
          <t>INCIDENT</t>
        </is>
      </c>
      <c r="B57" s="237" t="n">
        <v>0</v>
      </c>
      <c r="C57" s="332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45" t="inlineStr">
        <is>
          <t>IR</t>
        </is>
      </c>
      <c r="B58" s="46" t="n">
        <v>0</v>
      </c>
      <c r="C58" s="343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43" t="inlineStr">
        <is>
          <t>NCR</t>
        </is>
      </c>
      <c r="B59" s="44" t="n">
        <v>0</v>
      </c>
      <c r="C59" s="344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38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0" customHeight="1">
      <c r="A65" s="326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51" t="inlineStr">
        <is>
          <t>Commence Demolition of Brick Pavers Within Site Boundary Bayly Street End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71" t="inlineStr">
        <is>
          <t>Received Survey</t>
        </is>
      </c>
      <c r="B67" s="324" t="n"/>
      <c r="C67" s="324" t="n"/>
      <c r="D67" s="324" t="n"/>
      <c r="E67" s="51" t="n"/>
      <c r="F67" s="51" t="n"/>
      <c r="G67" s="51" t="n"/>
      <c r="H67" s="51" t="n"/>
      <c r="I67" s="52" t="n"/>
    </row>
    <row r="68" ht="25" customHeight="1">
      <c r="A68" s="171" t="inlineStr">
        <is>
          <t>Delap Survey Inspected 8 Properties</t>
        </is>
      </c>
      <c r="B68" s="48" t="n"/>
      <c r="C68" s="48" t="n"/>
      <c r="D68" s="48" t="n"/>
      <c r="E68" s="51" t="n"/>
      <c r="F68" s="51" t="n"/>
      <c r="G68" s="51" t="n"/>
      <c r="H68" s="51" t="n"/>
      <c r="I68" s="52" t="n"/>
    </row>
    <row r="69" ht="25" customHeight="1">
      <c r="A69" s="351" t="inlineStr">
        <is>
          <t>Application in for Sewer Plugs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77" t="inlineStr">
        <is>
          <t>Demolish Fence Site Side of Sump</t>
        </is>
      </c>
      <c r="B70" s="83" t="n"/>
      <c r="C70" s="83" t="n"/>
      <c r="D70" s="83" t="n"/>
      <c r="E70" s="83" t="n"/>
      <c r="F70" s="83" t="n"/>
      <c r="G70" s="83" t="n"/>
      <c r="H70" s="83" t="n"/>
      <c r="I70" s="85" t="n"/>
    </row>
    <row r="71" ht="25" customHeight="1">
      <c r="A71" s="68" t="n"/>
      <c r="B71" s="69" t="n"/>
      <c r="C71" s="69" t="n"/>
      <c r="D71" s="69" t="n"/>
      <c r="E71" s="70" t="n"/>
      <c r="F71" s="70" t="n"/>
      <c r="G71" s="70" t="n"/>
      <c r="H71" s="70" t="n"/>
      <c r="I71" s="71" t="n"/>
    </row>
    <row r="72" ht="23" customHeight="1">
      <c r="A72" s="349" t="inlineStr">
        <is>
          <t>PHOTOS</t>
        </is>
      </c>
      <c r="B72" s="324" t="n"/>
      <c r="C72" s="324" t="n"/>
      <c r="D72" s="324" t="n"/>
      <c r="E72" s="324" t="n"/>
      <c r="F72" s="324" t="n"/>
      <c r="G72" s="324" t="n"/>
      <c r="H72" s="324" t="n"/>
      <c r="I72" s="327" t="n"/>
    </row>
    <row r="73" ht="15" customHeight="1">
      <c r="A73" s="164" t="n"/>
      <c r="B73" s="330" t="n"/>
      <c r="C73" s="330" t="n"/>
      <c r="D73" s="330" t="n"/>
      <c r="E73" s="168" t="n"/>
      <c r="F73" s="330" t="n"/>
      <c r="G73" s="330" t="n"/>
      <c r="H73" s="330" t="n"/>
      <c r="I73" s="331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15" customHeight="1">
      <c r="A89" s="86" t="n"/>
      <c r="I89" s="320" t="n"/>
    </row>
    <row r="90" ht="15" customHeight="1">
      <c r="A90" s="86" t="n"/>
      <c r="I90" s="320" t="n"/>
    </row>
    <row r="91" ht="15" customHeight="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>
      <c r="A95" s="166" t="n"/>
      <c r="B95" s="167" t="n"/>
      <c r="C95" s="167" t="n"/>
      <c r="D95" s="167" t="n"/>
      <c r="E95" s="167" t="n"/>
      <c r="F95" s="167" t="n"/>
      <c r="G95" s="167" t="n"/>
      <c r="H95" s="167" t="n"/>
      <c r="I95" s="169" t="n"/>
    </row>
    <row r="96" ht="25" customFormat="1" customHeight="1" s="61" thickBot="1">
      <c r="A96" s="161" t="n"/>
      <c r="B96" s="336" t="n"/>
      <c r="C96" s="336" t="n"/>
      <c r="D96" s="336" t="n"/>
      <c r="E96" s="170" t="n"/>
      <c r="F96" s="336" t="n"/>
      <c r="G96" s="336" t="n"/>
      <c r="H96" s="336" t="n"/>
      <c r="I96" s="337" t="n"/>
    </row>
    <row r="97" ht="15" customHeight="1">
      <c r="A97" s="62" t="n"/>
      <c r="B97" s="63" t="n"/>
      <c r="C97" s="63" t="n"/>
      <c r="D97" s="63" t="n"/>
      <c r="E97" s="63" t="n"/>
      <c r="F97" s="63" t="n"/>
      <c r="G97" s="63" t="n"/>
      <c r="H97" s="63" t="n"/>
      <c r="I97" s="64" t="n"/>
    </row>
    <row r="98" ht="15" customHeight="1">
      <c r="A98" s="62" t="n"/>
      <c r="B98" s="63" t="n"/>
      <c r="C98" s="63" t="n"/>
      <c r="E98" s="63" t="n"/>
      <c r="F98" s="63" t="n"/>
      <c r="G98" s="63" t="n"/>
      <c r="H98" s="63" t="n"/>
      <c r="I98" s="64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86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255" t="n"/>
      <c r="E120" s="256" t="n"/>
      <c r="I120" s="320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 thickBot="1">
      <c r="A122" s="161" t="n"/>
      <c r="B122" s="336" t="n"/>
      <c r="C122" s="336" t="n"/>
      <c r="D122" s="336" t="n"/>
      <c r="E122" s="170" t="n"/>
      <c r="F122" s="336" t="n"/>
      <c r="G122" s="336" t="n"/>
      <c r="H122" s="336" t="n"/>
      <c r="I122" s="337" t="n"/>
    </row>
    <row r="123" ht="28" customHeight="1">
      <c r="A123" s="163" t="n"/>
      <c r="E123" s="163" t="n"/>
    </row>
    <row r="124" ht="15" customHeight="1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</row>
    <row r="125" ht="15" customHeight="1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</row>
    <row r="126" ht="15" customHeight="1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</row>
    <row r="127" ht="15" customHeight="1">
      <c r="A127" s="163" t="n"/>
      <c r="E127" s="66" t="n"/>
      <c r="F127" s="66" t="n"/>
      <c r="G127" s="66" t="n"/>
      <c r="H127" s="66" t="n"/>
      <c r="I127" s="66" t="n"/>
    </row>
    <row r="128" ht="15" customHeight="1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</row>
    <row r="129" ht="15" customHeight="1">
      <c r="A129" s="163" t="n"/>
      <c r="E129" s="163" t="n"/>
    </row>
    <row r="130" ht="15" customHeight="1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</row>
    <row r="131" ht="15" customHeight="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</row>
    <row r="132" ht="15" customHeight="1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</row>
    <row r="133" ht="15" customHeight="1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</row>
    <row r="134" ht="15" customHeight="1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</row>
    <row r="135" ht="15" customHeight="1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</row>
    <row r="136" ht="15" customHeight="1" thickBot="1">
      <c r="A136" s="163" t="n"/>
      <c r="E136" s="163" t="n"/>
      <c r="J136" s="78" t="n"/>
    </row>
    <row r="137" ht="15" customHeight="1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</row>
    <row r="138" ht="15" customHeight="1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</row>
    <row r="139" ht="15" customHeight="1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</row>
    <row r="140" ht="15" customHeight="1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</row>
    <row r="141" ht="15" customHeight="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</row>
    <row r="142" ht="15" customHeight="1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</row>
    <row r="143" ht="16" customHeight="1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</row>
    <row r="144" ht="30.75" customHeight="1" thickBot="1">
      <c r="A144" s="161" t="n"/>
      <c r="B144" s="336" t="n"/>
      <c r="C144" s="336" t="n"/>
      <c r="D144" s="336" t="n"/>
      <c r="E144" s="163" t="n"/>
    </row>
  </sheetData>
  <mergeCells count="60">
    <mergeCell ref="A65:I65"/>
    <mergeCell ref="D13:F13"/>
    <mergeCell ref="A144:D144"/>
    <mergeCell ref="C52:I52"/>
    <mergeCell ref="A122:D122"/>
    <mergeCell ref="G13:I13"/>
    <mergeCell ref="E129:I129"/>
    <mergeCell ref="B8:D8"/>
    <mergeCell ref="D41:I41"/>
    <mergeCell ref="B54:I54"/>
    <mergeCell ref="A66:I66"/>
    <mergeCell ref="A96:D96"/>
    <mergeCell ref="E122:I122"/>
    <mergeCell ref="A55:I55"/>
    <mergeCell ref="A12:I12"/>
    <mergeCell ref="E123:I123"/>
    <mergeCell ref="C57:I57"/>
    <mergeCell ref="B39:C39"/>
    <mergeCell ref="C53:I53"/>
    <mergeCell ref="A67:D67"/>
    <mergeCell ref="A5:I5"/>
    <mergeCell ref="A127:D127"/>
    <mergeCell ref="B9:D9"/>
    <mergeCell ref="B6:D6"/>
    <mergeCell ref="D39:I39"/>
    <mergeCell ref="A62:I62"/>
    <mergeCell ref="C58:I58"/>
    <mergeCell ref="A72:I72"/>
    <mergeCell ref="A123:D123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E73:I94"/>
    <mergeCell ref="E144:I144"/>
    <mergeCell ref="A120:D120"/>
    <mergeCell ref="A11:I11"/>
    <mergeCell ref="A49:I49"/>
    <mergeCell ref="E120:I120"/>
    <mergeCell ref="A136:D136"/>
    <mergeCell ref="C56:I56"/>
    <mergeCell ref="A60:I60"/>
    <mergeCell ref="D40:I40"/>
    <mergeCell ref="B51:I51"/>
    <mergeCell ref="C59:I59"/>
    <mergeCell ref="E136:I136"/>
    <mergeCell ref="A73:D94"/>
    <mergeCell ref="A61:I61"/>
    <mergeCell ref="A129:D129"/>
    <mergeCell ref="A69:I69"/>
    <mergeCell ref="B50:I50"/>
    <mergeCell ref="E96:I96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3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42"/>
  <sheetViews>
    <sheetView view="pageBreakPreview" zoomScale="40" zoomScaleNormal="100" zoomScaleSheetLayoutView="40" workbookViewId="0">
      <selection activeCell="G16" sqref="G16:I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45786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34 degrees    Wind: 325 km/h  WE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Jayden Brecz</t>
        </is>
      </c>
      <c r="H16" s="111" t="inlineStr">
        <is>
          <t>Service Locator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5</v>
      </c>
      <c r="D17" s="126" t="n"/>
      <c r="E17" s="126" t="n"/>
      <c r="F17" s="111" t="n"/>
      <c r="G17" s="127" t="inlineStr">
        <is>
          <t>Greame Tuffloy</t>
        </is>
      </c>
      <c r="H17" s="111" t="inlineStr">
        <is>
          <t>Service Locator</t>
        </is>
      </c>
      <c r="I17" s="113" t="n">
        <v>8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3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n"/>
      <c r="B30" s="112" t="n"/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n"/>
      <c r="B31" s="112" t="n"/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SUM(C31:C38,F28:F38)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Housekeeping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Completed Demo of Brick Paving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282" t="inlineStr">
        <is>
          <t>Delap Survey Inspected 9 Properties</t>
        </is>
      </c>
      <c r="B67" s="93" t="n"/>
      <c r="C67" s="93" t="n"/>
      <c r="D67" s="93" t="n"/>
      <c r="E67" s="94" t="n"/>
      <c r="F67" s="94" t="n"/>
      <c r="G67" s="94" t="n"/>
      <c r="H67" s="94" t="n"/>
      <c r="I67" s="95" t="n"/>
    </row>
    <row r="68" ht="25" customHeight="1">
      <c r="A68" s="360" t="inlineStr">
        <is>
          <t>Ongoing Survice Location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1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 thickBot="1">
      <c r="A141" s="161" t="n"/>
      <c r="B141" s="336" t="n"/>
      <c r="C141" s="336" t="n"/>
      <c r="D141" s="336" t="n"/>
      <c r="E141" s="170" t="n"/>
      <c r="F141" s="336" t="n"/>
      <c r="G141" s="336" t="n"/>
      <c r="H141" s="336" t="n"/>
      <c r="I141" s="337" t="n"/>
    </row>
    <row r="142" ht="15" customHeight="1" thickBot="1">
      <c r="A142" s="144" t="n"/>
      <c r="B142" s="145" t="n"/>
      <c r="C142" s="145" t="n"/>
      <c r="D142" s="145" t="n"/>
      <c r="E142" s="145" t="n"/>
      <c r="F142" s="145" t="n"/>
      <c r="G142" s="145" t="n"/>
      <c r="H142" s="145" t="n"/>
      <c r="I142" s="146" t="n"/>
    </row>
  </sheetData>
  <mergeCells count="44">
    <mergeCell ref="A65:I65"/>
    <mergeCell ref="D13:F13"/>
    <mergeCell ref="A141:D141"/>
    <mergeCell ref="C52:I52"/>
    <mergeCell ref="G13:I13"/>
    <mergeCell ref="B54:I54"/>
    <mergeCell ref="A66:I66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A62:I62"/>
    <mergeCell ref="D39:I39"/>
    <mergeCell ref="B6:D6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8" min="0" max="8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view="pageBreakPreview" zoomScale="40" zoomScaleNormal="100" zoomScaleSheetLayoutView="40" workbookViewId="0">
      <selection activeCell="A11" sqref="A11:I11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45789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33 degrees    Wind: 25 km/h 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3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4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3.5" customHeight="1">
      <c r="A35" s="114" t="n"/>
      <c r="B35" s="112" t="n"/>
      <c r="C35" s="111" t="n"/>
      <c r="D35" s="116" t="n"/>
      <c r="E35" s="116" t="n"/>
      <c r="F35" s="116" t="n"/>
      <c r="G35" s="116" t="n"/>
      <c r="H35" s="116" t="n"/>
      <c r="I35" s="117" t="n"/>
    </row>
    <row r="36" ht="18" customHeight="1">
      <c r="A36" s="118" t="n">
        <v>0</v>
      </c>
      <c r="B36" s="278" t="inlineStr">
        <is>
          <t xml:space="preserve">Repairs Required </t>
        </is>
      </c>
      <c r="C36" s="325" t="n"/>
      <c r="D36" s="355" t="inlineStr">
        <is>
          <t>N/A</t>
        </is>
      </c>
      <c r="E36" s="324" t="n"/>
      <c r="F36" s="324" t="n"/>
      <c r="G36" s="324" t="n"/>
      <c r="H36" s="324" t="n"/>
      <c r="I36" s="327" t="n"/>
    </row>
    <row r="37" ht="18" customHeight="1">
      <c r="A37" s="119" t="n">
        <v>0</v>
      </c>
      <c r="B37" s="278" t="inlineStr">
        <is>
          <t>Scheduled Service</t>
        </is>
      </c>
      <c r="C37" s="325" t="n"/>
      <c r="D37" s="355" t="inlineStr">
        <is>
          <t>N/A</t>
        </is>
      </c>
      <c r="E37" s="324" t="n"/>
      <c r="F37" s="324" t="n"/>
      <c r="G37" s="324" t="n"/>
      <c r="H37" s="324" t="n"/>
      <c r="I37" s="327" t="n"/>
    </row>
    <row r="38" ht="18" customHeight="1">
      <c r="A38" s="120" t="n">
        <v>0</v>
      </c>
      <c r="B38" s="278" t="inlineStr">
        <is>
          <t>Repairs required but operable</t>
        </is>
      </c>
      <c r="C38" s="325" t="n"/>
      <c r="D38" s="355" t="inlineStr">
        <is>
          <t>N/A</t>
        </is>
      </c>
      <c r="E38" s="324" t="n"/>
      <c r="F38" s="324" t="n"/>
      <c r="G38" s="324" t="n"/>
      <c r="H38" s="324" t="n"/>
      <c r="I38" s="327" t="n"/>
    </row>
    <row r="39" ht="23" customHeight="1">
      <c r="A39" s="90" t="inlineStr">
        <is>
          <t xml:space="preserve">Total Plant and Equipment Hours: </t>
        </is>
      </c>
      <c r="B39" s="325" t="n"/>
      <c r="C39" s="284">
        <f>SUM(C28:C35,F28:F35)</f>
        <v/>
      </c>
      <c r="D39" s="275" t="n"/>
      <c r="E39" s="324" t="n"/>
      <c r="F39" s="324" t="n"/>
      <c r="G39" s="324" t="n"/>
      <c r="H39" s="324" t="n"/>
      <c r="I39" s="327" t="n"/>
    </row>
    <row r="40" ht="25" customHeight="1">
      <c r="A40" s="352" t="inlineStr">
        <is>
          <t>DELAYS-OPPORTUNITY</t>
        </is>
      </c>
      <c r="B40" s="324" t="n"/>
      <c r="C40" s="324" t="n"/>
      <c r="D40" s="324" t="n"/>
      <c r="E40" s="324" t="n"/>
      <c r="F40" s="324" t="n"/>
      <c r="G40" s="324" t="n"/>
      <c r="H40" s="324" t="n"/>
      <c r="I40" s="327" t="n"/>
    </row>
    <row r="41" ht="20" customHeight="1">
      <c r="A41" s="233" t="n"/>
      <c r="B41" s="234" t="n"/>
      <c r="C41" s="234" t="n"/>
      <c r="D41" s="234" t="n"/>
      <c r="E41" s="234" t="n"/>
      <c r="F41" s="234" t="n"/>
      <c r="G41" s="234" t="n"/>
      <c r="H41" s="234" t="n"/>
      <c r="I41" s="235" t="n"/>
    </row>
    <row r="42">
      <c r="A42" s="334" t="n"/>
      <c r="B42" s="330" t="n"/>
      <c r="C42" s="330" t="n"/>
      <c r="D42" s="330" t="n"/>
      <c r="E42" s="330" t="n"/>
      <c r="F42" s="330" t="n"/>
      <c r="G42" s="330" t="n"/>
      <c r="H42" s="330" t="n"/>
      <c r="I42" s="331" t="n"/>
    </row>
    <row r="43">
      <c r="A43" s="86" t="n"/>
      <c r="I43" s="320" t="n"/>
    </row>
    <row r="44">
      <c r="A44" s="86" t="n"/>
      <c r="I44" s="320" t="n"/>
    </row>
    <row r="45" ht="13.5" customHeight="1" thickBot="1">
      <c r="A45" s="335" t="n"/>
      <c r="B45" s="336" t="n"/>
      <c r="C45" s="336" t="n"/>
      <c r="D45" s="336" t="n"/>
      <c r="E45" s="336" t="n"/>
      <c r="F45" s="336" t="n"/>
      <c r="G45" s="336" t="n"/>
      <c r="H45" s="336" t="n"/>
      <c r="I45" s="337" t="n"/>
    </row>
    <row r="46" ht="25" customHeight="1">
      <c r="A46" s="356" t="inlineStr">
        <is>
          <t>HSEQ MESSAGES</t>
        </is>
      </c>
      <c r="B46" s="339" t="n"/>
      <c r="C46" s="339" t="n"/>
      <c r="D46" s="339" t="n"/>
      <c r="E46" s="339" t="n"/>
      <c r="F46" s="339" t="n"/>
      <c r="G46" s="339" t="n"/>
      <c r="H46" s="339" t="n"/>
      <c r="I46" s="340" t="n"/>
    </row>
    <row r="47" ht="18" customHeight="1">
      <c r="A47" s="103" t="inlineStr">
        <is>
          <t>TCD - Monthly Safety Focus:</t>
        </is>
      </c>
      <c r="B47" s="276" t="inlineStr">
        <is>
          <t>JHA</t>
        </is>
      </c>
      <c r="C47" s="324" t="n"/>
      <c r="D47" s="324" t="n"/>
      <c r="E47" s="324" t="n"/>
      <c r="F47" s="324" t="n"/>
      <c r="G47" s="324" t="n"/>
      <c r="H47" s="324" t="n"/>
      <c r="I47" s="325" t="n"/>
    </row>
    <row r="48" ht="18" customHeight="1">
      <c r="A48" s="103" t="inlineStr">
        <is>
          <t>TCD - Daily Safety Focus:</t>
        </is>
      </c>
      <c r="B48" s="277" t="inlineStr">
        <is>
          <t>Loading and Unloading Plant</t>
        </is>
      </c>
      <c r="C48" s="324" t="n"/>
      <c r="D48" s="324" t="n"/>
      <c r="E48" s="324" t="n"/>
      <c r="F48" s="324" t="n"/>
      <c r="G48" s="324" t="n"/>
      <c r="H48" s="324" t="n"/>
      <c r="I48" s="327" t="n"/>
    </row>
    <row r="49" ht="18" customHeight="1">
      <c r="A49" s="104" t="inlineStr">
        <is>
          <t xml:space="preserve">Hazards Reported: </t>
        </is>
      </c>
      <c r="B49" s="105" t="inlineStr">
        <is>
          <t>Nil</t>
        </is>
      </c>
      <c r="C49" s="277" t="n"/>
      <c r="D49" s="324" t="n"/>
      <c r="E49" s="324" t="n"/>
      <c r="F49" s="324" t="n"/>
      <c r="G49" s="324" t="n"/>
      <c r="H49" s="324" t="n"/>
      <c r="I49" s="327" t="n"/>
    </row>
    <row r="50" ht="18" customHeight="1">
      <c r="A50" s="104" t="inlineStr">
        <is>
          <t>Incident Free Days</t>
        </is>
      </c>
      <c r="B50" s="105" t="n">
        <v>10</v>
      </c>
      <c r="C50" s="276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6" t="inlineStr">
        <is>
          <t>Other Notes</t>
        </is>
      </c>
      <c r="B51" s="357" t="n"/>
      <c r="C51" s="330" t="n"/>
      <c r="D51" s="330" t="n"/>
      <c r="E51" s="330" t="n"/>
      <c r="F51" s="330" t="n"/>
      <c r="G51" s="330" t="n"/>
      <c r="H51" s="330" t="n"/>
      <c r="I51" s="331" t="n"/>
    </row>
    <row r="52" ht="20.25" customHeight="1">
      <c r="A52" s="352" t="inlineStr">
        <is>
          <t xml:space="preserve">INCIDENTS &amp; REPORTS </t>
        </is>
      </c>
      <c r="B52" s="324" t="n"/>
      <c r="C52" s="324" t="n"/>
      <c r="D52" s="324" t="n"/>
      <c r="E52" s="324" t="n"/>
      <c r="F52" s="324" t="n"/>
      <c r="G52" s="324" t="n"/>
      <c r="H52" s="324" t="n"/>
      <c r="I52" s="327" t="n"/>
    </row>
    <row r="53" ht="25" customHeight="1">
      <c r="A53" s="96" t="n"/>
      <c r="B53" s="274" t="inlineStr">
        <is>
          <t>QTY</t>
        </is>
      </c>
      <c r="C53" s="133" t="inlineStr">
        <is>
          <t>Comments</t>
        </is>
      </c>
      <c r="D53" s="324" t="n"/>
      <c r="E53" s="324" t="n"/>
      <c r="F53" s="324" t="n"/>
      <c r="G53" s="324" t="n"/>
      <c r="H53" s="324" t="n"/>
      <c r="I53" s="327" t="n"/>
    </row>
    <row r="54" ht="25" customHeight="1">
      <c r="A54" s="98" t="inlineStr">
        <is>
          <t>INCIDENT</t>
        </is>
      </c>
      <c r="B54" s="274" t="n">
        <v>0</v>
      </c>
      <c r="C54" s="355" t="inlineStr">
        <is>
          <t>NA</t>
        </is>
      </c>
      <c r="D54" s="324" t="n"/>
      <c r="E54" s="324" t="n"/>
      <c r="F54" s="324" t="n"/>
      <c r="G54" s="324" t="n"/>
      <c r="H54" s="324" t="n"/>
      <c r="I54" s="327" t="n"/>
    </row>
    <row r="55" ht="25" customHeight="1">
      <c r="A55" s="99" t="inlineStr">
        <is>
          <t>IR</t>
        </is>
      </c>
      <c r="B55" s="100" t="n">
        <v>0</v>
      </c>
      <c r="C55" s="358" t="inlineStr">
        <is>
          <t>NA</t>
        </is>
      </c>
      <c r="D55" s="330" t="n"/>
      <c r="E55" s="330" t="n"/>
      <c r="F55" s="330" t="n"/>
      <c r="G55" s="330" t="n"/>
      <c r="H55" s="330" t="n"/>
      <c r="I55" s="331" t="n"/>
    </row>
    <row r="56" ht="25" customHeight="1" thickBot="1">
      <c r="A56" s="101" t="inlineStr">
        <is>
          <t>NCR</t>
        </is>
      </c>
      <c r="B56" s="102" t="n">
        <v>0</v>
      </c>
      <c r="C56" s="359" t="inlineStr">
        <is>
          <t>NA</t>
        </is>
      </c>
      <c r="D56" s="345" t="n"/>
      <c r="E56" s="345" t="n"/>
      <c r="F56" s="345" t="n"/>
      <c r="G56" s="345" t="n"/>
      <c r="H56" s="345" t="n"/>
      <c r="I56" s="346" t="n"/>
    </row>
    <row r="57" ht="20.25" customHeight="1">
      <c r="A57" s="356" t="inlineStr">
        <is>
          <t>COMMUNICATIONS</t>
        </is>
      </c>
      <c r="B57" s="339" t="n"/>
      <c r="C57" s="339" t="n"/>
      <c r="D57" s="339" t="n"/>
      <c r="E57" s="339" t="n"/>
      <c r="F57" s="339" t="n"/>
      <c r="G57" s="339" t="n"/>
      <c r="H57" s="339" t="n"/>
      <c r="I57" s="340" t="n"/>
    </row>
    <row r="58" ht="25" customHeight="1">
      <c r="A58" s="181" t="n"/>
      <c r="B58" s="324" t="n"/>
      <c r="C58" s="324" t="n"/>
      <c r="D58" s="324" t="n"/>
      <c r="E58" s="324" t="n"/>
      <c r="F58" s="324" t="n"/>
      <c r="G58" s="324" t="n"/>
      <c r="H58" s="324" t="n"/>
      <c r="I58" s="325" t="n"/>
    </row>
    <row r="59" ht="25" customHeight="1">
      <c r="A59" s="347" t="n"/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347" t="n"/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52" t="inlineStr">
        <is>
          <t>PRODUCTION (CONSTRUCTION STATUS &amp; PROGRESS)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60" t="inlineStr">
        <is>
          <t>Commence Vegetation Strip to basin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282" t="inlineStr">
        <is>
          <t>Mobilsed Watercart</t>
        </is>
      </c>
      <c r="B64" s="93" t="n"/>
      <c r="C64" s="93" t="n"/>
      <c r="D64" s="93" t="n"/>
      <c r="E64" s="94" t="n"/>
      <c r="F64" s="94" t="n"/>
      <c r="G64" s="94" t="n"/>
      <c r="H64" s="94" t="n"/>
      <c r="I64" s="95" t="n"/>
    </row>
    <row r="65" ht="25" customHeight="1">
      <c r="A65" s="360" t="inlineStr">
        <is>
          <t>Mobilisation of Posi Track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 thickBot="1">
      <c r="A66" s="149" t="n"/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.5" customHeight="1" thickBot="1">
      <c r="A67" s="361" t="inlineStr">
        <is>
          <t>PHOTOS</t>
        </is>
      </c>
      <c r="B67" s="318" t="n"/>
      <c r="C67" s="318" t="n"/>
      <c r="D67" s="318" t="n"/>
      <c r="E67" s="318" t="n"/>
      <c r="F67" s="318" t="n"/>
      <c r="G67" s="318" t="n"/>
      <c r="H67" s="318" t="n"/>
      <c r="I67" s="319" t="n"/>
    </row>
    <row r="68" ht="15" customHeight="1">
      <c r="A68" s="362" t="e">
        <v>#VALUE!</v>
      </c>
      <c r="B68" s="318" t="n"/>
      <c r="C68" s="318" t="n"/>
      <c r="D68" s="318" t="n"/>
      <c r="E68" s="318" t="n"/>
      <c r="F68" s="318" t="n"/>
      <c r="G68" s="318" t="n"/>
      <c r="H68" s="318" t="n"/>
      <c r="I68" s="319" t="n"/>
    </row>
    <row r="69" ht="15" customHeight="1">
      <c r="A69" s="86" t="n"/>
      <c r="I69" s="320" t="n"/>
    </row>
    <row r="70" ht="15" customHeight="1">
      <c r="A70" s="86" t="n"/>
      <c r="I70" s="320" t="n"/>
    </row>
    <row r="71" ht="15" customHeight="1">
      <c r="A71" s="86" t="n"/>
      <c r="I71" s="320" t="n"/>
    </row>
    <row r="72" ht="15" customHeight="1">
      <c r="A72" s="86" t="n"/>
      <c r="I72" s="320" t="n"/>
    </row>
    <row r="73" ht="15" customHeight="1">
      <c r="A73" s="86" t="n"/>
      <c r="I73" s="320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15" customHeight="1">
      <c r="A89" s="86" t="n"/>
      <c r="I89" s="320" t="n"/>
    </row>
    <row r="90" ht="15" customHeight="1">
      <c r="A90" s="86" t="n"/>
      <c r="I90" s="320" t="n"/>
    </row>
    <row r="91" ht="25" customFormat="1" customHeight="1" s="6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>
      <c r="A95" s="86" t="n"/>
      <c r="I95" s="320" t="n"/>
    </row>
    <row r="96" ht="15" customHeight="1">
      <c r="A96" s="86" t="n"/>
      <c r="I96" s="320" t="n"/>
    </row>
    <row r="97" ht="15" customHeight="1">
      <c r="A97" s="86" t="n"/>
      <c r="I97" s="320" t="n"/>
    </row>
    <row r="98" ht="15" customHeight="1" thickBot="1">
      <c r="A98" s="335" t="n"/>
      <c r="B98" s="336" t="n"/>
      <c r="C98" s="336" t="n"/>
      <c r="D98" s="336" t="n"/>
      <c r="E98" s="336" t="n"/>
      <c r="F98" s="336" t="n"/>
      <c r="G98" s="336" t="n"/>
      <c r="H98" s="336" t="n"/>
      <c r="I98" s="33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2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8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 thickBot="1">
      <c r="A120" s="144" t="n"/>
      <c r="B120" s="145" t="n"/>
      <c r="C120" s="145" t="n"/>
      <c r="D120" s="145" t="n"/>
      <c r="E120" s="145" t="n"/>
      <c r="F120" s="145" t="n"/>
      <c r="G120" s="145" t="n"/>
      <c r="H120" s="145" t="n"/>
      <c r="I120" s="146" t="n"/>
    </row>
  </sheetData>
  <mergeCells count="43">
    <mergeCell ref="A42:I45"/>
    <mergeCell ref="A65:I65"/>
    <mergeCell ref="D13:F13"/>
    <mergeCell ref="G13:I13"/>
    <mergeCell ref="A46:I46"/>
    <mergeCell ref="B47:I47"/>
    <mergeCell ref="B8:D8"/>
    <mergeCell ref="A12:I12"/>
    <mergeCell ref="C53:I53"/>
    <mergeCell ref="A57:I57"/>
    <mergeCell ref="B48:I48"/>
    <mergeCell ref="A5:I5"/>
    <mergeCell ref="D37:I37"/>
    <mergeCell ref="C49:I49"/>
    <mergeCell ref="B9:D9"/>
    <mergeCell ref="A62:I62"/>
    <mergeCell ref="B6:D6"/>
    <mergeCell ref="D39:I39"/>
    <mergeCell ref="A52:I52"/>
    <mergeCell ref="B38:C38"/>
    <mergeCell ref="A13:C13"/>
    <mergeCell ref="D38:I38"/>
    <mergeCell ref="A63:I63"/>
    <mergeCell ref="A10:I10"/>
    <mergeCell ref="A1:I4"/>
    <mergeCell ref="B37:C37"/>
    <mergeCell ref="A40:I40"/>
    <mergeCell ref="A67:I67"/>
    <mergeCell ref="C54:I54"/>
    <mergeCell ref="A58:I58"/>
    <mergeCell ref="B7:D7"/>
    <mergeCell ref="C55:I55"/>
    <mergeCell ref="C50:I50"/>
    <mergeCell ref="A59:I59"/>
    <mergeCell ref="A11:I11"/>
    <mergeCell ref="C56:I56"/>
    <mergeCell ref="A60:I60"/>
    <mergeCell ref="B51:I51"/>
    <mergeCell ref="A68:I98"/>
    <mergeCell ref="B36:C36"/>
    <mergeCell ref="D36:I36"/>
    <mergeCell ref="A61:I61"/>
    <mergeCell ref="A39:B3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/>
  <rowBreaks count="1" manualBreakCount="1">
    <brk id="98" min="0" max="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view="pageBreakPreview" zoomScale="40" zoomScaleNormal="100" zoomScaleSheetLayoutView="40" workbookViewId="0">
      <selection activeCell="A40" sqref="A40:I40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31 degrees    Wind: 25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1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3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5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3.5" customHeight="1">
      <c r="A35" s="114" t="n"/>
      <c r="B35" s="112" t="n"/>
      <c r="C35" s="111" t="n"/>
      <c r="D35" s="116" t="n"/>
      <c r="E35" s="116" t="n"/>
      <c r="F35" s="116" t="n"/>
      <c r="G35" s="116" t="n"/>
      <c r="H35" s="116" t="n"/>
      <c r="I35" s="117" t="n"/>
    </row>
    <row r="36" ht="18" customHeight="1">
      <c r="A36" s="118" t="n">
        <v>0</v>
      </c>
      <c r="B36" s="278" t="inlineStr">
        <is>
          <t xml:space="preserve">Repairs Required </t>
        </is>
      </c>
      <c r="C36" s="325" t="n"/>
      <c r="D36" s="355" t="inlineStr">
        <is>
          <t>N/A</t>
        </is>
      </c>
      <c r="E36" s="324" t="n"/>
      <c r="F36" s="324" t="n"/>
      <c r="G36" s="324" t="n"/>
      <c r="H36" s="324" t="n"/>
      <c r="I36" s="327" t="n"/>
    </row>
    <row r="37" ht="18" customHeight="1">
      <c r="A37" s="119" t="n">
        <v>0</v>
      </c>
      <c r="B37" s="278" t="inlineStr">
        <is>
          <t>Scheduled Service</t>
        </is>
      </c>
      <c r="C37" s="325" t="n"/>
      <c r="D37" s="355" t="inlineStr">
        <is>
          <t>N/A</t>
        </is>
      </c>
      <c r="E37" s="324" t="n"/>
      <c r="F37" s="324" t="n"/>
      <c r="G37" s="324" t="n"/>
      <c r="H37" s="324" t="n"/>
      <c r="I37" s="327" t="n"/>
    </row>
    <row r="38" ht="18" customHeight="1">
      <c r="A38" s="120" t="n">
        <v>0</v>
      </c>
      <c r="B38" s="278" t="inlineStr">
        <is>
          <t>Repairs required but operable</t>
        </is>
      </c>
      <c r="C38" s="325" t="n"/>
      <c r="D38" s="355" t="inlineStr">
        <is>
          <t>N/A</t>
        </is>
      </c>
      <c r="E38" s="324" t="n"/>
      <c r="F38" s="324" t="n"/>
      <c r="G38" s="324" t="n"/>
      <c r="H38" s="324" t="n"/>
      <c r="I38" s="327" t="n"/>
    </row>
    <row r="39" ht="23" customHeight="1">
      <c r="A39" s="90" t="inlineStr">
        <is>
          <t xml:space="preserve">Total Plant and Equipment Hours: </t>
        </is>
      </c>
      <c r="B39" s="325" t="n"/>
      <c r="C39" s="284">
        <f>SUM(C28:C35,F28:F35)</f>
        <v/>
      </c>
      <c r="D39" s="275" t="n"/>
      <c r="E39" s="324" t="n"/>
      <c r="F39" s="324" t="n"/>
      <c r="G39" s="324" t="n"/>
      <c r="H39" s="324" t="n"/>
      <c r="I39" s="327" t="n"/>
    </row>
    <row r="40" ht="25" customHeight="1">
      <c r="A40" s="352" t="inlineStr">
        <is>
          <t>DELAYS-OPPORTUNITY</t>
        </is>
      </c>
      <c r="B40" s="324" t="n"/>
      <c r="C40" s="324" t="n"/>
      <c r="D40" s="324" t="n"/>
      <c r="E40" s="324" t="n"/>
      <c r="F40" s="324" t="n"/>
      <c r="G40" s="324" t="n"/>
      <c r="H40" s="324" t="n"/>
      <c r="I40" s="327" t="n"/>
    </row>
    <row r="41" ht="20" customHeight="1">
      <c r="A41" s="233" t="n"/>
      <c r="B41" s="234" t="n"/>
      <c r="C41" s="234" t="n"/>
      <c r="D41" s="234" t="n"/>
      <c r="E41" s="234" t="n"/>
      <c r="F41" s="234" t="n"/>
      <c r="G41" s="234" t="n"/>
      <c r="H41" s="234" t="n"/>
      <c r="I41" s="235" t="n"/>
    </row>
    <row r="42">
      <c r="A42" s="334" t="n"/>
      <c r="B42" s="330" t="n"/>
      <c r="C42" s="330" t="n"/>
      <c r="D42" s="330" t="n"/>
      <c r="E42" s="330" t="n"/>
      <c r="F42" s="330" t="n"/>
      <c r="G42" s="330" t="n"/>
      <c r="H42" s="330" t="n"/>
      <c r="I42" s="331" t="n"/>
    </row>
    <row r="43">
      <c r="A43" s="86" t="n"/>
      <c r="I43" s="320" t="n"/>
    </row>
    <row r="44">
      <c r="A44" s="86" t="n"/>
      <c r="I44" s="320" t="n"/>
    </row>
    <row r="45" ht="13.5" customHeight="1" thickBot="1">
      <c r="A45" s="335" t="n"/>
      <c r="B45" s="336" t="n"/>
      <c r="C45" s="336" t="n"/>
      <c r="D45" s="336" t="n"/>
      <c r="E45" s="336" t="n"/>
      <c r="F45" s="336" t="n"/>
      <c r="G45" s="336" t="n"/>
      <c r="H45" s="336" t="n"/>
      <c r="I45" s="337" t="n"/>
    </row>
    <row r="46" ht="25" customHeight="1">
      <c r="A46" s="356" t="inlineStr">
        <is>
          <t>HSEQ MESSAGES</t>
        </is>
      </c>
      <c r="B46" s="339" t="n"/>
      <c r="C46" s="339" t="n"/>
      <c r="D46" s="339" t="n"/>
      <c r="E46" s="339" t="n"/>
      <c r="F46" s="339" t="n"/>
      <c r="G46" s="339" t="n"/>
      <c r="H46" s="339" t="n"/>
      <c r="I46" s="340" t="n"/>
    </row>
    <row r="47" ht="18" customHeight="1">
      <c r="A47" s="103" t="inlineStr">
        <is>
          <t>TCD - Monthly Safety Focus:</t>
        </is>
      </c>
      <c r="B47" s="276" t="inlineStr">
        <is>
          <t>JHA</t>
        </is>
      </c>
      <c r="C47" s="324" t="n"/>
      <c r="D47" s="324" t="n"/>
      <c r="E47" s="324" t="n"/>
      <c r="F47" s="324" t="n"/>
      <c r="G47" s="324" t="n"/>
      <c r="H47" s="324" t="n"/>
      <c r="I47" s="325" t="n"/>
    </row>
    <row r="48" ht="18" customHeight="1">
      <c r="A48" s="103" t="inlineStr">
        <is>
          <t>TCD - Daily Safety Focus:</t>
        </is>
      </c>
      <c r="B48" s="277" t="inlineStr">
        <is>
          <t>Fitness for Work</t>
        </is>
      </c>
      <c r="C48" s="324" t="n"/>
      <c r="D48" s="324" t="n"/>
      <c r="E48" s="324" t="n"/>
      <c r="F48" s="324" t="n"/>
      <c r="G48" s="324" t="n"/>
      <c r="H48" s="324" t="n"/>
      <c r="I48" s="327" t="n"/>
    </row>
    <row r="49" ht="18" customHeight="1">
      <c r="A49" s="104" t="inlineStr">
        <is>
          <t xml:space="preserve">Hazards Reported: </t>
        </is>
      </c>
      <c r="B49" s="105" t="inlineStr">
        <is>
          <t>Nil</t>
        </is>
      </c>
      <c r="C49" s="277" t="n"/>
      <c r="D49" s="324" t="n"/>
      <c r="E49" s="324" t="n"/>
      <c r="F49" s="324" t="n"/>
      <c r="G49" s="324" t="n"/>
      <c r="H49" s="324" t="n"/>
      <c r="I49" s="327" t="n"/>
    </row>
    <row r="50" ht="18" customHeight="1">
      <c r="A50" s="104" t="inlineStr">
        <is>
          <t>Incident Free Days</t>
        </is>
      </c>
      <c r="B50" s="105" t="n">
        <v>11</v>
      </c>
      <c r="C50" s="276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6" t="inlineStr">
        <is>
          <t>Other Notes</t>
        </is>
      </c>
      <c r="B51" s="357" t="n"/>
      <c r="C51" s="330" t="n"/>
      <c r="D51" s="330" t="n"/>
      <c r="E51" s="330" t="n"/>
      <c r="F51" s="330" t="n"/>
      <c r="G51" s="330" t="n"/>
      <c r="H51" s="330" t="n"/>
      <c r="I51" s="331" t="n"/>
    </row>
    <row r="52" ht="20.25" customHeight="1">
      <c r="A52" s="352" t="inlineStr">
        <is>
          <t xml:space="preserve">INCIDENTS &amp; REPORTS </t>
        </is>
      </c>
      <c r="B52" s="324" t="n"/>
      <c r="C52" s="324" t="n"/>
      <c r="D52" s="324" t="n"/>
      <c r="E52" s="324" t="n"/>
      <c r="F52" s="324" t="n"/>
      <c r="G52" s="324" t="n"/>
      <c r="H52" s="324" t="n"/>
      <c r="I52" s="327" t="n"/>
    </row>
    <row r="53" ht="25" customHeight="1">
      <c r="A53" s="96" t="n"/>
      <c r="B53" s="274" t="inlineStr">
        <is>
          <t>QTY</t>
        </is>
      </c>
      <c r="C53" s="133" t="inlineStr">
        <is>
          <t>Comments</t>
        </is>
      </c>
      <c r="D53" s="324" t="n"/>
      <c r="E53" s="324" t="n"/>
      <c r="F53" s="324" t="n"/>
      <c r="G53" s="324" t="n"/>
      <c r="H53" s="324" t="n"/>
      <c r="I53" s="327" t="n"/>
    </row>
    <row r="54" ht="25" customHeight="1">
      <c r="A54" s="98" t="inlineStr">
        <is>
          <t>INCIDENT</t>
        </is>
      </c>
      <c r="B54" s="274" t="n">
        <v>0</v>
      </c>
      <c r="C54" s="355" t="inlineStr">
        <is>
          <t>NA</t>
        </is>
      </c>
      <c r="D54" s="324" t="n"/>
      <c r="E54" s="324" t="n"/>
      <c r="F54" s="324" t="n"/>
      <c r="G54" s="324" t="n"/>
      <c r="H54" s="324" t="n"/>
      <c r="I54" s="327" t="n"/>
    </row>
    <row r="55" ht="25" customHeight="1">
      <c r="A55" s="99" t="inlineStr">
        <is>
          <t>IR</t>
        </is>
      </c>
      <c r="B55" s="100" t="n">
        <v>0</v>
      </c>
      <c r="C55" s="358" t="inlineStr">
        <is>
          <t>NA</t>
        </is>
      </c>
      <c r="D55" s="330" t="n"/>
      <c r="E55" s="330" t="n"/>
      <c r="F55" s="330" t="n"/>
      <c r="G55" s="330" t="n"/>
      <c r="H55" s="330" t="n"/>
      <c r="I55" s="331" t="n"/>
    </row>
    <row r="56" ht="25" customHeight="1" thickBot="1">
      <c r="A56" s="101" t="inlineStr">
        <is>
          <t>NCR</t>
        </is>
      </c>
      <c r="B56" s="102" t="n">
        <v>0</v>
      </c>
      <c r="C56" s="359" t="inlineStr">
        <is>
          <t>NA</t>
        </is>
      </c>
      <c r="D56" s="345" t="n"/>
      <c r="E56" s="345" t="n"/>
      <c r="F56" s="345" t="n"/>
      <c r="G56" s="345" t="n"/>
      <c r="H56" s="345" t="n"/>
      <c r="I56" s="346" t="n"/>
    </row>
    <row r="57" ht="20.25" customHeight="1">
      <c r="A57" s="356" t="inlineStr">
        <is>
          <t>COMMUNICATIONS</t>
        </is>
      </c>
      <c r="B57" s="339" t="n"/>
      <c r="C57" s="339" t="n"/>
      <c r="D57" s="339" t="n"/>
      <c r="E57" s="339" t="n"/>
      <c r="F57" s="339" t="n"/>
      <c r="G57" s="339" t="n"/>
      <c r="H57" s="339" t="n"/>
      <c r="I57" s="340" t="n"/>
    </row>
    <row r="58" ht="25" customHeight="1">
      <c r="A58" s="181" t="n"/>
      <c r="B58" s="324" t="n"/>
      <c r="C58" s="324" t="n"/>
      <c r="D58" s="324" t="n"/>
      <c r="E58" s="324" t="n"/>
      <c r="F58" s="324" t="n"/>
      <c r="G58" s="324" t="n"/>
      <c r="H58" s="324" t="n"/>
      <c r="I58" s="325" t="n"/>
    </row>
    <row r="59" ht="25" customHeight="1">
      <c r="A59" s="347" t="n"/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347" t="n"/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52" t="inlineStr">
        <is>
          <t>PRODUCTION (CONSTRUCTION STATUS &amp; PROGRESS)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60" t="inlineStr">
        <is>
          <t>Commence Basin Topsoil Strip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 thickBot="1">
      <c r="A64" s="149" t="n"/>
      <c r="B64" s="150" t="n"/>
      <c r="C64" s="150" t="n"/>
      <c r="D64" s="150" t="n"/>
      <c r="E64" s="150" t="n"/>
      <c r="F64" s="150" t="n"/>
      <c r="G64" s="150" t="n"/>
      <c r="H64" s="150" t="n"/>
      <c r="I64" s="151" t="n"/>
    </row>
    <row r="65" ht="25.5" customHeight="1" thickBot="1">
      <c r="A65" s="361" t="inlineStr">
        <is>
          <t>PHOTOS</t>
        </is>
      </c>
      <c r="B65" s="318" t="n"/>
      <c r="C65" s="318" t="n"/>
      <c r="D65" s="318" t="n"/>
      <c r="E65" s="318" t="n"/>
      <c r="F65" s="318" t="n"/>
      <c r="G65" s="318" t="n"/>
      <c r="H65" s="318" t="n"/>
      <c r="I65" s="319" t="n"/>
    </row>
    <row r="66" ht="15" customHeight="1">
      <c r="A66" s="362" t="e">
        <v>#VALUE!</v>
      </c>
      <c r="B66" s="318" t="n"/>
      <c r="C66" s="318" t="n"/>
      <c r="D66" s="318" t="n"/>
      <c r="E66" s="318" t="n"/>
      <c r="F66" s="318" t="n"/>
      <c r="G66" s="318" t="n"/>
      <c r="H66" s="318" t="n"/>
      <c r="I66" s="319" t="n"/>
    </row>
    <row r="67" ht="15" customHeight="1">
      <c r="A67" s="86" t="n"/>
      <c r="I67" s="320" t="n"/>
    </row>
    <row r="68" ht="15" customHeight="1">
      <c r="A68" s="86" t="n"/>
      <c r="I68" s="320" t="n"/>
    </row>
    <row r="69" ht="15" customHeight="1">
      <c r="A69" s="86" t="n"/>
      <c r="I69" s="320" t="n"/>
    </row>
    <row r="70" ht="15" customHeight="1">
      <c r="A70" s="86" t="n"/>
      <c r="I70" s="320" t="n"/>
    </row>
    <row r="71" ht="15" customHeight="1">
      <c r="A71" s="86" t="n"/>
      <c r="I71" s="320" t="n"/>
    </row>
    <row r="72" ht="15" customHeight="1">
      <c r="A72" s="86" t="n"/>
      <c r="I72" s="320" t="n"/>
    </row>
    <row r="73" ht="15" customHeight="1">
      <c r="A73" s="86" t="n"/>
      <c r="I73" s="320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25" customFormat="1" customHeight="1" s="61">
      <c r="A89" s="86" t="n"/>
      <c r="I89" s="320" t="n"/>
    </row>
    <row r="90" ht="15" customHeight="1">
      <c r="A90" s="86" t="n"/>
      <c r="I90" s="320" t="n"/>
    </row>
    <row r="91" ht="15" customHeight="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 thickBot="1">
      <c r="A95" s="335" t="n"/>
      <c r="B95" s="336" t="n"/>
      <c r="C95" s="336" t="n"/>
      <c r="D95" s="336" t="n"/>
      <c r="E95" s="336" t="n"/>
      <c r="F95" s="336" t="n"/>
      <c r="G95" s="336" t="n"/>
      <c r="H95" s="336" t="n"/>
      <c r="I95" s="337" t="n"/>
    </row>
  </sheetData>
  <mergeCells count="42">
    <mergeCell ref="A65:I65"/>
    <mergeCell ref="A42:I45"/>
    <mergeCell ref="D13:F13"/>
    <mergeCell ref="G13:I13"/>
    <mergeCell ref="A46:I46"/>
    <mergeCell ref="B47:I47"/>
    <mergeCell ref="B8:D8"/>
    <mergeCell ref="A12:I12"/>
    <mergeCell ref="C53:I53"/>
    <mergeCell ref="A57:I57"/>
    <mergeCell ref="B48:I48"/>
    <mergeCell ref="A5:I5"/>
    <mergeCell ref="D37:I37"/>
    <mergeCell ref="C49:I49"/>
    <mergeCell ref="B9:D9"/>
    <mergeCell ref="B6:D6"/>
    <mergeCell ref="A62:I62"/>
    <mergeCell ref="D39:I39"/>
    <mergeCell ref="A52:I52"/>
    <mergeCell ref="B38:C38"/>
    <mergeCell ref="A13:C13"/>
    <mergeCell ref="A63:I63"/>
    <mergeCell ref="D38:I38"/>
    <mergeCell ref="A10:I10"/>
    <mergeCell ref="A1:I4"/>
    <mergeCell ref="B37:C37"/>
    <mergeCell ref="A40:I40"/>
    <mergeCell ref="C54:I54"/>
    <mergeCell ref="A58:I58"/>
    <mergeCell ref="B7:D7"/>
    <mergeCell ref="C55:I55"/>
    <mergeCell ref="C50:I50"/>
    <mergeCell ref="A59:I59"/>
    <mergeCell ref="A11:I11"/>
    <mergeCell ref="A60:I60"/>
    <mergeCell ref="C56:I56"/>
    <mergeCell ref="B51:I51"/>
    <mergeCell ref="A66:I95"/>
    <mergeCell ref="B36:C36"/>
    <mergeCell ref="A61:I61"/>
    <mergeCell ref="D36:I36"/>
    <mergeCell ref="A39:B3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view="pageBreakPreview" zoomScale="40" zoomScaleNormal="100" zoomScaleSheetLayoutView="40" workbookViewId="0">
      <selection activeCell="A45" sqref="A45:I4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27 degrees    Wind: 24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10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6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Vehicles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Complete Basin Topsoil Strip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49" t="inlineStr">
        <is>
          <t>Commence General Site Vegetation Strip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Fortnightly Progress Meeting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Meet with Maritime Museum and confirmed vibration monitor location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inlineStr">
        <is>
          <t>Drainage Order Placed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 thickBot="1">
      <c r="A143" s="161" t="n"/>
      <c r="B143" s="336" t="n"/>
      <c r="C143" s="336" t="n"/>
      <c r="D143" s="336" t="n"/>
      <c r="E143" s="170" t="n"/>
      <c r="F143" s="336" t="n"/>
      <c r="G143" s="336" t="n"/>
      <c r="H143" s="336" t="n"/>
      <c r="I143" s="337" t="n"/>
    </row>
    <row r="144" ht="15" customHeight="1" thickBot="1">
      <c r="A144" s="144" t="n"/>
      <c r="B144" s="145" t="n"/>
      <c r="C144" s="145" t="n"/>
      <c r="D144" s="145" t="n"/>
      <c r="E144" s="145" t="n"/>
      <c r="F144" s="145" t="n"/>
      <c r="G144" s="145" t="n"/>
      <c r="H144" s="145" t="n"/>
      <c r="I144" s="146" t="n"/>
    </row>
  </sheetData>
  <mergeCells count="43">
    <mergeCell ref="A65:I65"/>
    <mergeCell ref="D13:F13"/>
    <mergeCell ref="C52:I52"/>
    <mergeCell ref="G13:I13"/>
    <mergeCell ref="B54:I54"/>
    <mergeCell ref="A66:I66"/>
    <mergeCell ref="D41:I41"/>
    <mergeCell ref="B8:D8"/>
    <mergeCell ref="A55:I55"/>
    <mergeCell ref="A12:I12"/>
    <mergeCell ref="C57:I57"/>
    <mergeCell ref="C53:I53"/>
    <mergeCell ref="B39:C39"/>
    <mergeCell ref="A71:I71"/>
    <mergeCell ref="A5:I5"/>
    <mergeCell ref="A143:D143"/>
    <mergeCell ref="E143:I143"/>
    <mergeCell ref="B9:D9"/>
    <mergeCell ref="A62:I62"/>
    <mergeCell ref="D39:I39"/>
    <mergeCell ref="B6:D6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0" min="0" max="8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view="pageBreakPreview" zoomScale="40" zoomScaleNormal="100" zoomScaleSheetLayoutView="40" workbookViewId="0">
      <selection activeCell="F33" sqref="F32:F33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28 degrees    Wind: 25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Katrine Dodd</t>
        </is>
      </c>
      <c r="H16" s="111" t="inlineStr">
        <is>
          <t>Cultural Spotter</t>
        </is>
      </c>
      <c r="I16" s="113" t="n">
        <v>1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2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SIMOPS</t>
        </is>
      </c>
      <c r="C51" s="324" t="n"/>
      <c r="D51" s="324" t="n"/>
      <c r="E51" s="324" t="n"/>
      <c r="F51" s="324" t="n"/>
      <c r="G51" s="324" t="n"/>
      <c r="H51" s="324" t="n"/>
      <c r="I51" s="327" t="n"/>
      <c r="J51" s="55" t="n">
        <v>14</v>
      </c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149" t="inlineStr">
        <is>
          <t>Ongoing General Site Vegetation Strip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49" t="inlineStr">
        <is>
          <t>Yamaji Southern Corporation Onsite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Hard Barracading Onsite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Vibration Monitor Onsite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inlineStr">
        <is>
          <t>Gluon onsite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 thickBot="1">
      <c r="A71" s="149" t="inlineStr">
        <is>
          <t>Unknown Footing/ Pole discovered in ground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361" t="inlineStr">
        <is>
          <t>PHOTOS</t>
        </is>
      </c>
      <c r="B72" s="318" t="n"/>
      <c r="C72" s="318" t="n"/>
      <c r="D72" s="318" t="n"/>
      <c r="E72" s="318" t="n"/>
      <c r="F72" s="318" t="n"/>
      <c r="G72" s="318" t="n"/>
      <c r="H72" s="318" t="n"/>
      <c r="I72" s="31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 ht="15" customHeight="1" thickBot="1">
      <c r="A188" s="144" t="n"/>
      <c r="B188" s="145" t="n"/>
      <c r="C188" s="145" t="n"/>
      <c r="D188" s="145" t="n"/>
      <c r="E188" s="145" t="n"/>
      <c r="F188" s="145" t="n"/>
      <c r="G188" s="145" t="n"/>
      <c r="H188" s="145" t="n"/>
      <c r="I188" s="146" t="n"/>
    </row>
  </sheetData>
  <mergeCells count="42">
    <mergeCell ref="A65:I65"/>
    <mergeCell ref="D13:F13"/>
    <mergeCell ref="A144:D144"/>
    <mergeCell ref="C52:I52"/>
    <mergeCell ref="G13:I13"/>
    <mergeCell ref="B54:I54"/>
    <mergeCell ref="D41:I41"/>
    <mergeCell ref="B8:D8"/>
    <mergeCell ref="A55:I55"/>
    <mergeCell ref="A12:I12"/>
    <mergeCell ref="C57:I57"/>
    <mergeCell ref="C53:I53"/>
    <mergeCell ref="B39:C39"/>
    <mergeCell ref="A5:I5"/>
    <mergeCell ref="B9:D9"/>
    <mergeCell ref="B6:D6"/>
    <mergeCell ref="A62:I62"/>
    <mergeCell ref="D39:I39"/>
    <mergeCell ref="C58:I58"/>
    <mergeCell ref="A72:I72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E144:I14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1" min="0" max="8" man="1"/>
    <brk id="201" min="0" max="8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99"/>
  <sheetViews>
    <sheetView view="pageBreakPreview" zoomScale="40" zoomScaleNormal="100" zoomScaleSheetLayoutView="40" workbookViewId="0">
      <selection activeCell="L33" sqref="L33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28 degrees    Wind: 21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9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Jayden Brecz</t>
        </is>
      </c>
      <c r="H16" s="111" t="inlineStr">
        <is>
          <t>Service Locator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Greame Tuffloy</t>
        </is>
      </c>
      <c r="H17" s="111" t="inlineStr">
        <is>
          <t>Service Locator</t>
        </is>
      </c>
      <c r="I17" s="113" t="n">
        <v>8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5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3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4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Loading and unloading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Geotech Consulant Engaged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Additional local sand sources explored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Smooth Drum/ Padfoot onsite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Basecourse for access track onsite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49" t="inlineStr">
        <is>
          <t>Ongoing Vegetation Strip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Service location forrest street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Additional Temp Fencing onsite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49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49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1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</sheetData>
  <mergeCells count="43">
    <mergeCell ref="A65:I65"/>
    <mergeCell ref="D13:F13"/>
    <mergeCell ref="C52:I52"/>
    <mergeCell ref="G13:I13"/>
    <mergeCell ref="B54:I54"/>
    <mergeCell ref="A66:I66"/>
    <mergeCell ref="D41:I41"/>
    <mergeCell ref="B8:D8"/>
    <mergeCell ref="A55:I55"/>
    <mergeCell ref="A12:I12"/>
    <mergeCell ref="C57:I57"/>
    <mergeCell ref="C53:I53"/>
    <mergeCell ref="B39:C3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73:I73"/>
    <mergeCell ref="A49:I49"/>
    <mergeCell ref="A11:I11"/>
    <mergeCell ref="A145:D145"/>
    <mergeCell ref="A60:I60"/>
    <mergeCell ref="C56:I56"/>
    <mergeCell ref="B51:I51"/>
    <mergeCell ref="C59:I59"/>
    <mergeCell ref="D40:I40"/>
    <mergeCell ref="A61:I61"/>
    <mergeCell ref="B41:C41"/>
    <mergeCell ref="B50:I50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2" min="0" max="8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197"/>
  <sheetViews>
    <sheetView view="pageBreakPreview" zoomScale="40" zoomScaleNormal="100" zoomScaleSheetLayoutView="40" workbookViewId="0">
      <selection activeCell="G28" sqref="G2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26 degrees    Wind: 29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Tody Crossdale</t>
        </is>
      </c>
      <c r="H17" s="111" t="inlineStr">
        <is>
          <t>Consultant</t>
        </is>
      </c>
      <c r="I17" s="113" t="n">
        <v>1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Greg Hipple</t>
        </is>
      </c>
      <c r="H18" s="111" t="inlineStr">
        <is>
          <t>Asbestos Consult</t>
        </is>
      </c>
      <c r="I18" s="113" t="n">
        <v>1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4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4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4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 xml:space="preserve">Asbestos Encountered in Soul Café Crossing
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Barracading/ Public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Topsoil Strip inspected by Structerre-Potential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Potential Asbestos found onsite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3" t="inlineStr">
        <is>
          <t>Commence Soul Café Crossing Works dsirupted by found asbestos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54" t="inlineStr">
        <is>
          <t>Detailed topsoil strip in conjunction with Structerre Consultant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n"/>
      <c r="B68" s="301" t="n"/>
      <c r="C68" s="301" t="n"/>
      <c r="D68" s="301" t="n"/>
      <c r="E68" s="301" t="n"/>
      <c r="F68" s="301" t="n"/>
      <c r="G68" s="301" t="n"/>
      <c r="H68" s="301" t="n"/>
      <c r="I68" s="302" t="n"/>
    </row>
    <row r="69" ht="25" customHeight="1">
      <c r="A69" s="149" t="n"/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 ht="15" customHeight="1" thickBot="1">
      <c r="A197" s="144" t="n"/>
      <c r="B197" s="145" t="n"/>
      <c r="C197" s="145" t="n"/>
      <c r="D197" s="145" t="n"/>
      <c r="E197" s="145" t="n"/>
      <c r="F197" s="145" t="n"/>
      <c r="G197" s="145" t="n"/>
      <c r="H197" s="145" t="n"/>
      <c r="I197" s="146" t="n"/>
    </row>
  </sheetData>
  <mergeCells count="43">
    <mergeCell ref="A65:I65"/>
    <mergeCell ref="D13:F13"/>
    <mergeCell ref="C52:I52"/>
    <mergeCell ref="G13:I13"/>
    <mergeCell ref="B8:D8"/>
    <mergeCell ref="D41:I41"/>
    <mergeCell ref="B54:I54"/>
    <mergeCell ref="A66:I66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0" min="0" max="8" man="1"/>
    <brk id="145" min="0" max="8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97"/>
  <sheetViews>
    <sheetView view="pageBreakPreview" topLeftCell="A67" zoomScale="40" zoomScaleNormal="100" zoomScaleSheetLayoutView="40" workbookViewId="0">
      <selection activeCell="A45" sqref="A45:I4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Greg Hipple</t>
        </is>
      </c>
      <c r="H17" s="111" t="inlineStr">
        <is>
          <t>Asbestos Consult</t>
        </is>
      </c>
      <c r="I17" s="113" t="n">
        <v>3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inlineStr">
        <is>
          <t>Skyline Services Setup Team</t>
        </is>
      </c>
      <c r="H19" s="111" t="inlineStr">
        <is>
          <t>Grader Setup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10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2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2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8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Barracading/ Public Interaction (Reinforced)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Topsoil Strip inspected by Structerre-Potential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3" t="inlineStr">
        <is>
          <t>Seived Soil and Removed Asbestos from Soul Café Crossing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54" t="inlineStr">
        <is>
          <t>Completed Soul Café Crossing Works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inlineStr">
        <is>
          <t>First Delivery of Concrete Pipes onsite</t>
        </is>
      </c>
      <c r="B68" s="301" t="n"/>
      <c r="C68" s="301" t="n"/>
      <c r="D68" s="301" t="n"/>
      <c r="E68" s="301" t="n"/>
      <c r="F68" s="301" t="n"/>
      <c r="G68" s="301" t="n"/>
      <c r="H68" s="301" t="n"/>
      <c r="I68" s="302" t="n"/>
    </row>
    <row r="69" ht="25" customHeight="1">
      <c r="A69" s="154" t="inlineStr">
        <is>
          <t>Dug test pits in gravel area to establish gravel thicknesses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 ht="15" customHeight="1" thickBot="1">
      <c r="A197" s="144" t="n"/>
      <c r="B197" s="145" t="n"/>
      <c r="C197" s="145" t="n"/>
      <c r="D197" s="145" t="n"/>
      <c r="E197" s="145" t="n"/>
      <c r="F197" s="145" t="n"/>
      <c r="G197" s="145" t="n"/>
      <c r="H197" s="145" t="n"/>
      <c r="I197" s="146" t="n"/>
    </row>
  </sheetData>
  <mergeCells count="43">
    <mergeCell ref="A65:I65"/>
    <mergeCell ref="D13:F13"/>
    <mergeCell ref="C52:I52"/>
    <mergeCell ref="G13:I13"/>
    <mergeCell ref="B8:D8"/>
    <mergeCell ref="D41:I41"/>
    <mergeCell ref="B54:I54"/>
    <mergeCell ref="A66:I66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0" min="0" max="8" man="1"/>
    <brk id="145" min="0" max="8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199"/>
  <sheetViews>
    <sheetView view="pageBreakPreview" topLeftCell="A6" zoomScale="40" zoomScaleNormal="100" zoomScaleSheetLayoutView="40" workbookViewId="0">
      <selection activeCell="C17" sqref="C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4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1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5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9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63" t="inlineStr">
        <is>
          <t>Conducted Vibration Trials-Further investigation required on low vibration rolling, High Vibration Rolling to no longer be implemented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154" t="inlineStr">
        <is>
          <t>Removal of Stripped Vegetation</t>
        </is>
      </c>
      <c r="B66" s="301" t="n"/>
      <c r="C66" s="301" t="n"/>
      <c r="D66" s="301" t="n"/>
      <c r="E66" s="301" t="n"/>
      <c r="F66" s="301" t="n"/>
      <c r="G66" s="301" t="n"/>
      <c r="H66" s="301" t="n"/>
      <c r="I66" s="302" t="n"/>
    </row>
    <row r="67" ht="25" customHeight="1">
      <c r="A67" s="154" t="inlineStr">
        <is>
          <t>Commenced Exposure of basecourse in northern lots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inlineStr">
        <is>
          <t>Placed Fencing to Forrest Road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Proof Rolling to Lot 118 (Static Compaction only)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Initial Feedback Provided on APRA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Soul café Crossing Open to Public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Survey pick up of stripped area/ basecourse contaminated areas</t>
        </is>
      </c>
      <c r="B72" s="301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1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</sheetData>
  <mergeCells count="42">
    <mergeCell ref="A65:I65"/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73:I73"/>
    <mergeCell ref="A11:I11"/>
    <mergeCell ref="A49:I49"/>
    <mergeCell ref="C56:I56"/>
    <mergeCell ref="A145:D145"/>
    <mergeCell ref="D40:I40"/>
    <mergeCell ref="B51:I51"/>
    <mergeCell ref="C59:I59"/>
    <mergeCell ref="A60:I60"/>
    <mergeCell ref="A61:I61"/>
    <mergeCell ref="B41:C41"/>
    <mergeCell ref="B50:I50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2" min="0" max="8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zoomScale="40" zoomScaleNormal="100" zoomScaleSheetLayoutView="40" workbookViewId="0">
      <selection activeCell="D16" sqref="D16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10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Positve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Removal of Stripped Vegetation</t>
        </is>
      </c>
      <c r="B65" s="301" t="n"/>
      <c r="C65" s="301" t="n"/>
      <c r="D65" s="301" t="n"/>
      <c r="E65" s="301" t="n"/>
      <c r="F65" s="301" t="n"/>
      <c r="G65" s="301" t="n"/>
      <c r="H65" s="301" t="n"/>
      <c r="I65" s="302" t="n"/>
    </row>
    <row r="66" ht="25" customHeight="1">
      <c r="A66" s="154" t="inlineStr">
        <is>
          <t>Removal/ Exposure of Basecourse in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Approval of Keith Gregory Sand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APRA Feedback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Fence Removal Forrest Street Side</t>
        </is>
      </c>
      <c r="B69" s="301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1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54:I54"/>
    <mergeCell ref="D41:I41"/>
    <mergeCell ref="B8:D8"/>
    <mergeCell ref="E142:I142"/>
    <mergeCell ref="A55:I55"/>
    <mergeCell ref="A12:I12"/>
    <mergeCell ref="C57:I57"/>
    <mergeCell ref="C53:I53"/>
    <mergeCell ref="B39:C39"/>
    <mergeCell ref="A5:I5"/>
    <mergeCell ref="B9:D9"/>
    <mergeCell ref="A142:D142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topLeftCell="A47" zoomScale="40" zoomScaleNormal="100" zoomScaleSheetLayoutView="40" workbookViewId="0">
      <selection activeCell="D16" sqref="D16:D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16 km/h  N   Precip: 3mm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8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10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8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e">
        <v>#VALUE!</v>
      </c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Working around excavations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NDM of Foundation to Northern Lots</t>
        </is>
      </c>
      <c r="B65" s="301" t="n"/>
      <c r="C65" s="301" t="n"/>
      <c r="D65" s="301" t="n"/>
      <c r="E65" s="301" t="n"/>
      <c r="F65" s="301" t="n"/>
      <c r="G65" s="301" t="n"/>
      <c r="H65" s="301" t="n"/>
      <c r="I65" s="302" t="n"/>
    </row>
    <row r="66" ht="25" customHeight="1">
      <c r="A66" s="154" t="inlineStr">
        <is>
          <t>Mixing of basecourse with won clean material in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Pit Installs to Museum Place Line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APRA Feedback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Production affected by Rain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1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8:D8"/>
    <mergeCell ref="D41:I41"/>
    <mergeCell ref="B54:I54"/>
    <mergeCell ref="E142:I142"/>
    <mergeCell ref="A55:I55"/>
    <mergeCell ref="A12:I12"/>
    <mergeCell ref="C57:I57"/>
    <mergeCell ref="B39:C39"/>
    <mergeCell ref="C53:I53"/>
    <mergeCell ref="A5:I5"/>
    <mergeCell ref="B9:D9"/>
    <mergeCell ref="A142:D142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zoomScale="40" zoomScaleNormal="100" zoomScaleSheetLayoutView="40" workbookViewId="0">
      <selection activeCell="C34" sqref="C34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16 km/h  N   Precip: 0.6mm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9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8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Postive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 Excavation of 300mm Drainage Lines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Discovery of old sewer line not on DBYD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1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7" min="0" max="8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15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21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Laying of Pipe into Western Culverts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TCD internal HSE audit Commenced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1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7" min="0" max="8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topLeftCell="A12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27 degrees    Wind: 33 km/h  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Lifting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Excavation of Northern Culvert Lines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Progress Meeting Onsite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Asbestos Discovered in Northern Lots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TCD internal HSE audit ongoing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22.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22.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 ht="15" customHeight="1" thickBot="1">
      <c r="A174" s="144" t="n"/>
      <c r="B174" s="145" t="n"/>
      <c r="C174" s="145" t="n"/>
      <c r="D174" s="145" t="n"/>
      <c r="E174" s="145" t="n"/>
      <c r="F174" s="145" t="n"/>
      <c r="G174" s="145" t="n"/>
      <c r="H174" s="145" t="n"/>
      <c r="I174" s="146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8:D8"/>
    <mergeCell ref="D41:I41"/>
    <mergeCell ref="B54:I54"/>
    <mergeCell ref="E142:I142"/>
    <mergeCell ref="A55:I55"/>
    <mergeCell ref="A12:I12"/>
    <mergeCell ref="C57:I57"/>
    <mergeCell ref="B39:C39"/>
    <mergeCell ref="C53:I53"/>
    <mergeCell ref="A5:I5"/>
    <mergeCell ref="B9:D9"/>
    <mergeCell ref="A142:D142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S195"/>
  <sheetViews>
    <sheetView view="pageBreakPreview" topLeftCell="A40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25 degrees    Wind: 29 km/h  SW   Precip: 2mm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7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Basecourse Identified in Lot 119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Placement of Liners and Pipework in Trench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Asbestos Removed in Northern Lots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TCD internal HSE audit Complete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</sheetData>
  <mergeCells count="41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8" min="0" max="8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topLeftCell="A18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21 km/h  S   Precip: 16mm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/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8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5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Rain Affected Day Minimal Production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Mudding of Pits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7" min="0" max="8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topLeftCell="A54" zoomScale="40" zoomScaleNormal="100" zoomScaleSheetLayoutView="40" workbookViewId="0">
      <selection activeCell="S84" sqref="S84:S85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15 km/h  S   Precip: 0.2mm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/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6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2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Boxout of Road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Review Barracading for Long Weekend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7" min="0" max="8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S171"/>
  <sheetViews>
    <sheetView view="pageBreakPreview" topLeftCell="A90" zoomScale="40" zoomScaleNormal="100" zoomScaleSheetLayoutView="40" workbookViewId="0">
      <selection activeCell="G38" sqref="G3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0.7291666666666666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61 km/h  NW   Precip: 37.6mm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10.5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10.5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10.5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10.5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10.5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10.5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8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>
        <v>6</v>
      </c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8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2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Wet Weather Controls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Complete Boxout of basecourse in Lot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Unable to continue with grader works in northern lots due to wet weather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Unable to commence carpark wroks due to wet weather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Commence Backfill of drainage lines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Trial Pad Completed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22.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22.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 thickBot="1">
      <c r="A110" s="155" t="n"/>
      <c r="B110" s="156" t="n"/>
      <c r="C110" s="156" t="n"/>
      <c r="D110" s="156" t="n"/>
      <c r="E110" s="156" t="n"/>
      <c r="F110" s="156" t="n"/>
      <c r="G110" s="156" t="n"/>
      <c r="H110" s="156" t="n"/>
      <c r="I110" s="15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</sheetData>
  <mergeCells count="41"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70" min="0" max="8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S204"/>
  <sheetViews>
    <sheetView view="pageBreakPreview" zoomScale="40" zoomScaleNormal="100" zoomScaleSheetLayoutView="40" workbookViewId="0">
      <selection activeCell="D29" sqref="D2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35 km/h  NW   Precip: 20.4mm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11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8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>
        <v>10</v>
      </c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1</v>
      </c>
      <c r="B40" s="278" t="inlineStr">
        <is>
          <t>Scheduled Service</t>
        </is>
      </c>
      <c r="C40" s="325" t="n"/>
      <c r="D40" s="355" t="inlineStr">
        <is>
          <t>Grader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 xml:space="preserve">Grader Offline for Service while limited work fronts are available 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Loader Blend of Basecourse with Fill Material Lot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Trial pad results back methodology to follow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Unable to commence carpark works due to wet weather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Excavation to Northern Drainage Line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Removal of Vegitation and Waste from Site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22.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22.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 thickBot="1">
      <c r="A110" s="155" t="n"/>
      <c r="B110" s="156" t="n"/>
      <c r="C110" s="156" t="n"/>
      <c r="D110" s="156" t="n"/>
      <c r="E110" s="156" t="n"/>
      <c r="F110" s="156" t="n"/>
      <c r="G110" s="156" t="n"/>
      <c r="H110" s="156" t="n"/>
      <c r="I110" s="15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 ht="15" customHeight="1" thickBot="1">
      <c r="A204" s="144" t="n"/>
      <c r="B204" s="145" t="n"/>
      <c r="C204" s="145" t="n"/>
      <c r="D204" s="145" t="n"/>
      <c r="E204" s="145" t="n"/>
      <c r="F204" s="145" t="n"/>
      <c r="G204" s="145" t="n"/>
      <c r="H204" s="145" t="n"/>
      <c r="I204" s="146" t="n"/>
    </row>
  </sheetData>
  <mergeCells count="41">
    <mergeCell ref="D13:F13"/>
    <mergeCell ref="C52:I52"/>
    <mergeCell ref="G13:I13"/>
    <mergeCell ref="B54:I54"/>
    <mergeCell ref="D41:I41"/>
    <mergeCell ref="B8:D8"/>
    <mergeCell ref="A55:I55"/>
    <mergeCell ref="A12:I12"/>
    <mergeCell ref="C57:I57"/>
    <mergeCell ref="C53:I53"/>
    <mergeCell ref="B39:C39"/>
    <mergeCell ref="A71:I71"/>
    <mergeCell ref="A5:I5"/>
    <mergeCell ref="A143:D143"/>
    <mergeCell ref="E143:I143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70" min="0" max="8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12" sqref="A12:I1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37 km/h  S   Precip: 8 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8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>
        <v>10</v>
      </c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 xml:space="preserve">Issues with existing basecourse in lots identified
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Mix material to Eastern Boundary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Laying of Drainage Line Northerns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355" t="inlineStr">
        <is>
          <t>Minor Hydrocarbon. Cleaned up waste to be taken off site in Hydrocarbon IBC at the end of project</t>
        </is>
      </c>
      <c r="B67" s="324" t="n"/>
      <c r="C67" s="324" t="n"/>
      <c r="D67" s="324" t="n"/>
      <c r="E67" s="324" t="n"/>
      <c r="F67" s="324" t="n"/>
      <c r="G67" s="327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2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67:G67"/>
    <mergeCell ref="A5:I5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D22" sqref="D2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22 degrees    Wind: 39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3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4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5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Seatbelts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Basecourse Cleared From Lot Boundary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CoGG Onsite to Inpsect Drainage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Watercorp Startup Meeting/ Working Near Sewer Pressure Main discussion onsite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Rolled Mixed Material and Level Lots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Drainage Installation Northern Line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NDM Testing to Northern Lots and Lot 199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 xml:space="preserve">Conditioned basecouse for 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F36" sqref="F3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26 degrees    Wind: 43 km/h 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/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Control of Vehicle Movement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Basecourse Cleared From Lot Boundary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Compaction Test Results to lot 119 and mixed material returned conforming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Backfill Drainage line to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Placement of fill to Northern Lots Approx 500t installed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9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44 km/h  WSW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/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Backfill of Trenches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12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28 km/h  E   Precip: 0.4mm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47" t="inlineStr">
        <is>
          <t>Progress Meeting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Drainage Patching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A68" sqref="A68:I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33 km/h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Carpark Repairs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1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A68" sqref="A68:I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0.625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24 km/h 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/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9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8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8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/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Removed Fence to Northern Lots
Installed Temp Fence
Test Pitted Area for Gravel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Manual Handling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Carpark Repairs Patch Holes near Station Platform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0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D36" sqref="D3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30 km/h NE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SIMOPS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 Excavation of Gravel to Northern Lots Strip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Removal of Dust Fence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0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S200"/>
  <sheetViews>
    <sheetView view="pageBreakPreview" zoomScale="40" zoomScaleNormal="100" zoomScaleSheetLayoutView="40" workbookViewId="0">
      <selection activeCell="C21" sqref="C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48 km/h N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Breaking up of gravel along Fenceline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.5" customHeight="1" thickBot="1">
      <c r="A67" s="354" t="inlineStr">
        <is>
          <t>PHOTOS</t>
        </is>
      </c>
      <c r="B67" s="330" t="n"/>
      <c r="C67" s="330" t="n"/>
      <c r="D67" s="330" t="n"/>
      <c r="E67" s="330" t="n"/>
      <c r="F67" s="330" t="n"/>
      <c r="G67" s="330" t="n"/>
      <c r="H67" s="330" t="n"/>
      <c r="I67" s="331" t="n"/>
    </row>
    <row r="68" ht="22.5" customHeight="1">
      <c r="A68" s="87" t="n"/>
      <c r="B68" s="88" t="n"/>
      <c r="C68" s="88" t="n"/>
      <c r="D68" s="88" t="n"/>
      <c r="E68" s="88" t="n"/>
      <c r="F68" s="88" t="n"/>
      <c r="G68" s="88" t="n"/>
      <c r="H68" s="88" t="n"/>
      <c r="I68" s="89" t="n"/>
    </row>
    <row r="69" ht="22.5" customHeight="1">
      <c r="A69" s="65" t="n"/>
      <c r="B69" s="66" t="n"/>
      <c r="C69" s="66" t="n"/>
      <c r="D69" s="66" t="n"/>
      <c r="E69" s="66" t="n"/>
      <c r="F69" s="66" t="n"/>
      <c r="G69" s="66" t="n"/>
      <c r="H69" s="66" t="n"/>
      <c r="I69" s="67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25" customFormat="1" customHeight="1" s="6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 thickBot="1">
      <c r="A106" s="155" t="n"/>
      <c r="B106" s="156" t="n"/>
      <c r="C106" s="156" t="n"/>
      <c r="D106" s="156" t="n"/>
      <c r="E106" s="156" t="n"/>
      <c r="F106" s="156" t="n"/>
      <c r="G106" s="156" t="n"/>
      <c r="H106" s="156" t="n"/>
      <c r="I106" s="15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2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8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 thickBo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  <c r="J131" s="78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6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30.75" customHeight="1">
      <c r="A139" s="255" t="n"/>
      <c r="E139" s="256" t="n"/>
      <c r="I139" s="320" t="n"/>
    </row>
    <row r="140">
      <c r="A140" s="152" t="n"/>
      <c r="I140" s="153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 ht="15" customHeight="1" thickBot="1">
      <c r="A193" s="144" t="n"/>
      <c r="B193" s="145" t="n"/>
      <c r="C193" s="145" t="n"/>
      <c r="D193" s="145" t="n"/>
      <c r="E193" s="145" t="n"/>
      <c r="F193" s="145" t="n"/>
      <c r="G193" s="145" t="n"/>
      <c r="H193" s="145" t="n"/>
      <c r="I193" s="146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 ht="15" customHeight="1" thickBot="1">
      <c r="A200" s="144" t="n"/>
      <c r="B200" s="145" t="n"/>
      <c r="C200" s="145" t="n"/>
      <c r="D200" s="145" t="n"/>
      <c r="E200" s="145" t="n"/>
      <c r="F200" s="145" t="n"/>
      <c r="G200" s="145" t="n"/>
      <c r="H200" s="145" t="n"/>
      <c r="I200" s="146" t="n"/>
    </row>
  </sheetData>
  <mergeCells count="40">
    <mergeCell ref="E139:I139"/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A67:I67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A139:D139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6" min="0" max="8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61 km/h N  Precip: 31.6mm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Public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Foundation Prep Along Fence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Sump Works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Locate Joints of SPM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30 km/h N  Precip: 0.6mm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Power Startup Meeting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Location of Addional Services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Patching Drainage lines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67 km/h N  Precip: 8mm (Geraldton Airport)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6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8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6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6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6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6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3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6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6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Routes Onsite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Works Stopped Early Due to Heavy Rain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inlineStr">
        <is>
          <t>APRA Signed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Watercorp Pipelaying Course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Rocking Drainge Sump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V138" sqref="V13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19 degrees    Wind: 41 km/h SE  Precip: 3.4mm (31mm encountered over the weekend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Managing Weather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No worksover the weekend due to weather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Mitigating Water to allow trucks to safely passage through site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C31" sqref="AC3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44 km/h SE 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Managing Weather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n"/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G37" sqref="G37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35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40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Progress Meeting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inlineStr">
        <is>
          <t>Meet with watercorp to discuss shutdown-Potential shutdown days to be confirmed. Costs to be completed by WC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Fencing to Baily Street End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Inspect pressure main to confirm diameter of pipe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26" zoomScale="40" zoomScaleNormal="100" zoomScaleSheetLayoutView="40" workbookViewId="0">
      <selection activeCell="E66" sqref="E6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21 degrees    Wind: 22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3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7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40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119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Commenced placement of fill to laneway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Filled in old soakwell to road enterance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topLeftCell="A67" zoomScale="40" zoomScaleNormal="100" zoomScaleSheetLayoutView="40" workbookViewId="0">
      <selection activeCell="B69" sqref="B6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23 degrees    Wind: 39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7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Safe Driving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Unloading Trucks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42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119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Fill to Laneway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excavation power trenching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Delivery of Power and Water Materials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Remove fecning to foreshore drive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Demolish paving to Bailey Street Access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All service now found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D13:F13"/>
    <mergeCell ref="G13:I13"/>
    <mergeCell ref="B8:D8"/>
    <mergeCell ref="D41:I41"/>
    <mergeCell ref="A56:I56"/>
    <mergeCell ref="A50:I50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A44:I44"/>
    <mergeCell ref="C54:I54"/>
    <mergeCell ref="B40:C40"/>
    <mergeCell ref="B7:D7"/>
    <mergeCell ref="A64:I64"/>
    <mergeCell ref="A73:I73"/>
    <mergeCell ref="A11:I11"/>
    <mergeCell ref="A43:B43"/>
    <mergeCell ref="B55:I55"/>
    <mergeCell ref="A145:D145"/>
    <mergeCell ref="D40:I40"/>
    <mergeCell ref="B51:I51"/>
    <mergeCell ref="C59:I59"/>
    <mergeCell ref="A46:I49"/>
    <mergeCell ref="A61:I61"/>
    <mergeCell ref="C60:I60"/>
    <mergeCell ref="B41:C41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72" min="0" max="8" man="1"/>
  </rowBreaks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89" zoomScale="40" zoomScaleNormal="100" zoomScaleSheetLayoutView="40" workbookViewId="0">
      <selection activeCell="B68" sqref="B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26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Safe Driving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Trenching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NDM of Laneway and Lot 119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Ongoing Underground Excavation and Pipe Backfill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Removal of Asphalt Material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92" zoomScale="40" zoomScaleNormal="100" zoomScaleSheetLayoutView="40" workbookViewId="0">
      <selection activeCell="A56" sqref="A56:I5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26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Barracading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Transport of Ballast Material to site nominated by client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Removal of Ballast and backfill with sand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A50:I50"/>
    <mergeCell ref="E141:I141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B41:C41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46:I49"/>
    <mergeCell ref="A61:I61"/>
    <mergeCell ref="C60:I60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S203"/>
  <sheetViews>
    <sheetView view="pageBreakPreview" zoomScale="40" zoomScaleNormal="100" zoomScaleSheetLayoutView="40" workbookViewId="0">
      <selection activeCell="F20" sqref="F2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23 degrees    Wind: 3 km/h WSW  Precip: 0.6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Barracading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Transport of Ballast Material to site nominated by client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Met with WC onsite to discuss caison methodology and inspect SPM crossings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Removal of Ballast to Norht of Sump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22.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22.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 thickBot="1">
      <c r="A109" s="155" t="n"/>
      <c r="B109" s="156" t="n"/>
      <c r="C109" s="156" t="n"/>
      <c r="D109" s="156" t="n"/>
      <c r="E109" s="156" t="n"/>
      <c r="F109" s="156" t="n"/>
      <c r="G109" s="156" t="n"/>
      <c r="H109" s="156" t="n"/>
      <c r="I109" s="15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 ht="15" customHeight="1" thickBot="1">
      <c r="A203" s="144" t="n"/>
      <c r="B203" s="145" t="n"/>
      <c r="C203" s="145" t="n"/>
      <c r="D203" s="145" t="n"/>
      <c r="E203" s="145" t="n"/>
      <c r="F203" s="145" t="n"/>
      <c r="G203" s="145" t="n"/>
      <c r="H203" s="145" t="n"/>
      <c r="I203" s="146" t="n"/>
    </row>
  </sheetData>
  <mergeCells count="40">
    <mergeCell ref="D13:F13"/>
    <mergeCell ref="G13:I13"/>
    <mergeCell ref="B8:D8"/>
    <mergeCell ref="D41:I41"/>
    <mergeCell ref="A56:I56"/>
    <mergeCell ref="E142:I142"/>
    <mergeCell ref="A50:I50"/>
    <mergeCell ref="A12:I12"/>
    <mergeCell ref="C57:I57"/>
    <mergeCell ref="C53:I53"/>
    <mergeCell ref="D43:I43"/>
    <mergeCell ref="B52:I52"/>
    <mergeCell ref="A5:I5"/>
    <mergeCell ref="B42:C42"/>
    <mergeCell ref="B9:D9"/>
    <mergeCell ref="A142:D142"/>
    <mergeCell ref="A62:I62"/>
    <mergeCell ref="B6:D6"/>
    <mergeCell ref="C58:I58"/>
    <mergeCell ref="A13:C13"/>
    <mergeCell ref="D42:I42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70:I70"/>
    <mergeCell ref="A46:I49"/>
    <mergeCell ref="A61:I61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9" min="0" max="8" man="1"/>
  </rowBreaks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10" zoomScale="40" zoomScaleNormal="100" zoomScaleSheetLayoutView="40" workbookViewId="0">
      <selection activeCell="A63" sqref="A63:I6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56 km/h WSW  Precip: 16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3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10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Manual Handling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47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Rain Affected Day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Caisson at Forrest Street End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Gas Startup Meeting Took Place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H25" sqref="H25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43 km/h SSW  Precip: 2.4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9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9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5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5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3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10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inlineStr">
        <is>
          <t>1.5 Excavator</t>
        </is>
      </c>
      <c r="B38" s="112" t="inlineStr">
        <is>
          <t>AMG 009</t>
        </is>
      </c>
      <c r="C38" s="111" t="n">
        <v>10</v>
      </c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Manual Handling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47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Rain Affected Day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Trimming of Batters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 xml:space="preserve">Completion of Caisson Works Forrest Street 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Gas Materials and Irrigation Sleeves onsite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A50:I50"/>
    <mergeCell ref="E141:I141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B41:C41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46:I49"/>
    <mergeCell ref="A61:I61"/>
    <mergeCell ref="C60:I60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8" zoomScale="40" zoomScaleNormal="100" zoomScaleSheetLayoutView="40" workbookViewId="0">
      <selection activeCell="E23" sqref="E2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69 km/h WSW  Precip: 8.6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5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/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/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3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/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2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inlineStr">
        <is>
          <t>1.5 Excavator</t>
        </is>
      </c>
      <c r="B38" s="112" t="inlineStr">
        <is>
          <t>AMG 009</t>
        </is>
      </c>
      <c r="C38" s="111" t="n">
        <v>10</v>
      </c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Plant on Plant Interaction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49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Rain Affected Day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Underground Excavation and Pipe Backfill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Backfill Restricted due to rain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zoomScale="40" zoomScaleNormal="100" zoomScaleSheetLayoutView="40" workbookViewId="0">
      <selection activeCell="I22" sqref="I2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28 km/h ENE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9.5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9.5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>
        <v>8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8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8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8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Plant on Plant Interaction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50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Ongoing Underground Excavation and Pipe Backfill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Fencing of Foreshore Drive for museum place intersection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Gas Laying Commenced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8:D8"/>
    <mergeCell ref="B54:I54"/>
    <mergeCell ref="A66:I66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topLeftCell="A48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39 km/h ESE Precip: 0.4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Manual Handling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51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Installed temp fencing to foreshire drive footpath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54:I54"/>
    <mergeCell ref="A66:I66"/>
    <mergeCell ref="B8:D8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zoomScale="40" zoomScaleNormal="100" zoomScaleSheetLayoutView="40" workbookViewId="0">
      <selection activeCell="R83" sqref="R8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Wind: 35 km/h 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10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Plant on Plant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52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Installed temp fencing to foreshire drive footpath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Commenced Drainage to 525 Line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8:D8"/>
    <mergeCell ref="B54:I54"/>
    <mergeCell ref="A66:I66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topLeftCell="A73" zoomScale="40" zoomScaleNormal="100" zoomScaleSheetLayoutView="40" workbookViewId="0">
      <selection activeCell="M170" sqref="M17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33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>
        <v>5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5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5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7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New irrigation design received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Working in Trenches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53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Ongoing Drainage to 525 Line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Preparation to watercorp shut down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28 km/h SW Precip: 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7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APRA Shutdown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APRA Works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54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Passed 525 and 600 Pipe Beneath sewer pressure main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zoomScale="40" zoomScaleNormal="100" zoomScaleSheetLayoutView="40" workbookViewId="0">
      <selection activeCell="D40" sqref="D4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Wind: 61 km/h SW Precip: 2.8 (6.4mm Sunday)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10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APRA Shutdown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Simops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55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Complete 525 Culvert (Extend into Future Area)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S207"/>
  <sheetViews>
    <sheetView view="pageBreakPreview" zoomScale="40" zoomScaleNormal="100" zoomScaleSheetLayoutView="40" workbookViewId="0">
      <selection activeCell="O191" sqref="O19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22 km/h SW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impletmented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352" t="inlineStr">
        <is>
          <t>PRODUCTION (CONSTRUCTION STATUS &amp; PROGRESS)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154" t="inlineStr">
        <is>
          <t>Ongoing underground services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 xml:space="preserve">Commenced digging 600 crossing encountered potential clash with existing deep drainage line 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 ht="15" customHeight="1" thickBot="1">
      <c r="A200" s="144" t="n"/>
      <c r="B200" s="145" t="n"/>
      <c r="C200" s="145" t="n"/>
      <c r="D200" s="145" t="n"/>
      <c r="E200" s="145" t="n"/>
      <c r="F200" s="145" t="n"/>
      <c r="G200" s="145" t="n"/>
      <c r="H200" s="145" t="n"/>
      <c r="I200" s="146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 ht="15" customHeight="1" thickBot="1">
      <c r="A207" s="144" t="n"/>
      <c r="B207" s="145" t="n"/>
      <c r="C207" s="145" t="n"/>
      <c r="D207" s="145" t="n"/>
      <c r="E207" s="145" t="n"/>
      <c r="F207" s="145" t="n"/>
      <c r="G207" s="145" t="n"/>
      <c r="H207" s="145" t="n"/>
      <c r="I207" s="146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E146:I146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D45:I45"/>
    <mergeCell ref="A61:I61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K16" sqref="K1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22 km/h SW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impletmented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352" t="inlineStr">
        <is>
          <t>PRODUCTION (CONSTRUCTION STATUS &amp; PROGRESS)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154" t="inlineStr">
        <is>
          <t>Ongoing underground services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Commenced digging 300 crossing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Surveyed existing deep stormwater to confirm clash Issue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3E onsite for electrical inspection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E146:I146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D45:I45"/>
    <mergeCell ref="A61:I61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112" zoomScale="40" zoomScaleNormal="100" zoomScaleSheetLayoutView="40" workbookViewId="0">
      <selection activeCell="G20" sqref="G2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 28 km/h S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Seatbelts and Driving on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58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Meeting with COGG Traffic Manager undertaken 17/7/25 working through solutions for foreshore drive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Laying of Pipework to 300 crossing (COGG Inspected)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Completed digging 600 crossing trench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4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 31 km/h S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2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8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8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8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Diriving onsite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59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services-Connections to New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300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Lay Pipes to 600 Crossing Inspected by COGG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topLeftCell="A81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/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8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8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5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5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60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Sewer Connection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600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146:D146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U32" sqref="U3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16 degrees    Wind 80 km/h SSW Precip: 9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5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60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Sewer Connection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600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146:D146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topLeftCell="A6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Slips Trips and Falls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62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Drainge Forrest Street Section Inspected by COGG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63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Progress Meeting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Drainge Forrest Street Section Inspected by COGG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Setting of lids to forrest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12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16 degrees    Wind 69 km/h SW  Precip: 38.2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>
        <v>5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>
        <v>5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64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Rain Affected Day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Completed backfill of drainage to forrest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Sink Holes to southern side of site investigated and backfilled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Commenced Cutting of pits for lids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31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15 degrees    Wind E  35km/h SW  Precip: 0.4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12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1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Driving on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65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Completed backfill of drainage to forrest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Installation of irrigation sleeves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Cutting for Lids to drainage pids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22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17 degrees    Wind 33km/h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9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7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9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9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7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/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3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4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/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around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Backfilling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Removal of Rubbish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1 irrigation sleeve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X18" sqref="X18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15 degrees    Wind 78km/h SE  Precip: 22.2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/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Re-establishing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67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Rain Affected Day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Repairs to Site Fencing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of Underground Services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Ongoing cutting of Drainage lids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S212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15 degrees    Wind 17km/h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Buecz, Jayden</t>
        </is>
      </c>
      <c r="H19" s="111" t="inlineStr">
        <is>
          <t>Driller</t>
        </is>
      </c>
      <c r="I19" s="113" t="n">
        <v>8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Anderson, Peter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Around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Site still heavily affected by rain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Completed Irrigation Sleeves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of Underground Services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Ongoing Underground Services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cutting of Drainage pits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Drillers onsite Baily Street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Commenced Irrigation Mainline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.5" customHeight="1" thickBot="1">
      <c r="A77" s="354" t="inlineStr">
        <is>
          <t>Photos</t>
        </is>
      </c>
      <c r="B77" s="330" t="n"/>
      <c r="C77" s="330" t="n"/>
      <c r="D77" s="330" t="n"/>
      <c r="E77" s="330" t="n"/>
      <c r="F77" s="330" t="n"/>
      <c r="G77" s="330" t="n"/>
      <c r="H77" s="330" t="n"/>
      <c r="I77" s="331" t="n"/>
    </row>
    <row r="78" ht="22.5" customHeight="1">
      <c r="A78" s="87" t="n"/>
      <c r="B78" s="88" t="n"/>
      <c r="C78" s="88" t="n"/>
      <c r="D78" s="88" t="n"/>
      <c r="E78" s="88" t="n"/>
      <c r="F78" s="88" t="n"/>
      <c r="G78" s="88" t="n"/>
      <c r="H78" s="88" t="n"/>
      <c r="I78" s="89" t="n"/>
    </row>
    <row r="79" ht="22.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H100" s="66" t="n"/>
      <c r="I100" s="67" t="n"/>
    </row>
    <row r="101" ht="25" customFormat="1" customHeight="1" s="6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 thickBot="1">
      <c r="A116" s="155" t="n"/>
      <c r="B116" s="156" t="n"/>
      <c r="C116" s="156" t="n"/>
      <c r="D116" s="156" t="n"/>
      <c r="E116" s="156" t="n"/>
      <c r="F116" s="156" t="n"/>
      <c r="G116" s="156" t="n"/>
      <c r="H116" s="156" t="n"/>
      <c r="I116" s="15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28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 thickBo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  <c r="J141" s="78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6" customHeight="1">
      <c r="A148" s="65" t="n"/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30.75" customHeight="1">
      <c r="A149" s="255" t="n"/>
      <c r="E149" s="256" t="n"/>
      <c r="I149" s="320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E149:I149"/>
    <mergeCell ref="A13:C13"/>
    <mergeCell ref="A68:I68"/>
    <mergeCell ref="A10:I10"/>
    <mergeCell ref="A1:I4"/>
    <mergeCell ref="C64:I64"/>
    <mergeCell ref="A67:I67"/>
    <mergeCell ref="A77:I77"/>
    <mergeCell ref="B7:D7"/>
    <mergeCell ref="C63:I63"/>
    <mergeCell ref="C65:I65"/>
    <mergeCell ref="A11:I11"/>
    <mergeCell ref="A49:I49"/>
    <mergeCell ref="A149:D1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6" min="0" max="8" man="1"/>
    <brk id="214" min="0" max="8" man="1"/>
  </rowBreaks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G21" sqref="G21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28km/h 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 Josh</t>
        </is>
      </c>
      <c r="H19" s="111" t="inlineStr">
        <is>
          <t>Operator</t>
        </is>
      </c>
      <c r="I19" s="113" t="n">
        <v>8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5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Pulling PE Pipe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Site still heavily affected by rain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cutting of Drainage pits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Drillers onsite Baily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Irrigation Mainline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A147:D147"/>
    <mergeCell ref="B46:C46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H39" sqref="H39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22 degrees    Wind 38km/h NNE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6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8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Cutting PE pipe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cutting of Drainage pits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Drillers onsite Baily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Commenced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22 degrees    Wind 52km/h NNE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8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8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Drillers onsite Baily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Poly Weld Irrigation and construct thrust blocks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S212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18 degrees    Wind 12 km/h WSW  Precip: 0.4mm (15.8mm over the weekend)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11" t="n"/>
      <c r="H24" s="111" t="n"/>
      <c r="I24" s="111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11" t="n"/>
      <c r="H25" s="111" t="n"/>
      <c r="I25" s="111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COUNTIF(I15:I23,"&gt;0")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SUM(I15:I23)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10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5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6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5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Drillers onsite Baily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Flushing/ Air Valves to Mainline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Rough Set Pits to irrigation mainline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Install headwall in sump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Ongoing Subgrade Prep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.5" customHeight="1" thickBot="1">
      <c r="A77" s="354" t="inlineStr">
        <is>
          <t>Photos</t>
        </is>
      </c>
      <c r="B77" s="330" t="n"/>
      <c r="C77" s="330" t="n"/>
      <c r="D77" s="330" t="n"/>
      <c r="E77" s="330" t="n"/>
      <c r="F77" s="330" t="n"/>
      <c r="G77" s="330" t="n"/>
      <c r="H77" s="330" t="n"/>
      <c r="I77" s="331" t="n"/>
    </row>
    <row r="78" ht="22.5" customHeight="1">
      <c r="A78" s="87" t="n"/>
      <c r="B78" s="88" t="n"/>
      <c r="C78" s="88" t="n"/>
      <c r="D78" s="88" t="n"/>
      <c r="E78" s="88" t="n"/>
      <c r="F78" s="88" t="n"/>
      <c r="G78" s="88" t="n"/>
      <c r="H78" s="88" t="n"/>
      <c r="I78" s="89" t="n"/>
    </row>
    <row r="79" ht="22.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H100" s="66" t="n"/>
      <c r="I100" s="67" t="n"/>
    </row>
    <row r="101" ht="25" customFormat="1" customHeight="1" s="6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 thickBot="1">
      <c r="A116" s="155" t="n"/>
      <c r="B116" s="156" t="n"/>
      <c r="C116" s="156" t="n"/>
      <c r="D116" s="156" t="n"/>
      <c r="E116" s="156" t="n"/>
      <c r="F116" s="156" t="n"/>
      <c r="G116" s="156" t="n"/>
      <c r="H116" s="156" t="n"/>
      <c r="I116" s="15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28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 thickBo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  <c r="J141" s="78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6" customHeight="1">
      <c r="A148" s="65" t="n"/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30.75" customHeight="1">
      <c r="A149" s="255" t="n"/>
      <c r="E149" s="256" t="n"/>
      <c r="I149" s="320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E149:I149"/>
    <mergeCell ref="A13:C13"/>
    <mergeCell ref="A68:I68"/>
    <mergeCell ref="A10:I10"/>
    <mergeCell ref="C64:I64"/>
    <mergeCell ref="A1:I4"/>
    <mergeCell ref="A67:I67"/>
    <mergeCell ref="A77:I77"/>
    <mergeCell ref="B7:D7"/>
    <mergeCell ref="C65:I65"/>
    <mergeCell ref="C63:I63"/>
    <mergeCell ref="A49:I49"/>
    <mergeCell ref="A11:I11"/>
    <mergeCell ref="A149:D149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6" min="0" max="8" man="1"/>
    <brk id="214" min="0" max="8" man="1"/>
  </rowBreaks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S213"/>
  <sheetViews>
    <sheetView tabSelected="1" view="pageBreakPreview" zoomScale="75" zoomScaleNormal="100" zoomScaleSheetLayoutView="40" workbookViewId="0">
      <selection activeCell="D20" sqref="D20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30km/h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/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5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6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5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Lifting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Construction of Trial Pad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Flushing/ Air Valves to Mainline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Pushed Laterals through sleeve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Rough Set Pits to irrigation mainline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Install headwall in sump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" customHeight="1">
      <c r="A77" s="154" t="inlineStr">
        <is>
          <t>Ongoing Subgrade Prep</t>
        </is>
      </c>
      <c r="B77" s="150" t="n"/>
      <c r="C77" s="150" t="n"/>
      <c r="D77" s="150" t="n"/>
      <c r="E77" s="150" t="n"/>
      <c r="F77" s="150" t="n"/>
      <c r="G77" s="150" t="n"/>
      <c r="H77" s="150" t="n"/>
      <c r="I77" s="151" t="n"/>
    </row>
    <row r="78" ht="25.5" customHeight="1" thickBot="1">
      <c r="A78" s="354" t="inlineStr">
        <is>
          <t>Photos</t>
        </is>
      </c>
      <c r="B78" s="330" t="n"/>
      <c r="C78" s="330" t="n"/>
      <c r="D78" s="330" t="n"/>
      <c r="E78" s="330" t="n"/>
      <c r="F78" s="330" t="n"/>
      <c r="G78" s="330" t="n"/>
      <c r="H78" s="330" t="n"/>
      <c r="I78" s="331" t="n"/>
    </row>
    <row r="79" ht="22.5" customHeight="1">
      <c r="A79" s="87" t="n"/>
      <c r="B79" s="88" t="n"/>
      <c r="C79" s="88" t="n"/>
      <c r="D79" s="88" t="n"/>
      <c r="E79" s="88" t="n"/>
      <c r="F79" s="88" t="n"/>
      <c r="G79" s="88" t="n"/>
      <c r="H79" s="88" t="n"/>
      <c r="I79" s="89" t="n"/>
    </row>
    <row r="80" ht="22.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H101" s="66" t="n"/>
      <c r="I101" s="67" t="n"/>
    </row>
    <row r="102" ht="25" customFormat="1" customHeight="1" s="6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 thickBot="1">
      <c r="A117" s="155" t="n"/>
      <c r="B117" s="156" t="n"/>
      <c r="C117" s="156" t="n"/>
      <c r="D117" s="156" t="n"/>
      <c r="E117" s="156" t="n"/>
      <c r="F117" s="156" t="n"/>
      <c r="G117" s="156" t="n"/>
      <c r="H117" s="156" t="n"/>
      <c r="I117" s="15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28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 thickBo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  <c r="J142" s="78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A147" s="65" t="n"/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5" customHeight="1"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16" customHeight="1">
      <c r="A149" s="65" t="n"/>
      <c r="B149" s="66" t="n"/>
      <c r="C149" s="66" t="n"/>
      <c r="D149" s="66" t="n"/>
      <c r="E149" s="66" t="n"/>
      <c r="F149" s="66" t="n"/>
      <c r="G149" s="66" t="n"/>
      <c r="H149" s="66" t="n"/>
      <c r="I149" s="67" t="n"/>
    </row>
    <row r="150" ht="30.75" customHeight="1">
      <c r="A150" s="255" t="n"/>
      <c r="E150" s="256" t="n"/>
      <c r="I150" s="320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  <row r="213">
      <c r="A213" s="152" t="n"/>
      <c r="I213" s="153" t="n"/>
    </row>
  </sheetData>
  <mergeCells count="40">
    <mergeCell ref="A48:B48"/>
    <mergeCell ref="A150:D150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E150:I150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A78:I7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7" min="0" max="8" man="1"/>
    <brk id="215" min="0" max="8" man="1"/>
  </rowBreaks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S211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No reading from BOM 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8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10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inlineStr">
        <is>
          <t>Porters advised that City of Greater Geraldton have rejected extension of Forrest Street Paving Area to accommodate additional services</t>
        </is>
      </c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Progress Meeting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Rebuilding of verges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Placed material for laneway road widening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n"/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.5" customHeight="1" thickBot="1">
      <c r="A76" s="354" t="inlineStr">
        <is>
          <t>Photos</t>
        </is>
      </c>
      <c r="B76" s="330" t="n"/>
      <c r="C76" s="330" t="n"/>
      <c r="D76" s="330" t="n"/>
      <c r="E76" s="330" t="n"/>
      <c r="F76" s="330" t="n"/>
      <c r="G76" s="330" t="n"/>
      <c r="H76" s="330" t="n"/>
      <c r="I76" s="331" t="n"/>
    </row>
    <row r="77" ht="22.5" customHeight="1">
      <c r="A77" s="87" t="n"/>
      <c r="B77" s="88" t="n"/>
      <c r="C77" s="88" t="n"/>
      <c r="D77" s="88" t="n"/>
      <c r="E77" s="88" t="n"/>
      <c r="F77" s="88" t="n"/>
      <c r="G77" s="88" t="n"/>
      <c r="H77" s="88" t="n"/>
      <c r="I77" s="89" t="n"/>
    </row>
    <row r="78" ht="22.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H99" s="66" t="n"/>
      <c r="I99" s="67" t="n"/>
    </row>
    <row r="100" ht="25" customFormat="1" customHeight="1" s="6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 thickBot="1">
      <c r="A115" s="155" t="n"/>
      <c r="B115" s="156" t="n"/>
      <c r="C115" s="156" t="n"/>
      <c r="D115" s="156" t="n"/>
      <c r="E115" s="156" t="n"/>
      <c r="F115" s="156" t="n"/>
      <c r="G115" s="156" t="n"/>
      <c r="H115" s="156" t="n"/>
      <c r="I115" s="15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28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 thickBo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  <c r="J140" s="78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6" customHeight="1">
      <c r="A147" s="65" t="n"/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30.75" customHeight="1">
      <c r="A148" s="255" t="n"/>
      <c r="E148" s="256" t="n"/>
      <c r="I148" s="320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76:I76"/>
    <mergeCell ref="A51:I54"/>
    <mergeCell ref="A148:D148"/>
    <mergeCell ref="B9:D9"/>
    <mergeCell ref="B60:I60"/>
    <mergeCell ref="C62:I62"/>
    <mergeCell ref="B57:I57"/>
    <mergeCell ref="B6:D6"/>
    <mergeCell ref="C58:I58"/>
    <mergeCell ref="A13:C13"/>
    <mergeCell ref="E148:I148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5" min="0" max="8" man="1"/>
    <brk id="213" min="0" max="8" man="1"/>
  </rowBreaks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5" zoomScale="40" zoomScaleNormal="100" zoomScaleSheetLayoutView="40" workbookViewId="0">
      <selection activeCell="U7" sqref="U7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24 degrees    Wind 52km/h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7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5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8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10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10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Wind and dust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Denso Tape of water risers (inspected by WC)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headwall in sump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A147:D147"/>
    <mergeCell ref="B46:C46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Barry Langan</dc:creator>
  <dcterms:created xsi:type="dcterms:W3CDTF">2025-03-23T14:16:19Z</dcterms:created>
  <dcterms:modified xsi:type="dcterms:W3CDTF">2025-11-19T15:52:29Z</dcterms:modified>
  <cp:lastModifiedBy>Daniel Griffiths</cp:lastModifiedBy>
  <cp:lastPrinted>2025-08-10T23:24:44Z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0x01010054D974174226C149948D7A6780F4D3DD</vt:lpwstr>
  </property>
  <property name="MediaServiceImageTags" fmtid="{D5CDD505-2E9C-101B-9397-08002B2CF9AE}" pid="3">
    <vt:lpwstr/>
  </property>
</Properties>
</file>